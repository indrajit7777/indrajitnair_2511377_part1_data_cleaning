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orders" sheetId="1" state="visible" r:id="rId1"/>
    <sheet xmlns:r="http://schemas.openxmlformats.org/officeDocument/2006/relationships" name="business_ru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244062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1" applyAlignment="1" pivotButton="0" quotePrefix="0" xfId="0">
      <alignment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8" customHeight="1">
      <c r="A1" s="6" t="inlineStr">
        <is>
          <t>order_id</t>
        </is>
      </c>
      <c r="B1" s="6" t="inlineStr">
        <is>
          <t>order_date</t>
        </is>
      </c>
      <c r="C1" s="6" t="inlineStr">
        <is>
          <t>ship_date</t>
        </is>
      </c>
      <c r="D1" s="6" t="inlineStr">
        <is>
          <t>customer_id</t>
        </is>
      </c>
      <c r="E1" s="6" t="inlineStr">
        <is>
          <t>customer_name</t>
        </is>
      </c>
      <c r="F1" s="6" t="inlineStr">
        <is>
          <t>segment</t>
        </is>
      </c>
      <c r="G1" s="6" t="inlineStr">
        <is>
          <t>region</t>
        </is>
      </c>
      <c r="H1" s="6" t="inlineStr">
        <is>
          <t>state</t>
        </is>
      </c>
      <c r="I1" s="6" t="inlineStr">
        <is>
          <t>city</t>
        </is>
      </c>
      <c r="J1" s="6" t="inlineStr">
        <is>
          <t>category</t>
        </is>
      </c>
      <c r="K1" s="6" t="inlineStr">
        <is>
          <t>sub_category</t>
        </is>
      </c>
      <c r="L1" s="6" t="inlineStr">
        <is>
          <t>product_name</t>
        </is>
      </c>
      <c r="M1" s="6" t="inlineStr">
        <is>
          <t>ship_mode</t>
        </is>
      </c>
      <c r="N1" s="6" t="inlineStr">
        <is>
          <t>quantity</t>
        </is>
      </c>
      <c r="O1" s="6" t="inlineStr">
        <is>
          <t>unit_price</t>
        </is>
      </c>
      <c r="P1" s="6" t="inlineStr">
        <is>
          <t>discount</t>
        </is>
      </c>
      <c r="Q1" s="6" t="inlineStr">
        <is>
          <t>sales</t>
        </is>
      </c>
      <c r="R1" s="6" t="inlineStr">
        <is>
          <t>cost</t>
        </is>
      </c>
      <c r="S1" s="6" t="inlineStr">
        <is>
          <t>profit</t>
        </is>
      </c>
      <c r="T1" s="6" t="inlineStr">
        <is>
          <t>payment_status</t>
        </is>
      </c>
      <c r="U1" s="6" t="inlineStr">
        <is>
          <t>order_status</t>
        </is>
      </c>
      <c r="V1" s="15" t="inlineStr">
        <is>
          <t>cleaned_discount</t>
        </is>
      </c>
      <c r="W1" s="15" t="inlineStr">
        <is>
          <t>calculated_sales</t>
        </is>
      </c>
      <c r="X1" s="15" t="inlineStr">
        <is>
          <t>calculated_profit</t>
        </is>
      </c>
      <c r="Y1" s="15" t="inlineStr">
        <is>
          <t>profit_margin</t>
        </is>
      </c>
      <c r="Z1" s="15" t="inlineStr">
        <is>
          <t>shipping_delay_days</t>
        </is>
      </c>
      <c r="AA1" s="15" t="inlineStr">
        <is>
          <t>order_month</t>
        </is>
      </c>
      <c r="AB1" s="15" t="inlineStr">
        <is>
          <t>order_year</t>
        </is>
      </c>
      <c r="AC1" s="15" t="inlineStr">
        <is>
          <t>data_quality_flag</t>
        </is>
      </c>
    </row>
    <row r="2">
      <c r="A2" s="12" t="inlineStr">
        <is>
          <t>ORD-2024-10001</t>
        </is>
      </c>
      <c r="B2" s="12" t="inlineStr">
        <is>
          <t>21 Jul 2024</t>
        </is>
      </c>
      <c r="C2" s="12" t="inlineStr">
        <is>
          <t>07/27/2024</t>
        </is>
      </c>
      <c r="D2" s="12" t="inlineStr">
        <is>
          <t>CUST-4655</t>
        </is>
      </c>
      <c r="E2" s="12" t="inlineStr">
        <is>
          <t>Karan Malhotra</t>
        </is>
      </c>
      <c r="F2" s="12" t="inlineStr">
        <is>
          <t>Consumer</t>
        </is>
      </c>
      <c r="G2" s="12" t="inlineStr">
        <is>
          <t xml:space="preserve">  North </t>
        </is>
      </c>
      <c r="H2" s="12" t="inlineStr">
        <is>
          <t>Rajasthan</t>
        </is>
      </c>
      <c r="I2" s="12" t="inlineStr">
        <is>
          <t>Jaipur</t>
        </is>
      </c>
      <c r="J2" s="12" t="inlineStr">
        <is>
          <t>Office Supplies</t>
        </is>
      </c>
      <c r="K2" s="12" t="inlineStr">
        <is>
          <t>Paper</t>
        </is>
      </c>
      <c r="L2" s="12" t="inlineStr">
        <is>
          <t>Pro Paper 122</t>
        </is>
      </c>
      <c r="M2" s="12" t="inlineStr">
        <is>
          <t>Second Class</t>
        </is>
      </c>
      <c r="N2" s="12" t="n">
        <v>8</v>
      </c>
      <c r="O2" s="12" t="n">
        <v>2976.45</v>
      </c>
      <c r="P2" s="12" t="n">
        <v>0.2</v>
      </c>
      <c r="Q2" s="12" t="n">
        <v>19049.28</v>
      </c>
      <c r="R2" s="12" t="n">
        <v>15841.89</v>
      </c>
      <c r="S2" s="12" t="n">
        <v>3207.39</v>
      </c>
      <c r="T2" s="12" t="inlineStr">
        <is>
          <t>Paid</t>
        </is>
      </c>
      <c r="U2" s="12" t="inlineStr">
        <is>
          <t>Completed</t>
        </is>
      </c>
      <c r="V2">
        <f>IF(OR(P2="",P2&lt;0,P2&gt;0.5),0,P2)</f>
        <v/>
      </c>
      <c r="W2">
        <f>N2*O2*(1-V2)</f>
        <v/>
      </c>
      <c r="X2">
        <f>W2-R2</f>
        <v/>
      </c>
      <c r="Y2">
        <f>IF(W2=0,0,X2/W2)</f>
        <v/>
      </c>
      <c r="Z2">
        <f>C2-B2</f>
        <v/>
      </c>
      <c r="AA2">
        <f>TEXT(B2,"mmmm")</f>
        <v/>
      </c>
      <c r="AB2">
        <f>YEAR(B2)</f>
        <v/>
      </c>
      <c r="AC2">
        <f>IF(OR(P2&lt;0,P2&gt;0.5,C2&lt;B2),"INVALID","CLEAN")</f>
        <v/>
      </c>
    </row>
    <row r="3">
      <c r="A3" s="12" t="inlineStr">
        <is>
          <t>ORD-2024-10002</t>
        </is>
      </c>
      <c r="B3" s="12" t="inlineStr">
        <is>
          <t>08/31/2024</t>
        </is>
      </c>
      <c r="C3" s="12" t="inlineStr">
        <is>
          <t>05 Sep 2024</t>
        </is>
      </c>
      <c r="D3" s="12" t="inlineStr">
        <is>
          <t>CUST-2054</t>
        </is>
      </c>
      <c r="E3" s="12" t="inlineStr">
        <is>
          <t>Mira Das</t>
        </is>
      </c>
      <c r="F3" s="12" t="inlineStr">
        <is>
          <t>Small Business</t>
        </is>
      </c>
      <c r="G3" s="12" t="inlineStr">
        <is>
          <t>East</t>
        </is>
      </c>
      <c r="H3" s="12" t="inlineStr">
        <is>
          <t>Odisha</t>
        </is>
      </c>
      <c r="I3" s="12" t="inlineStr">
        <is>
          <t>Bhubaneswar</t>
        </is>
      </c>
      <c r="J3" s="12" t="inlineStr">
        <is>
          <t>Furniture</t>
        </is>
      </c>
      <c r="K3" s="12" t="inlineStr">
        <is>
          <t>Tables</t>
        </is>
      </c>
      <c r="L3" s="12" t="inlineStr">
        <is>
          <t>Pro Tables 258</t>
        </is>
      </c>
      <c r="M3" s="12" t="inlineStr">
        <is>
          <t>Same Day</t>
        </is>
      </c>
      <c r="N3" s="12" t="n">
        <v>3</v>
      </c>
      <c r="O3" s="12" t="n">
        <v>2437.5</v>
      </c>
      <c r="P3" s="12" t="n">
        <v>0</v>
      </c>
      <c r="Q3" s="12" t="n">
        <v>7312.5</v>
      </c>
      <c r="R3" s="12" t="n">
        <v>4904.73</v>
      </c>
      <c r="S3" s="12" t="n">
        <v>2407.77</v>
      </c>
      <c r="T3" s="12" t="inlineStr">
        <is>
          <t>Paid</t>
        </is>
      </c>
      <c r="U3" s="12" t="inlineStr">
        <is>
          <t>Completed</t>
        </is>
      </c>
      <c r="V3">
        <f>IF(OR(P3="",P3&lt;0,P3&gt;0.5),0,P3)</f>
        <v/>
      </c>
      <c r="W3">
        <f>N3*O3*(1-V3)</f>
        <v/>
      </c>
      <c r="X3">
        <f>W3-R3</f>
        <v/>
      </c>
      <c r="Y3">
        <f>IF(W3=0,0,X3/W3)</f>
        <v/>
      </c>
      <c r="Z3">
        <f>C3-B3</f>
        <v/>
      </c>
      <c r="AA3">
        <f>TEXT(B3,"mmmm")</f>
        <v/>
      </c>
      <c r="AB3">
        <f>YEAR(B3)</f>
        <v/>
      </c>
      <c r="AC3">
        <f>IF(OR(P3&lt;0,P3&gt;0.5,C3&lt;B3),"INVALID","CLEAN")</f>
        <v/>
      </c>
    </row>
    <row r="4">
      <c r="A4" s="12" t="inlineStr">
        <is>
          <t>ORD-2024-10003</t>
        </is>
      </c>
      <c r="B4" s="12" t="inlineStr">
        <is>
          <t>06/08/2024</t>
        </is>
      </c>
      <c r="C4" s="12" t="inlineStr">
        <is>
          <t>15 Jun 2024</t>
        </is>
      </c>
      <c r="D4" s="12" t="inlineStr">
        <is>
          <t>CUST-6843</t>
        </is>
      </c>
      <c r="E4" s="12" t="inlineStr">
        <is>
          <t>Isha Nair</t>
        </is>
      </c>
      <c r="F4" s="12" t="inlineStr">
        <is>
          <t>Consumer</t>
        </is>
      </c>
      <c r="G4" s="12" t="inlineStr">
        <is>
          <t>East</t>
        </is>
      </c>
      <c r="H4" s="12" t="inlineStr">
        <is>
          <t>Odisha</t>
        </is>
      </c>
      <c r="I4" s="12" t="inlineStr">
        <is>
          <t>Bhubaneswar</t>
        </is>
      </c>
      <c r="J4" s="12" t="inlineStr">
        <is>
          <t>Office Supplies</t>
        </is>
      </c>
      <c r="K4" s="12" t="inlineStr">
        <is>
          <t>Art</t>
        </is>
      </c>
      <c r="L4" s="12" t="inlineStr">
        <is>
          <t>Elite Art 525</t>
        </is>
      </c>
      <c r="M4" s="12" t="inlineStr">
        <is>
          <t>First Class</t>
        </is>
      </c>
      <c r="N4" s="12" t="n">
        <v>4</v>
      </c>
      <c r="O4" s="12" t="n">
        <v>1065.43</v>
      </c>
      <c r="P4" s="12" t="n">
        <v>0.55</v>
      </c>
      <c r="Q4" s="12" t="n">
        <v>4261.72</v>
      </c>
      <c r="R4" s="12" t="n">
        <v>2465.69</v>
      </c>
      <c r="S4" s="12" t="n">
        <v>1796.03</v>
      </c>
      <c r="T4" s="12" t="inlineStr">
        <is>
          <t>Paid</t>
        </is>
      </c>
      <c r="U4" s="12" t="inlineStr">
        <is>
          <t>Completed</t>
        </is>
      </c>
      <c r="V4">
        <f>IF(OR(P4="",P4&lt;0,P4&gt;0.5),0,P4)</f>
        <v/>
      </c>
      <c r="W4">
        <f>N4*O4*(1-V4)</f>
        <v/>
      </c>
      <c r="X4">
        <f>W4-R4</f>
        <v/>
      </c>
      <c r="Y4">
        <f>IF(W4=0,0,X4/W4)</f>
        <v/>
      </c>
      <c r="Z4">
        <f>C4-B4</f>
        <v/>
      </c>
      <c r="AA4">
        <f>TEXT(B4,"mmmm")</f>
        <v/>
      </c>
      <c r="AB4">
        <f>YEAR(B4)</f>
        <v/>
      </c>
      <c r="AC4">
        <f>IF(OR(P4&lt;0,P4&gt;0.5,C4&lt;B4),"INVALID","CLEAN")</f>
        <v/>
      </c>
    </row>
    <row r="5">
      <c r="A5" s="12" t="inlineStr">
        <is>
          <t>ORD-2024-10004</t>
        </is>
      </c>
      <c r="B5" s="12" t="inlineStr">
        <is>
          <t>28-11-2024</t>
        </is>
      </c>
      <c r="C5" s="12" t="inlineStr">
        <is>
          <t>11/29/2024</t>
        </is>
      </c>
      <c r="D5" s="12" t="inlineStr">
        <is>
          <t>CUST-3722</t>
        </is>
      </c>
      <c r="E5" s="12" t="inlineStr">
        <is>
          <t>Arjun Bose</t>
        </is>
      </c>
      <c r="F5" s="12" t="inlineStr">
        <is>
          <t>Small Business</t>
        </is>
      </c>
      <c r="G5" s="12" t="inlineStr">
        <is>
          <t>South</t>
        </is>
      </c>
      <c r="H5" s="12" t="inlineStr">
        <is>
          <t>Telangana</t>
        </is>
      </c>
      <c r="I5" s="12" t="inlineStr">
        <is>
          <t>Hyderabad</t>
        </is>
      </c>
      <c r="J5" s="12" t="inlineStr">
        <is>
          <t>Furniture</t>
        </is>
      </c>
      <c r="K5" s="12" t="inlineStr">
        <is>
          <t>Furnishings</t>
        </is>
      </c>
      <c r="L5" s="12" t="inlineStr">
        <is>
          <t>Smart Furnishings 294</t>
        </is>
      </c>
      <c r="M5" s="12" t="inlineStr">
        <is>
          <t>Standard Class</t>
        </is>
      </c>
      <c r="N5" s="12" t="n">
        <v>6</v>
      </c>
      <c r="O5" s="12" t="n">
        <v>1848.43</v>
      </c>
      <c r="P5" s="12" t="n">
        <v>0.25</v>
      </c>
      <c r="Q5" s="12" t="n">
        <v>8317.93</v>
      </c>
      <c r="R5" s="12" t="n">
        <v>6796.77</v>
      </c>
      <c r="S5" s="12" t="n">
        <v>1521.16</v>
      </c>
      <c r="T5" s="12" t="inlineStr">
        <is>
          <t>Paid</t>
        </is>
      </c>
      <c r="U5" s="12" t="inlineStr">
        <is>
          <t>Completed</t>
        </is>
      </c>
      <c r="V5">
        <f>IF(OR(P5="",P5&lt;0,P5&gt;0.5),0,P5)</f>
        <v/>
      </c>
      <c r="W5">
        <f>N5*O5*(1-V5)</f>
        <v/>
      </c>
      <c r="X5">
        <f>W5-R5</f>
        <v/>
      </c>
      <c r="Y5">
        <f>IF(W5=0,0,X5/W5)</f>
        <v/>
      </c>
      <c r="Z5">
        <f>C5-B5</f>
        <v/>
      </c>
      <c r="AA5">
        <f>TEXT(B5,"mmmm")</f>
        <v/>
      </c>
      <c r="AB5">
        <f>YEAR(B5)</f>
        <v/>
      </c>
      <c r="AC5">
        <f>IF(OR(P5&lt;0,P5&gt;0.5,C5&lt;B5),"INVALID","CLEAN")</f>
        <v/>
      </c>
    </row>
    <row r="6">
      <c r="A6" s="12" t="inlineStr">
        <is>
          <t>ORD-2025-10005</t>
        </is>
      </c>
      <c r="B6" s="12" t="inlineStr">
        <is>
          <t>29 Aug 2025</t>
        </is>
      </c>
      <c r="C6" s="12" t="inlineStr">
        <is>
          <t>2025-09-01</t>
        </is>
      </c>
      <c r="D6" s="12" t="inlineStr">
        <is>
          <t>CUST-8130</t>
        </is>
      </c>
      <c r="E6" s="12" t="inlineStr">
        <is>
          <t>Ananya Rao</t>
        </is>
      </c>
      <c r="F6" s="12" t="inlineStr">
        <is>
          <t>Small Business</t>
        </is>
      </c>
      <c r="G6" s="12" t="inlineStr">
        <is>
          <t>West</t>
        </is>
      </c>
      <c r="H6" s="12" t="inlineStr">
        <is>
          <t>Maharashtra</t>
        </is>
      </c>
      <c r="I6" s="12" t="inlineStr">
        <is>
          <t>Mumbai</t>
        </is>
      </c>
      <c r="J6" s="12" t="inlineStr">
        <is>
          <t>Furniture</t>
        </is>
      </c>
      <c r="K6" s="12" t="inlineStr">
        <is>
          <t>Chairs</t>
        </is>
      </c>
      <c r="L6" s="12" t="inlineStr">
        <is>
          <t>Elite Chairs 543</t>
        </is>
      </c>
      <c r="M6" s="12" t="inlineStr">
        <is>
          <t>First Class</t>
        </is>
      </c>
      <c r="N6" s="12" t="n">
        <v>7</v>
      </c>
      <c r="O6" s="12" t="n">
        <v>2973.76</v>
      </c>
      <c r="P6" s="12" t="n">
        <v>0</v>
      </c>
      <c r="Q6" s="12" t="n">
        <v>20816.32</v>
      </c>
      <c r="R6" s="12" t="n">
        <v>17705.37</v>
      </c>
      <c r="S6" s="12" t="n">
        <v>3110.95</v>
      </c>
      <c r="T6" s="12" t="inlineStr">
        <is>
          <t>Paid</t>
        </is>
      </c>
      <c r="U6" s="12" t="inlineStr">
        <is>
          <t>Cancelled</t>
        </is>
      </c>
      <c r="V6">
        <f>IF(OR(P6="",P6&lt;0,P6&gt;0.5),0,P6)</f>
        <v/>
      </c>
      <c r="W6">
        <f>N6*O6*(1-V6)</f>
        <v/>
      </c>
      <c r="X6">
        <f>W6-R6</f>
        <v/>
      </c>
      <c r="Y6">
        <f>IF(W6=0,0,X6/W6)</f>
        <v/>
      </c>
      <c r="Z6">
        <f>C6-B6</f>
        <v/>
      </c>
      <c r="AA6">
        <f>TEXT(B6,"mmmm")</f>
        <v/>
      </c>
      <c r="AB6">
        <f>YEAR(B6)</f>
        <v/>
      </c>
      <c r="AC6">
        <f>IF(OR(P6&lt;0,P6&gt;0.5,C6&lt;B6),"INVALID","CLEAN")</f>
        <v/>
      </c>
    </row>
    <row r="7">
      <c r="A7" s="12" t="inlineStr">
        <is>
          <t>ORD-2024-10006</t>
        </is>
      </c>
      <c r="B7" s="12" t="inlineStr">
        <is>
          <t>2024-05-24</t>
        </is>
      </c>
      <c r="C7" s="12" t="inlineStr">
        <is>
          <t>28-05-2024</t>
        </is>
      </c>
      <c r="D7" s="12" t="inlineStr">
        <is>
          <t>CUST-6056</t>
        </is>
      </c>
      <c r="E7" s="12" t="inlineStr">
        <is>
          <t>Vikram Iyer</t>
        </is>
      </c>
      <c r="F7" s="12" t="inlineStr">
        <is>
          <t>Small Business</t>
        </is>
      </c>
      <c r="G7" s="12" t="inlineStr">
        <is>
          <t>West</t>
        </is>
      </c>
      <c r="H7" s="12" t="inlineStr">
        <is>
          <t>Madhya Pradesh</t>
        </is>
      </c>
      <c r="I7" s="12" t="inlineStr">
        <is>
          <t>Indore</t>
        </is>
      </c>
      <c r="J7" s="12" t="inlineStr">
        <is>
          <t>Technology</t>
        </is>
      </c>
      <c r="K7" s="12" t="inlineStr">
        <is>
          <t>Accessories</t>
        </is>
      </c>
      <c r="L7" s="12" t="inlineStr">
        <is>
          <t>Pro Accessories 821</t>
        </is>
      </c>
      <c r="M7" s="12" t="inlineStr">
        <is>
          <t>Same Day</t>
        </is>
      </c>
      <c r="N7" s="12" t="n">
        <v>3</v>
      </c>
      <c r="O7" s="12" t="n">
        <v>1053.11</v>
      </c>
      <c r="P7" s="12" t="n">
        <v>0.2</v>
      </c>
      <c r="Q7" s="12" t="n">
        <v>2527.46</v>
      </c>
      <c r="R7" s="12" t="n">
        <v>1533.58</v>
      </c>
      <c r="S7" s="12" t="n">
        <v>993.88</v>
      </c>
      <c r="T7" s="12" t="inlineStr">
        <is>
          <t>Paid</t>
        </is>
      </c>
      <c r="U7" s="12" t="inlineStr">
        <is>
          <t>Completed</t>
        </is>
      </c>
      <c r="V7">
        <f>IF(OR(P7="",P7&lt;0,P7&gt;0.5),0,P7)</f>
        <v/>
      </c>
      <c r="W7">
        <f>N7*O7*(1-V7)</f>
        <v/>
      </c>
      <c r="X7">
        <f>W7-R7</f>
        <v/>
      </c>
      <c r="Y7">
        <f>IF(W7=0,0,X7/W7)</f>
        <v/>
      </c>
      <c r="Z7">
        <f>C7-B7</f>
        <v/>
      </c>
      <c r="AA7">
        <f>TEXT(B7,"mmmm")</f>
        <v/>
      </c>
      <c r="AB7">
        <f>YEAR(B7)</f>
        <v/>
      </c>
      <c r="AC7">
        <f>IF(OR(P7&lt;0,P7&gt;0.5,C7&lt;B7),"INVALID","CLEAN")</f>
        <v/>
      </c>
    </row>
    <row r="8">
      <c r="A8" s="12" t="inlineStr">
        <is>
          <t>ORD-2025-10007</t>
        </is>
      </c>
      <c r="B8" s="12" t="inlineStr">
        <is>
          <t>04/10/2025</t>
        </is>
      </c>
      <c r="C8" s="12" t="inlineStr">
        <is>
          <t>04/16/2025</t>
        </is>
      </c>
      <c r="D8" s="12" t="inlineStr">
        <is>
          <t>CUST-3656</t>
        </is>
      </c>
      <c r="E8" s="12" t="inlineStr">
        <is>
          <t>Neha Gupta</t>
        </is>
      </c>
      <c r="F8" s="12" t="inlineStr">
        <is>
          <t>Consumer</t>
        </is>
      </c>
      <c r="G8" s="12" t="inlineStr">
        <is>
          <t>East</t>
        </is>
      </c>
      <c r="H8" s="12" t="inlineStr">
        <is>
          <t>Odisha</t>
        </is>
      </c>
      <c r="I8" s="12" t="inlineStr">
        <is>
          <t>Bhubaneswar</t>
        </is>
      </c>
      <c r="J8" s="12" t="inlineStr">
        <is>
          <t>Technology</t>
        </is>
      </c>
      <c r="K8" s="12" t="inlineStr">
        <is>
          <t>Copiers</t>
        </is>
      </c>
      <c r="L8" s="12" t="inlineStr">
        <is>
          <t>Eco Copiers 790</t>
        </is>
      </c>
      <c r="M8" s="12" t="inlineStr">
        <is>
          <t>Standard Class</t>
        </is>
      </c>
      <c r="N8" s="12" t="n">
        <v>4</v>
      </c>
      <c r="O8" s="12" t="n">
        <v>1719.87</v>
      </c>
      <c r="P8" s="12" t="n">
        <v>0.15</v>
      </c>
      <c r="Q8" s="12" t="n">
        <v>5847.56</v>
      </c>
      <c r="R8" s="12" t="n">
        <v>4727.25</v>
      </c>
      <c r="S8" s="12" t="n">
        <v>1120.31</v>
      </c>
      <c r="T8" s="12" t="inlineStr">
        <is>
          <t>Paid</t>
        </is>
      </c>
      <c r="U8" s="12" t="inlineStr">
        <is>
          <t>Completed</t>
        </is>
      </c>
      <c r="V8">
        <f>IF(OR(P8="",P8&lt;0,P8&gt;0.5),0,P8)</f>
        <v/>
      </c>
      <c r="W8">
        <f>N8*O8*(1-V8)</f>
        <v/>
      </c>
      <c r="X8">
        <f>W8-R8</f>
        <v/>
      </c>
      <c r="Y8">
        <f>IF(W8=0,0,X8/W8)</f>
        <v/>
      </c>
      <c r="Z8">
        <f>C8-B8</f>
        <v/>
      </c>
      <c r="AA8">
        <f>TEXT(B8,"mmmm")</f>
        <v/>
      </c>
      <c r="AB8">
        <f>YEAR(B8)</f>
        <v/>
      </c>
      <c r="AC8">
        <f>IF(OR(P8&lt;0,P8&gt;0.5,C8&lt;B8),"INVALID","CLEAN")</f>
        <v/>
      </c>
    </row>
    <row r="9">
      <c r="A9" s="12" t="inlineStr">
        <is>
          <t>ORD-2025-10008</t>
        </is>
      </c>
      <c r="B9" s="12" t="inlineStr">
        <is>
          <t>2025-02-23</t>
        </is>
      </c>
      <c r="C9" s="12" t="inlineStr">
        <is>
          <t>26-02-2025</t>
        </is>
      </c>
      <c r="D9" s="12" t="inlineStr">
        <is>
          <t>CUST-4683</t>
        </is>
      </c>
      <c r="E9" s="12" t="inlineStr">
        <is>
          <t>Isha Nair</t>
        </is>
      </c>
      <c r="F9" s="12" t="inlineStr">
        <is>
          <t>Small Business</t>
        </is>
      </c>
      <c r="G9" s="12" t="inlineStr">
        <is>
          <t>South</t>
        </is>
      </c>
      <c r="H9" s="12" t="inlineStr">
        <is>
          <t>Andhra Pradesh</t>
        </is>
      </c>
      <c r="I9" s="12" t="inlineStr">
        <is>
          <t>Vijayawada</t>
        </is>
      </c>
      <c r="J9" s="12" t="inlineStr">
        <is>
          <t>Office Supplies</t>
        </is>
      </c>
      <c r="K9" s="12" t="inlineStr">
        <is>
          <t>Art</t>
        </is>
      </c>
      <c r="L9" s="12" t="inlineStr">
        <is>
          <t>Eco Art 848</t>
        </is>
      </c>
      <c r="M9" s="12" t="inlineStr">
        <is>
          <t>First Class</t>
        </is>
      </c>
      <c r="N9" s="12" t="n">
        <v>1</v>
      </c>
      <c r="O9" s="12" t="n">
        <v>2980.71</v>
      </c>
      <c r="P9" s="12" t="n">
        <v>0</v>
      </c>
      <c r="Q9" s="12" t="n">
        <v>2980.71</v>
      </c>
      <c r="R9" s="12" t="n">
        <v>2357.22</v>
      </c>
      <c r="S9" s="12" t="n">
        <v>623.49</v>
      </c>
      <c r="T9" s="12" t="inlineStr">
        <is>
          <t>Paid</t>
        </is>
      </c>
      <c r="U9" s="12" t="inlineStr">
        <is>
          <t>Completed</t>
        </is>
      </c>
      <c r="V9">
        <f>IF(OR(P9="",P9&lt;0,P9&gt;0.5),0,P9)</f>
        <v/>
      </c>
      <c r="W9">
        <f>N9*O9*(1-V9)</f>
        <v/>
      </c>
      <c r="X9">
        <f>W9-R9</f>
        <v/>
      </c>
      <c r="Y9">
        <f>IF(W9=0,0,X9/W9)</f>
        <v/>
      </c>
      <c r="Z9">
        <f>C9-B9</f>
        <v/>
      </c>
      <c r="AA9">
        <f>TEXT(B9,"mmmm")</f>
        <v/>
      </c>
      <c r="AB9">
        <f>YEAR(B9)</f>
        <v/>
      </c>
      <c r="AC9">
        <f>IF(OR(P9&lt;0,P9&gt;0.5,C9&lt;B9),"INVALID","CLEAN")</f>
        <v/>
      </c>
    </row>
    <row r="10">
      <c r="A10" s="12" t="inlineStr">
        <is>
          <t>ORD-2024-10009</t>
        </is>
      </c>
      <c r="B10" s="12" t="inlineStr">
        <is>
          <t>11/05/2024</t>
        </is>
      </c>
      <c r="C10" s="12" t="inlineStr">
        <is>
          <t>11/10/2024</t>
        </is>
      </c>
      <c r="D10" s="12" t="inlineStr">
        <is>
          <t>CUST-2598</t>
        </is>
      </c>
      <c r="E10" s="12" t="inlineStr">
        <is>
          <t>Aditi Sen</t>
        </is>
      </c>
      <c r="F10" s="12" t="inlineStr">
        <is>
          <t>Corporate</t>
        </is>
      </c>
      <c r="G10" s="12" t="inlineStr">
        <is>
          <t>South</t>
        </is>
      </c>
      <c r="H10" s="12" t="inlineStr">
        <is>
          <t>Telangana</t>
        </is>
      </c>
      <c r="I10" s="12" t="inlineStr">
        <is>
          <t>Hyderabad</t>
        </is>
      </c>
      <c r="J10" s="12" t="inlineStr">
        <is>
          <t>Office Supplies</t>
        </is>
      </c>
      <c r="K10" s="12" t="inlineStr">
        <is>
          <t>Labels</t>
        </is>
      </c>
      <c r="L10" s="12" t="inlineStr">
        <is>
          <t>Classic Labels 815</t>
        </is>
      </c>
      <c r="M10" s="12" t="inlineStr">
        <is>
          <t>First Class</t>
        </is>
      </c>
      <c r="N10" s="12" t="n">
        <v>8</v>
      </c>
      <c r="O10" s="12" t="n">
        <v>3134.2</v>
      </c>
      <c r="P10" s="12" t="n">
        <v>0</v>
      </c>
      <c r="Q10" s="12" t="n">
        <v>25073.6</v>
      </c>
      <c r="R10" s="12" t="n">
        <v>17347.23</v>
      </c>
      <c r="S10" s="12" t="n">
        <v>7726.37</v>
      </c>
      <c r="T10" s="12" t="inlineStr">
        <is>
          <t>Paid</t>
        </is>
      </c>
      <c r="U10" s="12" t="inlineStr">
        <is>
          <t>Completed</t>
        </is>
      </c>
      <c r="V10">
        <f>IF(OR(P10="",P10&lt;0,P10&gt;0.5),0,P10)</f>
        <v/>
      </c>
      <c r="W10">
        <f>N10*O10*(1-V10)</f>
        <v/>
      </c>
      <c r="X10">
        <f>W10-R10</f>
        <v/>
      </c>
      <c r="Y10">
        <f>IF(W10=0,0,X10/W10)</f>
        <v/>
      </c>
      <c r="Z10">
        <f>C10-B10</f>
        <v/>
      </c>
      <c r="AA10">
        <f>TEXT(B10,"mmmm")</f>
        <v/>
      </c>
      <c r="AB10">
        <f>YEAR(B10)</f>
        <v/>
      </c>
      <c r="AC10">
        <f>IF(OR(P10&lt;0,P10&gt;0.5,C10&lt;B10),"INVALID","CLEAN")</f>
        <v/>
      </c>
    </row>
    <row r="11">
      <c r="A11" s="12" t="inlineStr">
        <is>
          <t>ORD-2025-10010</t>
        </is>
      </c>
      <c r="B11" s="12" t="inlineStr">
        <is>
          <t>07-09-2025</t>
        </is>
      </c>
      <c r="C11" s="12" t="inlineStr">
        <is>
          <t>09/12/2025</t>
        </is>
      </c>
      <c r="D11" s="12" t="inlineStr">
        <is>
          <t>CUST-2483</t>
        </is>
      </c>
      <c r="E11" s="12" t="inlineStr">
        <is>
          <t>Mira Das</t>
        </is>
      </c>
      <c r="F11" s="12" t="inlineStr">
        <is>
          <t>Home Office</t>
        </is>
      </c>
      <c r="G11" s="12" t="inlineStr">
        <is>
          <t>South</t>
        </is>
      </c>
      <c r="H11" s="12" t="inlineStr">
        <is>
          <t>Telangana</t>
        </is>
      </c>
      <c r="I11" s="12" t="inlineStr">
        <is>
          <t>Hyderabad</t>
        </is>
      </c>
      <c r="J11" s="12" t="inlineStr">
        <is>
          <t>Office Supplies</t>
        </is>
      </c>
      <c r="K11" s="12" t="inlineStr">
        <is>
          <t>Paper</t>
        </is>
      </c>
      <c r="L11" s="12" t="inlineStr">
        <is>
          <t>Pro Paper 622</t>
        </is>
      </c>
      <c r="M11" s="12" t="inlineStr">
        <is>
          <t>Second Class</t>
        </is>
      </c>
      <c r="N11" s="12" t="n">
        <v>9</v>
      </c>
      <c r="O11" s="12" t="n">
        <v>852.04</v>
      </c>
      <c r="P11" s="12" t="n">
        <v>0.2</v>
      </c>
      <c r="Q11" s="12" t="n">
        <v>6134.69</v>
      </c>
      <c r="R11" s="12" t="n">
        <v>3800.19</v>
      </c>
      <c r="S11" s="12" t="n">
        <v>2334.5</v>
      </c>
      <c r="T11" s="12" t="inlineStr">
        <is>
          <t>Paid</t>
        </is>
      </c>
      <c r="U11" s="12" t="inlineStr">
        <is>
          <t>Completed</t>
        </is>
      </c>
      <c r="V11">
        <f>IF(OR(P11="",P11&lt;0,P11&gt;0.5),0,P11)</f>
        <v/>
      </c>
      <c r="W11">
        <f>N11*O11*(1-V11)</f>
        <v/>
      </c>
      <c r="X11">
        <f>W11-R11</f>
        <v/>
      </c>
      <c r="Y11">
        <f>IF(W11=0,0,X11/W11)</f>
        <v/>
      </c>
      <c r="Z11">
        <f>C11-B11</f>
        <v/>
      </c>
      <c r="AA11">
        <f>TEXT(B11,"mmmm")</f>
        <v/>
      </c>
      <c r="AB11">
        <f>YEAR(B11)</f>
        <v/>
      </c>
      <c r="AC11">
        <f>IF(OR(P11&lt;0,P11&gt;0.5,C11&lt;B11),"INVALID","CLEAN")</f>
        <v/>
      </c>
    </row>
    <row r="12">
      <c r="A12" s="12" t="inlineStr">
        <is>
          <t>ORD-2025-10011</t>
        </is>
      </c>
      <c r="B12" s="12" t="inlineStr">
        <is>
          <t>20 May 2025</t>
        </is>
      </c>
      <c r="C12" s="12" t="inlineStr">
        <is>
          <t>05/20/2025</t>
        </is>
      </c>
      <c r="D12" s="12" t="inlineStr">
        <is>
          <t>CUST-8092</t>
        </is>
      </c>
      <c r="E12" s="12" t="inlineStr">
        <is>
          <t>Ananya Rao</t>
        </is>
      </c>
      <c r="F12" s="12" t="inlineStr">
        <is>
          <t>Corporate</t>
        </is>
      </c>
      <c r="G12" s="12" t="inlineStr">
        <is>
          <t>East</t>
        </is>
      </c>
      <c r="H12" s="12" t="inlineStr">
        <is>
          <t>West Bengal</t>
        </is>
      </c>
      <c r="I12" s="12" t="inlineStr">
        <is>
          <t>Kolkata</t>
        </is>
      </c>
      <c r="J12" s="12" t="inlineStr">
        <is>
          <t>Office Supplies</t>
        </is>
      </c>
      <c r="K12" s="12" t="inlineStr">
        <is>
          <t>Labels</t>
        </is>
      </c>
      <c r="L12" s="12" t="inlineStr">
        <is>
          <t>Prime Labels 644</t>
        </is>
      </c>
      <c r="M12" s="12" t="inlineStr">
        <is>
          <t>Second Class</t>
        </is>
      </c>
      <c r="N12" s="12" t="n">
        <v>3</v>
      </c>
      <c r="O12" s="12" t="n">
        <v>3534.83</v>
      </c>
      <c r="P12" s="12" t="n">
        <v>0.05</v>
      </c>
      <c r="Q12" s="12" t="n">
        <v>10074.27</v>
      </c>
      <c r="R12" s="12" t="n">
        <v>6048.27</v>
      </c>
      <c r="S12" s="12" t="n">
        <v>4026</v>
      </c>
      <c r="T12" s="12" t="inlineStr">
        <is>
          <t>Refunded</t>
        </is>
      </c>
      <c r="U12" s="12" t="inlineStr">
        <is>
          <t>Returned</t>
        </is>
      </c>
      <c r="V12">
        <f>IF(OR(P12="",P12&lt;0,P12&gt;0.5),0,P12)</f>
        <v/>
      </c>
      <c r="W12">
        <f>N12*O12*(1-V12)</f>
        <v/>
      </c>
      <c r="X12">
        <f>W12-R12</f>
        <v/>
      </c>
      <c r="Y12">
        <f>IF(W12=0,0,X12/W12)</f>
        <v/>
      </c>
      <c r="Z12">
        <f>C12-B12</f>
        <v/>
      </c>
      <c r="AA12">
        <f>TEXT(B12,"mmmm")</f>
        <v/>
      </c>
      <c r="AB12">
        <f>YEAR(B12)</f>
        <v/>
      </c>
      <c r="AC12">
        <f>IF(OR(P12&lt;0,P12&gt;0.5,C12&lt;B12),"INVALID","CLEAN")</f>
        <v/>
      </c>
    </row>
    <row r="13">
      <c r="A13" s="12" t="inlineStr">
        <is>
          <t>ORD-2024-10012</t>
        </is>
      </c>
      <c r="B13" s="12" t="inlineStr">
        <is>
          <t>2024-07-22</t>
        </is>
      </c>
      <c r="C13" s="12" t="inlineStr">
        <is>
          <t>23-07-2024</t>
        </is>
      </c>
      <c r="D13" s="12" t="inlineStr">
        <is>
          <t>CUST-6528</t>
        </is>
      </c>
      <c r="E13" s="12" t="inlineStr">
        <is>
          <t>Vikram Iyer</t>
        </is>
      </c>
      <c r="F13" s="12" t="inlineStr">
        <is>
          <t>Small Business</t>
        </is>
      </c>
      <c r="G13" s="12" t="inlineStr">
        <is>
          <t>East</t>
        </is>
      </c>
      <c r="H13" s="12" t="inlineStr">
        <is>
          <t>Odisha</t>
        </is>
      </c>
      <c r="I13" s="12" t="inlineStr">
        <is>
          <t>Bhubaneswar</t>
        </is>
      </c>
      <c r="J13" s="12" t="inlineStr">
        <is>
          <t>Technology</t>
        </is>
      </c>
      <c r="K13" s="12" t="inlineStr">
        <is>
          <t>Accessories</t>
        </is>
      </c>
      <c r="L13" s="12" t="inlineStr">
        <is>
          <t>Smart Accessories 603</t>
        </is>
      </c>
      <c r="M13" s="12" t="inlineStr">
        <is>
          <t>Same Day</t>
        </is>
      </c>
      <c r="N13" s="12" t="n">
        <v>6</v>
      </c>
      <c r="O13" s="12" t="n">
        <v>2005.95</v>
      </c>
      <c r="P13" s="12" t="n">
        <v>0.2</v>
      </c>
      <c r="Q13" s="12" t="n">
        <v>9628.559999999999</v>
      </c>
      <c r="R13" s="12" t="n">
        <v>8038.59</v>
      </c>
      <c r="S13" s="12" t="n">
        <v>1589.97</v>
      </c>
      <c r="T13" s="12" t="inlineStr">
        <is>
          <t>Paid</t>
        </is>
      </c>
      <c r="U13" s="12" t="inlineStr">
        <is>
          <t>Completed</t>
        </is>
      </c>
      <c r="V13">
        <f>IF(OR(P13="",P13&lt;0,P13&gt;0.5),0,P13)</f>
        <v/>
      </c>
      <c r="W13">
        <f>N13*O13*(1-V13)</f>
        <v/>
      </c>
      <c r="X13">
        <f>W13-R13</f>
        <v/>
      </c>
      <c r="Y13">
        <f>IF(W13=0,0,X13/W13)</f>
        <v/>
      </c>
      <c r="Z13">
        <f>C13-B13</f>
        <v/>
      </c>
      <c r="AA13">
        <f>TEXT(B13,"mmmm")</f>
        <v/>
      </c>
      <c r="AB13">
        <f>YEAR(B13)</f>
        <v/>
      </c>
      <c r="AC13">
        <f>IF(OR(P13&lt;0,P13&gt;0.5,C13&lt;B13),"INVALID","CLEAN")</f>
        <v/>
      </c>
    </row>
    <row r="14">
      <c r="A14" s="12" t="inlineStr">
        <is>
          <t>ORD-2024-10013</t>
        </is>
      </c>
      <c r="B14" s="12" t="inlineStr">
        <is>
          <t>20 Dec 2024</t>
        </is>
      </c>
      <c r="C14" s="12" t="inlineStr">
        <is>
          <t>12/21/2024</t>
        </is>
      </c>
      <c r="D14" s="12" t="inlineStr">
        <is>
          <t>CUST-2648</t>
        </is>
      </c>
      <c r="E14" s="12" t="inlineStr">
        <is>
          <t>Ananya Rao</t>
        </is>
      </c>
      <c r="F14" s="12" t="inlineStr">
        <is>
          <t xml:space="preserve">Corporate </t>
        </is>
      </c>
      <c r="G14" s="12" t="inlineStr">
        <is>
          <t>West</t>
        </is>
      </c>
      <c r="H14" s="12" t="inlineStr">
        <is>
          <t>Rajasthan</t>
        </is>
      </c>
      <c r="I14" s="12" t="inlineStr">
        <is>
          <t>Udaipur</t>
        </is>
      </c>
      <c r="J14" s="12" t="inlineStr">
        <is>
          <t>Office Supplies</t>
        </is>
      </c>
      <c r="K14" s="12" t="inlineStr">
        <is>
          <t>Paper</t>
        </is>
      </c>
      <c r="L14" s="12" t="inlineStr">
        <is>
          <t>Pro Paper 481</t>
        </is>
      </c>
      <c r="M14" s="12" t="inlineStr">
        <is>
          <t>First Class</t>
        </is>
      </c>
      <c r="N14" s="12" t="n">
        <v>1</v>
      </c>
      <c r="O14" s="12" t="n">
        <v>702.14</v>
      </c>
      <c r="P14" s="12" t="n">
        <v>0.15</v>
      </c>
      <c r="Q14" s="12" t="n">
        <v>596.8200000000001</v>
      </c>
      <c r="R14" s="12" t="n">
        <v>380.25</v>
      </c>
      <c r="S14" s="12" t="n">
        <v>216.57</v>
      </c>
      <c r="T14" s="12" t="inlineStr">
        <is>
          <t>Pending</t>
        </is>
      </c>
      <c r="U14" s="12" t="inlineStr">
        <is>
          <t>Returned</t>
        </is>
      </c>
      <c r="V14">
        <f>IF(OR(P14="",P14&lt;0,P14&gt;0.5),0,P14)</f>
        <v/>
      </c>
      <c r="W14">
        <f>N14*O14*(1-V14)</f>
        <v/>
      </c>
      <c r="X14">
        <f>W14-R14</f>
        <v/>
      </c>
      <c r="Y14">
        <f>IF(W14=0,0,X14/W14)</f>
        <v/>
      </c>
      <c r="Z14">
        <f>C14-B14</f>
        <v/>
      </c>
      <c r="AA14">
        <f>TEXT(B14,"mmmm")</f>
        <v/>
      </c>
      <c r="AB14">
        <f>YEAR(B14)</f>
        <v/>
      </c>
      <c r="AC14">
        <f>IF(OR(P14&lt;0,P14&gt;0.5,C14&lt;B14),"INVALID","CLEAN")</f>
        <v/>
      </c>
    </row>
    <row r="15">
      <c r="A15" s="12" t="inlineStr">
        <is>
          <t>ORD-2025-10014</t>
        </is>
      </c>
      <c r="B15" s="12" t="inlineStr">
        <is>
          <t>2025-10-12</t>
        </is>
      </c>
      <c r="C15" s="12" t="inlineStr">
        <is>
          <t>16-10-2025</t>
        </is>
      </c>
      <c r="D15" s="12" t="inlineStr">
        <is>
          <t>CUST-7482</t>
        </is>
      </c>
      <c r="E15" s="12" t="inlineStr">
        <is>
          <t>Priya Menon</t>
        </is>
      </c>
      <c r="F15" s="12" t="inlineStr">
        <is>
          <t>Small Business</t>
        </is>
      </c>
      <c r="G15" s="12" t="inlineStr">
        <is>
          <t>West</t>
        </is>
      </c>
      <c r="H15" s="12" t="inlineStr">
        <is>
          <t>Maharashtra</t>
        </is>
      </c>
      <c r="I15" s="12" t="inlineStr">
        <is>
          <t>Mumbai</t>
        </is>
      </c>
      <c r="J15" s="12" t="inlineStr">
        <is>
          <t>Office Supplies</t>
        </is>
      </c>
      <c r="K15" s="12" t="inlineStr">
        <is>
          <t>Art</t>
        </is>
      </c>
      <c r="L15" s="12" t="inlineStr">
        <is>
          <t>Smart Art 795</t>
        </is>
      </c>
      <c r="M15" s="12" t="inlineStr">
        <is>
          <t>Second Class</t>
        </is>
      </c>
      <c r="N15" s="12" t="n">
        <v>7</v>
      </c>
      <c r="O15" s="12" t="n">
        <v>3964.72</v>
      </c>
      <c r="P15" s="12" t="n">
        <v>0.05</v>
      </c>
      <c r="Q15" s="12" t="n">
        <v>26365.39</v>
      </c>
      <c r="R15" s="12" t="n">
        <v>22306.24</v>
      </c>
      <c r="S15" s="12" t="n">
        <v>4059.15</v>
      </c>
      <c r="T15" s="12" t="inlineStr">
        <is>
          <t>Paid</t>
        </is>
      </c>
      <c r="U15" s="12" t="inlineStr">
        <is>
          <t>Completed</t>
        </is>
      </c>
      <c r="V15">
        <f>IF(OR(P15="",P15&lt;0,P15&gt;0.5),0,P15)</f>
        <v/>
      </c>
      <c r="W15">
        <f>N15*O15*(1-V15)</f>
        <v/>
      </c>
      <c r="X15">
        <f>W15-R15</f>
        <v/>
      </c>
      <c r="Y15">
        <f>IF(W15=0,0,X15/W15)</f>
        <v/>
      </c>
      <c r="Z15">
        <f>C15-B15</f>
        <v/>
      </c>
      <c r="AA15">
        <f>TEXT(B15,"mmmm")</f>
        <v/>
      </c>
      <c r="AB15">
        <f>YEAR(B15)</f>
        <v/>
      </c>
      <c r="AC15">
        <f>IF(OR(P15&lt;0,P15&gt;0.5,C15&lt;B15),"INVALID","CLEAN")</f>
        <v/>
      </c>
    </row>
    <row r="16">
      <c r="A16" s="12" t="inlineStr">
        <is>
          <t>ORD-2024-10015</t>
        </is>
      </c>
      <c r="B16" s="12" t="inlineStr">
        <is>
          <t>27 Dec 2024</t>
        </is>
      </c>
      <c r="C16" s="12" t="inlineStr">
        <is>
          <t>12/28/2024</t>
        </is>
      </c>
      <c r="D16" s="12" t="inlineStr">
        <is>
          <t>CUST-4912</t>
        </is>
      </c>
      <c r="E16" s="12" t="inlineStr">
        <is>
          <t>Rahul Verma</t>
        </is>
      </c>
      <c r="F16" s="12" t="inlineStr">
        <is>
          <t>Consumer</t>
        </is>
      </c>
      <c r="G16" s="12" t="inlineStr">
        <is>
          <t>West</t>
        </is>
      </c>
      <c r="H16" s="12" t="inlineStr">
        <is>
          <t>Rajasthan</t>
        </is>
      </c>
      <c r="I16" s="12" t="inlineStr">
        <is>
          <t>Udaipur</t>
        </is>
      </c>
      <c r="J16" s="12" t="inlineStr">
        <is>
          <t>Technology</t>
        </is>
      </c>
      <c r="K16" s="12" t="inlineStr">
        <is>
          <t>Copiers</t>
        </is>
      </c>
      <c r="L16" s="12" t="inlineStr">
        <is>
          <t>Max Copiers 983</t>
        </is>
      </c>
      <c r="M16" s="12" t="inlineStr">
        <is>
          <t>Standard Class</t>
        </is>
      </c>
      <c r="N16" s="12" t="n">
        <v>2</v>
      </c>
      <c r="O16" s="12" t="n">
        <v>2737.83</v>
      </c>
      <c r="P16" s="12" t="n">
        <v>0.25</v>
      </c>
      <c r="Q16" s="12" t="n">
        <v>4106.74</v>
      </c>
      <c r="R16" s="12" t="n">
        <v>2666.3</v>
      </c>
      <c r="S16" s="12" t="n">
        <v>1440.44</v>
      </c>
      <c r="T16" s="12" t="inlineStr">
        <is>
          <t>Paid</t>
        </is>
      </c>
      <c r="U16" s="12" t="inlineStr">
        <is>
          <t>Completed</t>
        </is>
      </c>
      <c r="V16">
        <f>IF(OR(P16="",P16&lt;0,P16&gt;0.5),0,P16)</f>
        <v/>
      </c>
      <c r="W16">
        <f>N16*O16*(1-V16)</f>
        <v/>
      </c>
      <c r="X16">
        <f>W16-R16</f>
        <v/>
      </c>
      <c r="Y16">
        <f>IF(W16=0,0,X16/W16)</f>
        <v/>
      </c>
      <c r="Z16">
        <f>C16-B16</f>
        <v/>
      </c>
      <c r="AA16">
        <f>TEXT(B16,"mmmm")</f>
        <v/>
      </c>
      <c r="AB16">
        <f>YEAR(B16)</f>
        <v/>
      </c>
      <c r="AC16">
        <f>IF(OR(P16&lt;0,P16&gt;0.5,C16&lt;B16),"INVALID","CLEAN")</f>
        <v/>
      </c>
    </row>
    <row r="17">
      <c r="A17" s="12" t="inlineStr">
        <is>
          <t>ORD-2024-10016</t>
        </is>
      </c>
      <c r="B17" s="12" t="inlineStr">
        <is>
          <t>07/09/2024</t>
        </is>
      </c>
      <c r="C17" s="12" t="inlineStr">
        <is>
          <t>09 Jul 2024</t>
        </is>
      </c>
      <c r="D17" s="12" t="inlineStr">
        <is>
          <t>CUST-7656</t>
        </is>
      </c>
      <c r="E17" s="12" t="inlineStr">
        <is>
          <t>Karan Malhotra</t>
        </is>
      </c>
      <c r="F17" s="12" t="inlineStr">
        <is>
          <t>Small Business</t>
        </is>
      </c>
      <c r="G17" s="12" t="inlineStr">
        <is>
          <t>North</t>
        </is>
      </c>
      <c r="H17" s="12" t="inlineStr">
        <is>
          <t>Punjab</t>
        </is>
      </c>
      <c r="I17" s="12" t="inlineStr">
        <is>
          <t>Ludhiana</t>
        </is>
      </c>
      <c r="J17" s="12" t="inlineStr">
        <is>
          <t>Office Supplies</t>
        </is>
      </c>
      <c r="K17" s="12" t="inlineStr">
        <is>
          <t>Storage</t>
        </is>
      </c>
      <c r="L17" s="12" t="inlineStr">
        <is>
          <t>Classic Storage 198</t>
        </is>
      </c>
      <c r="M17" s="12" t="inlineStr">
        <is>
          <t>Second Class</t>
        </is>
      </c>
      <c r="N17" s="12" t="n">
        <v>6</v>
      </c>
      <c r="O17" s="12" t="n">
        <v>3965.76</v>
      </c>
      <c r="P17" s="12" t="n">
        <v>0</v>
      </c>
      <c r="Q17" s="12" t="n">
        <v>23794.56</v>
      </c>
      <c r="R17" s="12" t="n">
        <v>15698.47</v>
      </c>
      <c r="S17" s="12" t="n">
        <v>8096.09</v>
      </c>
      <c r="T17" s="12" t="inlineStr">
        <is>
          <t>Paid</t>
        </is>
      </c>
      <c r="U17" s="12" t="inlineStr">
        <is>
          <t>Completed</t>
        </is>
      </c>
      <c r="V17">
        <f>IF(OR(P17="",P17&lt;0,P17&gt;0.5),0,P17)</f>
        <v/>
      </c>
      <c r="W17">
        <f>N17*O17*(1-V17)</f>
        <v/>
      </c>
      <c r="X17">
        <f>W17-R17</f>
        <v/>
      </c>
      <c r="Y17">
        <f>IF(W17=0,0,X17/W17)</f>
        <v/>
      </c>
      <c r="Z17">
        <f>C17-B17</f>
        <v/>
      </c>
      <c r="AA17">
        <f>TEXT(B17,"mmmm")</f>
        <v/>
      </c>
      <c r="AB17">
        <f>YEAR(B17)</f>
        <v/>
      </c>
      <c r="AC17">
        <f>IF(OR(P17&lt;0,P17&gt;0.5,C17&lt;B17),"INVALID","CLEAN")</f>
        <v/>
      </c>
    </row>
    <row r="18">
      <c r="A18" s="12" t="inlineStr">
        <is>
          <t>ORD-2024-10017</t>
        </is>
      </c>
      <c r="B18" s="12" t="inlineStr">
        <is>
          <t>05/08/2024</t>
        </is>
      </c>
      <c r="C18" s="12" t="inlineStr">
        <is>
          <t>15-05-2024</t>
        </is>
      </c>
      <c r="D18" s="12" t="inlineStr">
        <is>
          <t>CUST-6214</t>
        </is>
      </c>
      <c r="E18" s="12" t="inlineStr">
        <is>
          <t>Aarav Sharma</t>
        </is>
      </c>
      <c r="F18" s="12" t="inlineStr">
        <is>
          <t>Consumer</t>
        </is>
      </c>
      <c r="G18" s="12" t="inlineStr">
        <is>
          <t>South</t>
        </is>
      </c>
      <c r="H18" s="12" t="inlineStr">
        <is>
          <t>Telangana</t>
        </is>
      </c>
      <c r="I18" s="12" t="inlineStr">
        <is>
          <t>Hyderabad</t>
        </is>
      </c>
      <c r="J18" s="12" t="inlineStr">
        <is>
          <t>Office Supplies</t>
        </is>
      </c>
      <c r="K18" s="12" t="inlineStr">
        <is>
          <t>Art</t>
        </is>
      </c>
      <c r="L18" s="12" t="inlineStr">
        <is>
          <t>Basic Art 204</t>
        </is>
      </c>
      <c r="M18" s="12" t="inlineStr">
        <is>
          <t>First Class</t>
        </is>
      </c>
      <c r="N18" s="12" t="n">
        <v>4</v>
      </c>
      <c r="O18" s="12" t="n">
        <v>3323.51</v>
      </c>
      <c r="P18" s="12" t="n">
        <v>0.25</v>
      </c>
      <c r="Q18" s="12" t="n">
        <v>9970.530000000001</v>
      </c>
      <c r="R18" s="12" t="n">
        <v>5668.17</v>
      </c>
      <c r="S18" s="12" t="n">
        <v>4302.36</v>
      </c>
      <c r="T18" s="12" t="inlineStr">
        <is>
          <t>Paid</t>
        </is>
      </c>
      <c r="U18" s="12" t="inlineStr">
        <is>
          <t>Completed</t>
        </is>
      </c>
      <c r="V18">
        <f>IF(OR(P18="",P18&lt;0,P18&gt;0.5),0,P18)</f>
        <v/>
      </c>
      <c r="W18">
        <f>N18*O18*(1-V18)</f>
        <v/>
      </c>
      <c r="X18">
        <f>W18-R18</f>
        <v/>
      </c>
      <c r="Y18">
        <f>IF(W18=0,0,X18/W18)</f>
        <v/>
      </c>
      <c r="Z18">
        <f>C18-B18</f>
        <v/>
      </c>
      <c r="AA18">
        <f>TEXT(B18,"mmmm")</f>
        <v/>
      </c>
      <c r="AB18">
        <f>YEAR(B18)</f>
        <v/>
      </c>
      <c r="AC18">
        <f>IF(OR(P18&lt;0,P18&gt;0.5,C18&lt;B18),"INVALID","CLEAN")</f>
        <v/>
      </c>
    </row>
    <row r="19">
      <c r="A19" s="12" t="inlineStr">
        <is>
          <t>ORD-2024-10018</t>
        </is>
      </c>
      <c r="B19" s="12" t="inlineStr">
        <is>
          <t>01/07/2024</t>
        </is>
      </c>
      <c r="C19" s="12" t="inlineStr">
        <is>
          <t>2024-01-08</t>
        </is>
      </c>
      <c r="D19" s="12" t="inlineStr">
        <is>
          <t>CUST-1626</t>
        </is>
      </c>
      <c r="E19" s="12" t="inlineStr">
        <is>
          <t>Sneha Kapoor</t>
        </is>
      </c>
      <c r="F19" s="12" t="inlineStr">
        <is>
          <t>Small Business</t>
        </is>
      </c>
      <c r="G19" s="12" t="inlineStr">
        <is>
          <t>North</t>
        </is>
      </c>
      <c r="H19" s="12" t="inlineStr">
        <is>
          <t>Rajasthan</t>
        </is>
      </c>
      <c r="I19" s="12" t="inlineStr">
        <is>
          <t>Jaipur</t>
        </is>
      </c>
      <c r="J19" s="12" t="inlineStr">
        <is>
          <t>Furniture</t>
        </is>
      </c>
      <c r="K19" s="12" t="inlineStr">
        <is>
          <t>Furnishings</t>
        </is>
      </c>
      <c r="L19" s="12" t="inlineStr">
        <is>
          <t>Basic Furnishings 434</t>
        </is>
      </c>
      <c r="M19" s="12" t="inlineStr">
        <is>
          <t>Same Day</t>
        </is>
      </c>
      <c r="N19" s="12" t="n">
        <v>5</v>
      </c>
      <c r="O19" s="12" t="n">
        <v>1526.78</v>
      </c>
      <c r="P19" s="12" t="n">
        <v>0</v>
      </c>
      <c r="Q19" s="12" t="n">
        <v>7633.9</v>
      </c>
      <c r="R19" s="12" t="n">
        <v>4706.91</v>
      </c>
      <c r="S19" s="12" t="n">
        <v>2926.99</v>
      </c>
      <c r="T19" s="12" t="inlineStr">
        <is>
          <t>Paid</t>
        </is>
      </c>
      <c r="U19" s="12" t="inlineStr">
        <is>
          <t>Completed</t>
        </is>
      </c>
      <c r="V19">
        <f>IF(OR(P19="",P19&lt;0,P19&gt;0.5),0,P19)</f>
        <v/>
      </c>
      <c r="W19">
        <f>N19*O19*(1-V19)</f>
        <v/>
      </c>
      <c r="X19">
        <f>W19-R19</f>
        <v/>
      </c>
      <c r="Y19">
        <f>IF(W19=0,0,X19/W19)</f>
        <v/>
      </c>
      <c r="Z19">
        <f>C19-B19</f>
        <v/>
      </c>
      <c r="AA19">
        <f>TEXT(B19,"mmmm")</f>
        <v/>
      </c>
      <c r="AB19">
        <f>YEAR(B19)</f>
        <v/>
      </c>
      <c r="AC19">
        <f>IF(OR(P19&lt;0,P19&gt;0.5,C19&lt;B19),"INVALID","CLEAN")</f>
        <v/>
      </c>
    </row>
    <row r="20">
      <c r="A20" s="12" t="inlineStr">
        <is>
          <t>ORD-2025-10019</t>
        </is>
      </c>
      <c r="B20" s="12" t="inlineStr">
        <is>
          <t>07/15/2025</t>
        </is>
      </c>
      <c r="C20" s="12" t="inlineStr">
        <is>
          <t>17-07-2025</t>
        </is>
      </c>
      <c r="D20" s="12" t="inlineStr">
        <is>
          <t>CUST-2110</t>
        </is>
      </c>
      <c r="E20" s="12" t="inlineStr">
        <is>
          <t>Aarav Sharma</t>
        </is>
      </c>
      <c r="F20" s="12" t="inlineStr">
        <is>
          <t>Home Office</t>
        </is>
      </c>
      <c r="G20" s="12" t="inlineStr">
        <is>
          <t>North</t>
        </is>
      </c>
      <c r="H20" s="12" t="inlineStr">
        <is>
          <t>Uttar Pradesh</t>
        </is>
      </c>
      <c r="I20" s="12" t="inlineStr">
        <is>
          <t>Noida</t>
        </is>
      </c>
      <c r="J20" s="12" t="inlineStr">
        <is>
          <t>Technology</t>
        </is>
      </c>
      <c r="K20" s="12" t="inlineStr">
        <is>
          <t>Copiers</t>
        </is>
      </c>
      <c r="L20" s="12" t="inlineStr">
        <is>
          <t>Eco Copiers 755</t>
        </is>
      </c>
      <c r="M20" s="12" t="inlineStr">
        <is>
          <t>First Class</t>
        </is>
      </c>
      <c r="N20" s="12" t="n">
        <v>2</v>
      </c>
      <c r="O20" s="12" t="n">
        <v>1997.99</v>
      </c>
      <c r="P20" s="12" t="n">
        <v>0</v>
      </c>
      <c r="Q20" s="12" t="n">
        <v>3995.98</v>
      </c>
      <c r="R20" s="12" t="n">
        <v>2633.2</v>
      </c>
      <c r="S20" s="12" t="n">
        <v>1362.78</v>
      </c>
      <c r="T20" s="12" t="inlineStr">
        <is>
          <t>Refunded</t>
        </is>
      </c>
      <c r="U20" s="12" t="inlineStr">
        <is>
          <t>Cancelled</t>
        </is>
      </c>
      <c r="V20">
        <f>IF(OR(P20="",P20&lt;0,P20&gt;0.5),0,P20)</f>
        <v/>
      </c>
      <c r="W20">
        <f>N20*O20*(1-V20)</f>
        <v/>
      </c>
      <c r="X20">
        <f>W20-R20</f>
        <v/>
      </c>
      <c r="Y20">
        <f>IF(W20=0,0,X20/W20)</f>
        <v/>
      </c>
      <c r="Z20">
        <f>C20-B20</f>
        <v/>
      </c>
      <c r="AA20">
        <f>TEXT(B20,"mmmm")</f>
        <v/>
      </c>
      <c r="AB20">
        <f>YEAR(B20)</f>
        <v/>
      </c>
      <c r="AC20">
        <f>IF(OR(P20&lt;0,P20&gt;0.5,C20&lt;B20),"INVALID","CLEAN")</f>
        <v/>
      </c>
    </row>
    <row r="21">
      <c r="A21" s="12" t="inlineStr">
        <is>
          <t>ORD-2024-10020</t>
        </is>
      </c>
      <c r="B21" s="12" t="inlineStr">
        <is>
          <t>07/27/2024</t>
        </is>
      </c>
      <c r="C21" s="12" t="inlineStr">
        <is>
          <t>31 Jul 2024</t>
        </is>
      </c>
      <c r="D21" s="12" t="inlineStr">
        <is>
          <t>CUST-3186</t>
        </is>
      </c>
      <c r="E21" s="12" t="inlineStr">
        <is>
          <t>Rohan Mehta</t>
        </is>
      </c>
      <c r="F21" s="12" t="inlineStr">
        <is>
          <t>Home Office</t>
        </is>
      </c>
      <c r="G21" s="12" t="inlineStr">
        <is>
          <t>West</t>
        </is>
      </c>
      <c r="H21" s="12" t="inlineStr">
        <is>
          <t>Madhya Pradesh</t>
        </is>
      </c>
      <c r="I21" s="12" t="inlineStr">
        <is>
          <t>Indore</t>
        </is>
      </c>
      <c r="J21" s="12" t="inlineStr">
        <is>
          <t>Office Supplies</t>
        </is>
      </c>
      <c r="K21" s="12" t="inlineStr">
        <is>
          <t>Storage</t>
        </is>
      </c>
      <c r="L21" s="12" t="inlineStr">
        <is>
          <t>Prime Storage 121</t>
        </is>
      </c>
      <c r="M21" s="12" t="inlineStr">
        <is>
          <t>Second Class</t>
        </is>
      </c>
      <c r="N21" s="12" t="n">
        <v>3</v>
      </c>
      <c r="O21" s="12" t="n">
        <v>3887.94</v>
      </c>
      <c r="P21" s="12" t="n">
        <v>-0.19</v>
      </c>
      <c r="Q21" s="12" t="n">
        <v>9331.059999999999</v>
      </c>
      <c r="R21" s="12" t="n">
        <v>7529.31</v>
      </c>
      <c r="S21" s="12" t="n">
        <v>1801.75</v>
      </c>
      <c r="T21" s="12" t="inlineStr">
        <is>
          <t>Paid</t>
        </is>
      </c>
      <c r="U21" s="12" t="inlineStr">
        <is>
          <t>Completed</t>
        </is>
      </c>
      <c r="V21">
        <f>IF(OR(P21="",P21&lt;0,P21&gt;0.5),0,P21)</f>
        <v/>
      </c>
      <c r="W21">
        <f>N21*O21*(1-V21)</f>
        <v/>
      </c>
      <c r="X21">
        <f>W21-R21</f>
        <v/>
      </c>
      <c r="Y21">
        <f>IF(W21=0,0,X21/W21)</f>
        <v/>
      </c>
      <c r="Z21">
        <f>C21-B21</f>
        <v/>
      </c>
      <c r="AA21">
        <f>TEXT(B21,"mmmm")</f>
        <v/>
      </c>
      <c r="AB21">
        <f>YEAR(B21)</f>
        <v/>
      </c>
      <c r="AC21">
        <f>IF(OR(P21&lt;0,P21&gt;0.5,C21&lt;B21),"INVALID","CLEAN")</f>
        <v/>
      </c>
    </row>
    <row r="22">
      <c r="A22" s="12" t="inlineStr">
        <is>
          <t>ORD-2025-10021</t>
        </is>
      </c>
      <c r="B22" s="12" t="inlineStr">
        <is>
          <t>21-01-2025</t>
        </is>
      </c>
      <c r="C22" s="12" t="inlineStr">
        <is>
          <t>23 Jan 2025</t>
        </is>
      </c>
      <c r="D22" s="12" t="inlineStr">
        <is>
          <t>CUST-3190</t>
        </is>
      </c>
      <c r="E22" s="12" t="inlineStr">
        <is>
          <t>Aditi Sen</t>
        </is>
      </c>
      <c r="F22" s="12" t="inlineStr">
        <is>
          <t>Home Office</t>
        </is>
      </c>
      <c r="G22" s="12" t="inlineStr">
        <is>
          <t>East</t>
        </is>
      </c>
      <c r="H22" s="12" t="inlineStr">
        <is>
          <t>Bihar</t>
        </is>
      </c>
      <c r="I22" s="12" t="inlineStr">
        <is>
          <t>Patna</t>
        </is>
      </c>
      <c r="J22" s="12" t="inlineStr">
        <is>
          <t>Technology</t>
        </is>
      </c>
      <c r="K22" s="12" t="inlineStr">
        <is>
          <t>Copiers</t>
        </is>
      </c>
      <c r="L22" s="12" t="inlineStr">
        <is>
          <t>Elite Copiers 233</t>
        </is>
      </c>
      <c r="M22" s="12" t="inlineStr">
        <is>
          <t>First Class</t>
        </is>
      </c>
      <c r="N22" s="12" t="n">
        <v>5</v>
      </c>
      <c r="O22" s="12" t="n">
        <v>4373.06</v>
      </c>
      <c r="P22" s="12" t="n">
        <v>0.25</v>
      </c>
      <c r="Q22" s="12" t="n">
        <v>16398.98</v>
      </c>
      <c r="R22" s="12" t="n">
        <v>9556.52</v>
      </c>
      <c r="S22" s="12" t="n">
        <v>6842.46</v>
      </c>
      <c r="T22" s="12" t="inlineStr">
        <is>
          <t>Paid</t>
        </is>
      </c>
      <c r="U22" s="12" t="inlineStr">
        <is>
          <t>Completed</t>
        </is>
      </c>
      <c r="V22">
        <f>IF(OR(P22="",P22&lt;0,P22&gt;0.5),0,P22)</f>
        <v/>
      </c>
      <c r="W22">
        <f>N22*O22*(1-V22)</f>
        <v/>
      </c>
      <c r="X22">
        <f>W22-R22</f>
        <v/>
      </c>
      <c r="Y22">
        <f>IF(W22=0,0,X22/W22)</f>
        <v/>
      </c>
      <c r="Z22">
        <f>C22-B22</f>
        <v/>
      </c>
      <c r="AA22">
        <f>TEXT(B22,"mmmm")</f>
        <v/>
      </c>
      <c r="AB22">
        <f>YEAR(B22)</f>
        <v/>
      </c>
      <c r="AC22">
        <f>IF(OR(P22&lt;0,P22&gt;0.5,C22&lt;B22),"INVALID","CLEAN")</f>
        <v/>
      </c>
    </row>
    <row r="23">
      <c r="A23" s="12" t="inlineStr">
        <is>
          <t>ORD-2025-10022</t>
        </is>
      </c>
      <c r="B23" s="12" t="inlineStr">
        <is>
          <t>24-01-2025</t>
        </is>
      </c>
      <c r="C23" s="12" t="inlineStr">
        <is>
          <t>01/30/2025</t>
        </is>
      </c>
      <c r="D23" s="12" t="inlineStr">
        <is>
          <t>CUST-3036</t>
        </is>
      </c>
      <c r="E23" s="12" t="inlineStr">
        <is>
          <t>Sneha Kapoor</t>
        </is>
      </c>
      <c r="F23" s="12" t="inlineStr">
        <is>
          <t>Consumer</t>
        </is>
      </c>
      <c r="G23" s="12" t="inlineStr">
        <is>
          <t>West</t>
        </is>
      </c>
      <c r="H23" s="12" t="inlineStr">
        <is>
          <t>Madhya Pradesh</t>
        </is>
      </c>
      <c r="I23" s="12" t="inlineStr">
        <is>
          <t>Indore</t>
        </is>
      </c>
      <c r="J23" s="12" t="inlineStr">
        <is>
          <t>Furniture</t>
        </is>
      </c>
      <c r="K23" s="12" t="inlineStr">
        <is>
          <t>Furnishings</t>
        </is>
      </c>
      <c r="L23" s="12" t="inlineStr">
        <is>
          <t>Eco Furnishings 897</t>
        </is>
      </c>
      <c r="M23" s="12" t="inlineStr">
        <is>
          <t>Second Class</t>
        </is>
      </c>
      <c r="N23" s="12" t="n">
        <v>4</v>
      </c>
      <c r="O23" s="12" t="n">
        <v>697.6900000000001</v>
      </c>
      <c r="P23" s="12" t="n">
        <v>-0.23</v>
      </c>
      <c r="Q23" s="12" t="n">
        <v>2790.76</v>
      </c>
      <c r="R23" s="12" t="n">
        <v>2037.71</v>
      </c>
      <c r="S23" s="12" t="n">
        <v>753.05</v>
      </c>
      <c r="T23" s="12" t="inlineStr">
        <is>
          <t>Paid</t>
        </is>
      </c>
      <c r="U23" s="12" t="inlineStr">
        <is>
          <t>Completed</t>
        </is>
      </c>
      <c r="V23">
        <f>IF(OR(P23="",P23&lt;0,P23&gt;0.5),0,P23)</f>
        <v/>
      </c>
      <c r="W23">
        <f>N23*O23*(1-V23)</f>
        <v/>
      </c>
      <c r="X23">
        <f>W23-R23</f>
        <v/>
      </c>
      <c r="Y23">
        <f>IF(W23=0,0,X23/W23)</f>
        <v/>
      </c>
      <c r="Z23">
        <f>C23-B23</f>
        <v/>
      </c>
      <c r="AA23">
        <f>TEXT(B23,"mmmm")</f>
        <v/>
      </c>
      <c r="AB23">
        <f>YEAR(B23)</f>
        <v/>
      </c>
      <c r="AC23">
        <f>IF(OR(P23&lt;0,P23&gt;0.5,C23&lt;B23),"INVALID","CLEAN")</f>
        <v/>
      </c>
    </row>
    <row r="24">
      <c r="A24" s="12" t="inlineStr">
        <is>
          <t>ORD-2025-10023</t>
        </is>
      </c>
      <c r="B24" s="12" t="inlineStr">
        <is>
          <t>19 Jan 2025</t>
        </is>
      </c>
      <c r="C24" s="12" t="inlineStr">
        <is>
          <t>2025-01-21</t>
        </is>
      </c>
      <c r="D24" s="12" t="inlineStr">
        <is>
          <t>CUST-3588</t>
        </is>
      </c>
      <c r="E24" s="12" t="inlineStr">
        <is>
          <t>Mira Das</t>
        </is>
      </c>
      <c r="F24" s="12" t="inlineStr">
        <is>
          <t>Consumer</t>
        </is>
      </c>
      <c r="G24" s="12" t="inlineStr">
        <is>
          <t>South</t>
        </is>
      </c>
      <c r="H24" s="12" t="inlineStr">
        <is>
          <t>Telangana</t>
        </is>
      </c>
      <c r="I24" s="12" t="inlineStr">
        <is>
          <t>Hyderabad</t>
        </is>
      </c>
      <c r="J24" s="12" t="inlineStr">
        <is>
          <t>Office Supplies</t>
        </is>
      </c>
      <c r="K24" s="12" t="inlineStr">
        <is>
          <t>Binders</t>
        </is>
      </c>
      <c r="L24" s="12" t="inlineStr">
        <is>
          <t>Max Binders 355</t>
        </is>
      </c>
      <c r="M24" s="12" t="inlineStr">
        <is>
          <t>Standard Class</t>
        </is>
      </c>
      <c r="N24" s="12" t="n">
        <v>8</v>
      </c>
      <c r="O24" s="12" t="n">
        <v>1219.34</v>
      </c>
      <c r="P24" s="12" t="n">
        <v>0.15</v>
      </c>
      <c r="Q24" s="12" t="n">
        <v>8291.51</v>
      </c>
      <c r="R24" s="12" t="n">
        <v>6685.03</v>
      </c>
      <c r="S24" s="12" t="n">
        <v>1606.48</v>
      </c>
      <c r="T24" s="12" t="inlineStr">
        <is>
          <t>Failed</t>
        </is>
      </c>
      <c r="U24" s="12" t="inlineStr">
        <is>
          <t>Returned</t>
        </is>
      </c>
      <c r="V24">
        <f>IF(OR(P24="",P24&lt;0,P24&gt;0.5),0,P24)</f>
        <v/>
      </c>
      <c r="W24">
        <f>N24*O24*(1-V24)</f>
        <v/>
      </c>
      <c r="X24">
        <f>W24-R24</f>
        <v/>
      </c>
      <c r="Y24">
        <f>IF(W24=0,0,X24/W24)</f>
        <v/>
      </c>
      <c r="Z24">
        <f>C24-B24</f>
        <v/>
      </c>
      <c r="AA24">
        <f>TEXT(B24,"mmmm")</f>
        <v/>
      </c>
      <c r="AB24">
        <f>YEAR(B24)</f>
        <v/>
      </c>
      <c r="AC24">
        <f>IF(OR(P24&lt;0,P24&gt;0.5,C24&lt;B24),"INVALID","CLEAN")</f>
        <v/>
      </c>
    </row>
    <row r="25">
      <c r="A25" s="12" t="inlineStr">
        <is>
          <t>ORD-2025-10024</t>
        </is>
      </c>
      <c r="B25" s="12" t="inlineStr">
        <is>
          <t>29 Aug 2025</t>
        </is>
      </c>
      <c r="C25" s="12" t="inlineStr">
        <is>
          <t>31-08-2025</t>
        </is>
      </c>
      <c r="D25" s="12" t="inlineStr">
        <is>
          <t>CUST-7098</t>
        </is>
      </c>
      <c r="E25" s="12" t="inlineStr">
        <is>
          <t>Rahul Verma</t>
        </is>
      </c>
      <c r="F25" s="12" t="inlineStr">
        <is>
          <t>Home Office</t>
        </is>
      </c>
      <c r="G25" s="12" t="inlineStr">
        <is>
          <t>East</t>
        </is>
      </c>
      <c r="H25" s="12" t="inlineStr">
        <is>
          <t>Bihar</t>
        </is>
      </c>
      <c r="I25" s="12" t="inlineStr">
        <is>
          <t>Patna</t>
        </is>
      </c>
      <c r="J25" s="12" t="inlineStr">
        <is>
          <t>Furniture</t>
        </is>
      </c>
      <c r="K25" s="12" t="inlineStr">
        <is>
          <t>Bookcases</t>
        </is>
      </c>
      <c r="L25" s="12" t="inlineStr">
        <is>
          <t>Pro Bookcases 394</t>
        </is>
      </c>
      <c r="M25" s="12" t="inlineStr">
        <is>
          <t>First Class</t>
        </is>
      </c>
      <c r="N25" s="12" t="n">
        <v>4</v>
      </c>
      <c r="O25" s="12" t="n">
        <v>1958.01</v>
      </c>
      <c r="P25" s="12" t="n">
        <v>0.2</v>
      </c>
      <c r="Q25" s="12" t="n">
        <v>6265.63</v>
      </c>
      <c r="R25" s="12" t="n">
        <v>4321.86</v>
      </c>
      <c r="S25" s="12" t="n">
        <v>1943.77</v>
      </c>
      <c r="T25" s="12" t="inlineStr">
        <is>
          <t>Paid</t>
        </is>
      </c>
      <c r="U25" s="12" t="inlineStr">
        <is>
          <t>Completed</t>
        </is>
      </c>
      <c r="V25">
        <f>IF(OR(P25="",P25&lt;0,P25&gt;0.5),0,P25)</f>
        <v/>
      </c>
      <c r="W25">
        <f>N25*O25*(1-V25)</f>
        <v/>
      </c>
      <c r="X25">
        <f>W25-R25</f>
        <v/>
      </c>
      <c r="Y25">
        <f>IF(W25=0,0,X25/W25)</f>
        <v/>
      </c>
      <c r="Z25">
        <f>C25-B25</f>
        <v/>
      </c>
      <c r="AA25">
        <f>TEXT(B25,"mmmm")</f>
        <v/>
      </c>
      <c r="AB25">
        <f>YEAR(B25)</f>
        <v/>
      </c>
      <c r="AC25">
        <f>IF(OR(P25&lt;0,P25&gt;0.5,C25&lt;B25),"INVALID","CLEAN")</f>
        <v/>
      </c>
    </row>
    <row r="26">
      <c r="A26" s="12" t="inlineStr">
        <is>
          <t>ORD-2024-10025</t>
        </is>
      </c>
      <c r="B26" s="12" t="inlineStr">
        <is>
          <t>2024-03-04</t>
        </is>
      </c>
      <c r="C26" s="12" t="inlineStr">
        <is>
          <t>03/01/2024</t>
        </is>
      </c>
      <c r="D26" s="12" t="inlineStr">
        <is>
          <t>CUST-1747</t>
        </is>
      </c>
      <c r="E26" s="12" t="inlineStr">
        <is>
          <t>Diya Patel</t>
        </is>
      </c>
      <c r="F26" s="12" t="inlineStr">
        <is>
          <t>Consumer</t>
        </is>
      </c>
      <c r="G26" s="12" t="inlineStr">
        <is>
          <t>North</t>
        </is>
      </c>
      <c r="H26" s="12" t="inlineStr">
        <is>
          <t>Punjab</t>
        </is>
      </c>
      <c r="I26" s="12" t="inlineStr">
        <is>
          <t>Ludhiana</t>
        </is>
      </c>
      <c r="J26" s="12" t="inlineStr">
        <is>
          <t>Office Supplies</t>
        </is>
      </c>
      <c r="K26" s="12" t="inlineStr">
        <is>
          <t>Art</t>
        </is>
      </c>
      <c r="L26" s="12" t="inlineStr">
        <is>
          <t>Max Art 215</t>
        </is>
      </c>
      <c r="M26" s="12" t="inlineStr">
        <is>
          <t>Standard Class</t>
        </is>
      </c>
      <c r="N26" s="12" t="n">
        <v>4</v>
      </c>
      <c r="O26" s="12" t="n">
        <v>4492.94</v>
      </c>
      <c r="P26" s="12" t="n">
        <v>0.25</v>
      </c>
      <c r="Q26" s="12" t="n">
        <v>13478.82</v>
      </c>
      <c r="R26" s="12" t="n">
        <v>10937.35</v>
      </c>
      <c r="S26" s="12" t="n">
        <v>2541.47</v>
      </c>
      <c r="T26" s="12" t="inlineStr">
        <is>
          <t>Pending</t>
        </is>
      </c>
      <c r="U26" s="12" t="inlineStr">
        <is>
          <t>Cancelled</t>
        </is>
      </c>
      <c r="V26">
        <f>IF(OR(P26="",P26&lt;0,P26&gt;0.5),0,P26)</f>
        <v/>
      </c>
      <c r="W26">
        <f>N26*O26*(1-V26)</f>
        <v/>
      </c>
      <c r="X26">
        <f>W26-R26</f>
        <v/>
      </c>
      <c r="Y26">
        <f>IF(W26=0,0,X26/W26)</f>
        <v/>
      </c>
      <c r="Z26">
        <f>C26-B26</f>
        <v/>
      </c>
      <c r="AA26">
        <f>TEXT(B26,"mmmm")</f>
        <v/>
      </c>
      <c r="AB26">
        <f>YEAR(B26)</f>
        <v/>
      </c>
      <c r="AC26">
        <f>IF(OR(P26&lt;0,P26&gt;0.5,C26&lt;B26),"INVALID","CLEAN")</f>
        <v/>
      </c>
    </row>
    <row r="27">
      <c r="A27" s="12" t="inlineStr">
        <is>
          <t>ORD-2024-10026</t>
        </is>
      </c>
      <c r="B27" s="12" t="inlineStr">
        <is>
          <t>11-10-2024</t>
        </is>
      </c>
      <c r="C27" s="12" t="inlineStr">
        <is>
          <t>2024-10-19</t>
        </is>
      </c>
      <c r="D27" s="12" t="inlineStr">
        <is>
          <t>CUST-1731</t>
        </is>
      </c>
      <c r="E27" s="12" t="inlineStr">
        <is>
          <t>Arjun Bose</t>
        </is>
      </c>
      <c r="F27" s="12" t="inlineStr">
        <is>
          <t>Corporate</t>
        </is>
      </c>
      <c r="G27" s="12" t="inlineStr">
        <is>
          <t>East</t>
        </is>
      </c>
      <c r="H27" s="12" t="inlineStr">
        <is>
          <t>Assam</t>
        </is>
      </c>
      <c r="I27" s="12" t="inlineStr">
        <is>
          <t>Guwahati</t>
        </is>
      </c>
      <c r="J27" s="12" t="inlineStr">
        <is>
          <t>Technology</t>
        </is>
      </c>
      <c r="K27" s="12" t="inlineStr">
        <is>
          <t>Accessories</t>
        </is>
      </c>
      <c r="L27" s="12" t="inlineStr">
        <is>
          <t>Classic Accessories 478</t>
        </is>
      </c>
      <c r="M27" s="12" t="inlineStr">
        <is>
          <t>First Class</t>
        </is>
      </c>
      <c r="N27" s="12" t="n">
        <v>2</v>
      </c>
      <c r="O27" s="12" t="n">
        <v>4315.2</v>
      </c>
      <c r="P27" s="12" t="n">
        <v>0.15</v>
      </c>
      <c r="Q27" s="12" t="n">
        <v>7335.84</v>
      </c>
      <c r="R27" s="12" t="n">
        <v>4968.41</v>
      </c>
      <c r="S27" s="12" t="n">
        <v>2367.43</v>
      </c>
      <c r="T27" s="12" t="inlineStr">
        <is>
          <t>Paid</t>
        </is>
      </c>
      <c r="U27" s="12" t="inlineStr">
        <is>
          <t>Completed</t>
        </is>
      </c>
      <c r="V27">
        <f>IF(OR(P27="",P27&lt;0,P27&gt;0.5),0,P27)</f>
        <v/>
      </c>
      <c r="W27">
        <f>N27*O27*(1-V27)</f>
        <v/>
      </c>
      <c r="X27">
        <f>W27-R27</f>
        <v/>
      </c>
      <c r="Y27">
        <f>IF(W27=0,0,X27/W27)</f>
        <v/>
      </c>
      <c r="Z27">
        <f>C27-B27</f>
        <v/>
      </c>
      <c r="AA27">
        <f>TEXT(B27,"mmmm")</f>
        <v/>
      </c>
      <c r="AB27">
        <f>YEAR(B27)</f>
        <v/>
      </c>
      <c r="AC27">
        <f>IF(OR(P27&lt;0,P27&gt;0.5,C27&lt;B27),"INVALID","CLEAN")</f>
        <v/>
      </c>
    </row>
    <row r="28">
      <c r="A28" s="12" t="inlineStr">
        <is>
          <t>ORD-2024-10027</t>
        </is>
      </c>
      <c r="B28" s="12" t="inlineStr">
        <is>
          <t>23-11-2024</t>
        </is>
      </c>
      <c r="C28" s="12" t="inlineStr">
        <is>
          <t>23 Nov 2024</t>
        </is>
      </c>
      <c r="D28" s="12" t="inlineStr">
        <is>
          <t>CUST-4401</t>
        </is>
      </c>
      <c r="E28" s="12" t="inlineStr">
        <is>
          <t>Diya Patel</t>
        </is>
      </c>
      <c r="F28" s="12" t="inlineStr">
        <is>
          <t>Corporate</t>
        </is>
      </c>
      <c r="G28" s="12" t="inlineStr">
        <is>
          <t>North</t>
        </is>
      </c>
      <c r="H28" s="12" t="inlineStr">
        <is>
          <t>Uttar Pradesh</t>
        </is>
      </c>
      <c r="I28" s="12" t="inlineStr">
        <is>
          <t>Noida</t>
        </is>
      </c>
      <c r="J28" s="12" t="inlineStr">
        <is>
          <t>Technology</t>
        </is>
      </c>
      <c r="K28" s="12" t="inlineStr">
        <is>
          <t>Phones</t>
        </is>
      </c>
      <c r="L28" s="12" t="inlineStr">
        <is>
          <t>Pro Phones 243</t>
        </is>
      </c>
      <c r="M28" s="12" t="inlineStr">
        <is>
          <t>Standard Class</t>
        </is>
      </c>
      <c r="N28" s="12" t="n">
        <v>4</v>
      </c>
      <c r="O28" s="12" t="n">
        <v>716.13</v>
      </c>
      <c r="P28" s="12" t="n">
        <v>0.1</v>
      </c>
      <c r="Q28" s="12" t="n">
        <v>2578.07</v>
      </c>
      <c r="R28" s="12" t="n">
        <v>1527.55</v>
      </c>
      <c r="S28" s="12" t="n">
        <v>1050.52</v>
      </c>
      <c r="T28" s="12" t="inlineStr">
        <is>
          <t xml:space="preserve">Paid </t>
        </is>
      </c>
      <c r="U28" s="12" t="inlineStr">
        <is>
          <t>Returned</t>
        </is>
      </c>
      <c r="V28">
        <f>IF(OR(P28="",P28&lt;0,P28&gt;0.5),0,P28)</f>
        <v/>
      </c>
      <c r="W28">
        <f>N28*O28*(1-V28)</f>
        <v/>
      </c>
      <c r="X28">
        <f>W28-R28</f>
        <v/>
      </c>
      <c r="Y28">
        <f>IF(W28=0,0,X28/W28)</f>
        <v/>
      </c>
      <c r="Z28">
        <f>C28-B28</f>
        <v/>
      </c>
      <c r="AA28">
        <f>TEXT(B28,"mmmm")</f>
        <v/>
      </c>
      <c r="AB28">
        <f>YEAR(B28)</f>
        <v/>
      </c>
      <c r="AC28">
        <f>IF(OR(P28&lt;0,P28&gt;0.5,C28&lt;B28),"INVALID","CLEAN")</f>
        <v/>
      </c>
    </row>
    <row r="29">
      <c r="A29" s="12" t="inlineStr">
        <is>
          <t>ORD-2025-10028</t>
        </is>
      </c>
      <c r="B29" s="12" t="inlineStr">
        <is>
          <t>29 Sep 2025</t>
        </is>
      </c>
      <c r="C29" s="12" t="inlineStr">
        <is>
          <t>05-10-2025</t>
        </is>
      </c>
      <c r="D29" s="12" t="inlineStr">
        <is>
          <t>CUST-9875</t>
        </is>
      </c>
      <c r="E29" s="12" t="inlineStr">
        <is>
          <t>Arjun Bose</t>
        </is>
      </c>
      <c r="F29" s="12" t="inlineStr">
        <is>
          <t>Small Business</t>
        </is>
      </c>
      <c r="G29" s="12" t="inlineStr">
        <is>
          <t>South</t>
        </is>
      </c>
      <c r="H29" s="12" t="inlineStr">
        <is>
          <t>Karnataka</t>
        </is>
      </c>
      <c r="I29" s="12" t="inlineStr">
        <is>
          <t>Bengaluru</t>
        </is>
      </c>
      <c r="J29" s="12" t="inlineStr">
        <is>
          <t>Office Supplies</t>
        </is>
      </c>
      <c r="K29" s="12" t="inlineStr">
        <is>
          <t>Paper</t>
        </is>
      </c>
      <c r="L29" s="12" t="inlineStr">
        <is>
          <t>Basic Paper 613</t>
        </is>
      </c>
      <c r="M29" s="12" t="inlineStr">
        <is>
          <t>Second Class</t>
        </is>
      </c>
      <c r="N29" s="12" t="n">
        <v>5</v>
      </c>
      <c r="O29" s="12" t="n">
        <v>1806.51</v>
      </c>
      <c r="P29" s="12" t="n">
        <v>0.25</v>
      </c>
      <c r="Q29" s="12" t="n">
        <v>6774.41</v>
      </c>
      <c r="R29" s="12" t="n">
        <v>4710.36</v>
      </c>
      <c r="S29" s="12" t="n">
        <v>2064.05</v>
      </c>
      <c r="T29" s="12" t="inlineStr">
        <is>
          <t>Failed</t>
        </is>
      </c>
      <c r="U29" s="12" t="inlineStr">
        <is>
          <t>Returned</t>
        </is>
      </c>
      <c r="V29">
        <f>IF(OR(P29="",P29&lt;0,P29&gt;0.5),0,P29)</f>
        <v/>
      </c>
      <c r="W29">
        <f>N29*O29*(1-V29)</f>
        <v/>
      </c>
      <c r="X29">
        <f>W29-R29</f>
        <v/>
      </c>
      <c r="Y29">
        <f>IF(W29=0,0,X29/W29)</f>
        <v/>
      </c>
      <c r="Z29">
        <f>C29-B29</f>
        <v/>
      </c>
      <c r="AA29">
        <f>TEXT(B29,"mmmm")</f>
        <v/>
      </c>
      <c r="AB29">
        <f>YEAR(B29)</f>
        <v/>
      </c>
      <c r="AC29">
        <f>IF(OR(P29&lt;0,P29&gt;0.5,C29&lt;B29),"INVALID","CLEAN")</f>
        <v/>
      </c>
    </row>
    <row r="30">
      <c r="A30" s="12" t="inlineStr">
        <is>
          <t>ORD-2024-10029</t>
        </is>
      </c>
      <c r="B30" s="12" t="inlineStr">
        <is>
          <t>11-10-2024</t>
        </is>
      </c>
      <c r="C30" s="12" t="inlineStr">
        <is>
          <t>18-10-2024</t>
        </is>
      </c>
      <c r="D30" s="12" t="inlineStr">
        <is>
          <t>CUST-1569</t>
        </is>
      </c>
      <c r="E30" s="12" t="inlineStr">
        <is>
          <t>Ananya Rao</t>
        </is>
      </c>
      <c r="F30" s="12" t="inlineStr">
        <is>
          <t>Home Office</t>
        </is>
      </c>
      <c r="G30" s="12" t="inlineStr">
        <is>
          <t>West</t>
        </is>
      </c>
      <c r="H30" s="12" t="inlineStr">
        <is>
          <t>Gujarat</t>
        </is>
      </c>
      <c r="I30" s="12" t="inlineStr">
        <is>
          <t>Ahmedabad</t>
        </is>
      </c>
      <c r="J30" s="12" t="inlineStr">
        <is>
          <t>Technology</t>
        </is>
      </c>
      <c r="K30" s="12" t="inlineStr">
        <is>
          <t>Phones</t>
        </is>
      </c>
      <c r="L30" s="12" t="inlineStr">
        <is>
          <t>Prime Phones 698</t>
        </is>
      </c>
      <c r="M30" s="12" t="inlineStr">
        <is>
          <t>Second Class</t>
        </is>
      </c>
      <c r="N30" s="12" t="n">
        <v>2</v>
      </c>
      <c r="O30" s="12" t="n">
        <v>1942.22</v>
      </c>
      <c r="P30" s="12" t="n">
        <v>0.25</v>
      </c>
      <c r="Q30" s="12" t="n">
        <v>2913.33</v>
      </c>
      <c r="R30" s="12" t="n">
        <v>2122.33</v>
      </c>
      <c r="S30" s="12" t="n">
        <v>791</v>
      </c>
      <c r="T30" s="12" t="inlineStr">
        <is>
          <t>Refunded</t>
        </is>
      </c>
      <c r="U30" s="12" t="inlineStr">
        <is>
          <t>Cancelled</t>
        </is>
      </c>
      <c r="V30">
        <f>IF(OR(P30="",P30&lt;0,P30&gt;0.5),0,P30)</f>
        <v/>
      </c>
      <c r="W30">
        <f>N30*O30*(1-V30)</f>
        <v/>
      </c>
      <c r="X30">
        <f>W30-R30</f>
        <v/>
      </c>
      <c r="Y30">
        <f>IF(W30=0,0,X30/W30)</f>
        <v/>
      </c>
      <c r="Z30">
        <f>C30-B30</f>
        <v/>
      </c>
      <c r="AA30">
        <f>TEXT(B30,"mmmm")</f>
        <v/>
      </c>
      <c r="AB30">
        <f>YEAR(B30)</f>
        <v/>
      </c>
      <c r="AC30">
        <f>IF(OR(P30&lt;0,P30&gt;0.5,C30&lt;B30),"INVALID","CLEAN")</f>
        <v/>
      </c>
    </row>
    <row r="31">
      <c r="A31" s="12" t="inlineStr">
        <is>
          <t>ORD-2025-10030</t>
        </is>
      </c>
      <c r="B31" s="12" t="inlineStr">
        <is>
          <t>13 Aug 2025</t>
        </is>
      </c>
      <c r="C31" s="12" t="inlineStr">
        <is>
          <t>13-08-2025</t>
        </is>
      </c>
      <c r="D31" s="12" t="inlineStr">
        <is>
          <t>CUST-5936</t>
        </is>
      </c>
      <c r="E31" s="12" t="inlineStr">
        <is>
          <t>Rohan Mehta</t>
        </is>
      </c>
      <c r="F31" s="12" t="inlineStr">
        <is>
          <t>Home Office</t>
        </is>
      </c>
      <c r="G31" s="12" t="inlineStr">
        <is>
          <t>South</t>
        </is>
      </c>
      <c r="H31" s="12" t="inlineStr">
        <is>
          <t>Kerala</t>
        </is>
      </c>
      <c r="I31" s="12" t="inlineStr">
        <is>
          <t>Kochi</t>
        </is>
      </c>
      <c r="J31" s="12" t="inlineStr">
        <is>
          <t>Technology</t>
        </is>
      </c>
      <c r="K31" s="12" t="inlineStr">
        <is>
          <t>Phones</t>
        </is>
      </c>
      <c r="L31" s="12" t="inlineStr">
        <is>
          <t>Pro Phones 442</t>
        </is>
      </c>
      <c r="M31" s="12" t="inlineStr">
        <is>
          <t>Standard Class</t>
        </is>
      </c>
      <c r="N31" s="12" t="n">
        <v>1</v>
      </c>
      <c r="O31" s="12" t="n">
        <v>256.01</v>
      </c>
      <c r="P31" s="12" t="n">
        <v>0.15</v>
      </c>
      <c r="Q31" s="12" t="n">
        <v>217.61</v>
      </c>
      <c r="R31" s="12" t="n">
        <v>119.77</v>
      </c>
      <c r="S31" s="12" t="n">
        <v>97.84</v>
      </c>
      <c r="T31" s="12" t="inlineStr">
        <is>
          <t>Paid</t>
        </is>
      </c>
      <c r="U31" s="12" t="inlineStr">
        <is>
          <t>Completed</t>
        </is>
      </c>
      <c r="V31">
        <f>IF(OR(P31="",P31&lt;0,P31&gt;0.5),0,P31)</f>
        <v/>
      </c>
      <c r="W31">
        <f>N31*O31*(1-V31)</f>
        <v/>
      </c>
      <c r="X31">
        <f>W31-R31</f>
        <v/>
      </c>
      <c r="Y31">
        <f>IF(W31=0,0,X31/W31)</f>
        <v/>
      </c>
      <c r="Z31">
        <f>C31-B31</f>
        <v/>
      </c>
      <c r="AA31">
        <f>TEXT(B31,"mmmm")</f>
        <v/>
      </c>
      <c r="AB31">
        <f>YEAR(B31)</f>
        <v/>
      </c>
      <c r="AC31">
        <f>IF(OR(P31&lt;0,P31&gt;0.5,C31&lt;B31),"INVALID","CLEAN")</f>
        <v/>
      </c>
    </row>
    <row r="32">
      <c r="A32" s="12" t="inlineStr">
        <is>
          <t>ORD-2024-10031</t>
        </is>
      </c>
      <c r="B32" s="12" t="inlineStr">
        <is>
          <t>09 Feb 2024</t>
        </is>
      </c>
      <c r="C32" s="12" t="inlineStr">
        <is>
          <t>02/12/2024</t>
        </is>
      </c>
      <c r="D32" s="12" t="inlineStr">
        <is>
          <t>CUST-8759</t>
        </is>
      </c>
      <c r="E32" s="12" t="inlineStr">
        <is>
          <t>Ananya Rao</t>
        </is>
      </c>
      <c r="F32" s="12" t="inlineStr">
        <is>
          <t>Corporate</t>
        </is>
      </c>
      <c r="G32" s="12" t="inlineStr">
        <is>
          <t>West</t>
        </is>
      </c>
      <c r="H32" s="12" t="inlineStr">
        <is>
          <t>Goa</t>
        </is>
      </c>
      <c r="I32" s="12" t="inlineStr">
        <is>
          <t>Panaji</t>
        </is>
      </c>
      <c r="J32" s="12" t="inlineStr">
        <is>
          <t>Office Supplies</t>
        </is>
      </c>
      <c r="K32" s="12" t="inlineStr">
        <is>
          <t>Labels</t>
        </is>
      </c>
      <c r="L32" s="12" t="inlineStr">
        <is>
          <t>Pro Labels 355</t>
        </is>
      </c>
      <c r="M32" s="12" t="inlineStr">
        <is>
          <t>First Class</t>
        </is>
      </c>
      <c r="N32" s="12" t="n">
        <v>1</v>
      </c>
      <c r="O32" s="12" t="n">
        <v>3421.77</v>
      </c>
      <c r="P32" s="12" t="n">
        <v>0.1</v>
      </c>
      <c r="Q32" s="12" t="n">
        <v>3079.59</v>
      </c>
      <c r="R32" s="12" t="n">
        <v>2001.89</v>
      </c>
      <c r="S32" s="12" t="n">
        <v>1077.7</v>
      </c>
      <c r="T32" s="12" t="inlineStr">
        <is>
          <t>Paid</t>
        </is>
      </c>
      <c r="U32" s="12" t="inlineStr">
        <is>
          <t>Completed</t>
        </is>
      </c>
      <c r="V32">
        <f>IF(OR(P32="",P32&lt;0,P32&gt;0.5),0,P32)</f>
        <v/>
      </c>
      <c r="W32">
        <f>N32*O32*(1-V32)</f>
        <v/>
      </c>
      <c r="X32">
        <f>W32-R32</f>
        <v/>
      </c>
      <c r="Y32">
        <f>IF(W32=0,0,X32/W32)</f>
        <v/>
      </c>
      <c r="Z32">
        <f>C32-B32</f>
        <v/>
      </c>
      <c r="AA32">
        <f>TEXT(B32,"mmmm")</f>
        <v/>
      </c>
      <c r="AB32">
        <f>YEAR(B32)</f>
        <v/>
      </c>
      <c r="AC32">
        <f>IF(OR(P32&lt;0,P32&gt;0.5,C32&lt;B32),"INVALID","CLEAN")</f>
        <v/>
      </c>
    </row>
    <row r="33">
      <c r="A33" s="12" t="inlineStr">
        <is>
          <t>ORD-2025-10032</t>
        </is>
      </c>
      <c r="B33" s="12" t="inlineStr">
        <is>
          <t>15-06-2025</t>
        </is>
      </c>
      <c r="C33" s="12" t="inlineStr">
        <is>
          <t>19-06-2025</t>
        </is>
      </c>
      <c r="D33" s="12" t="inlineStr">
        <is>
          <t>CUST-7867</t>
        </is>
      </c>
      <c r="E33" s="12" t="inlineStr">
        <is>
          <t>Karan Malhotra</t>
        </is>
      </c>
      <c r="F33" s="12" t="inlineStr">
        <is>
          <t>Small Business</t>
        </is>
      </c>
      <c r="G33" s="12" t="inlineStr">
        <is>
          <t>West</t>
        </is>
      </c>
      <c r="H33" s="12" t="inlineStr">
        <is>
          <t>Madhya Pradesh</t>
        </is>
      </c>
      <c r="I33" s="12" t="inlineStr">
        <is>
          <t>Indore</t>
        </is>
      </c>
      <c r="J33" s="12" t="inlineStr">
        <is>
          <t>Office Supplies</t>
        </is>
      </c>
      <c r="K33" s="12" t="inlineStr">
        <is>
          <t>Paper</t>
        </is>
      </c>
      <c r="L33" s="12" t="inlineStr">
        <is>
          <t>Pro Paper 959</t>
        </is>
      </c>
      <c r="M33" s="12" t="inlineStr">
        <is>
          <t>Second Class</t>
        </is>
      </c>
      <c r="N33" s="12" t="n">
        <v>9</v>
      </c>
      <c r="O33" s="12" t="n">
        <v>3092.55</v>
      </c>
      <c r="P33" s="12" t="n">
        <v>0</v>
      </c>
      <c r="Q33" s="12" t="n">
        <v>27832.95</v>
      </c>
      <c r="R33" s="12" t="n">
        <v>17769.75</v>
      </c>
      <c r="S33" s="12" t="n">
        <v>10063.2</v>
      </c>
      <c r="T33" s="12" t="inlineStr">
        <is>
          <t>Failed</t>
        </is>
      </c>
      <c r="U33" s="12" t="inlineStr">
        <is>
          <t>Returned</t>
        </is>
      </c>
      <c r="V33">
        <f>IF(OR(P33="",P33&lt;0,P33&gt;0.5),0,P33)</f>
        <v/>
      </c>
      <c r="W33">
        <f>N33*O33*(1-V33)</f>
        <v/>
      </c>
      <c r="X33">
        <f>W33-R33</f>
        <v/>
      </c>
      <c r="Y33">
        <f>IF(W33=0,0,X33/W33)</f>
        <v/>
      </c>
      <c r="Z33">
        <f>C33-B33</f>
        <v/>
      </c>
      <c r="AA33">
        <f>TEXT(B33,"mmmm")</f>
        <v/>
      </c>
      <c r="AB33">
        <f>YEAR(B33)</f>
        <v/>
      </c>
      <c r="AC33">
        <f>IF(OR(P33&lt;0,P33&gt;0.5,C33&lt;B33),"INVALID","CLEAN")</f>
        <v/>
      </c>
    </row>
    <row r="34">
      <c r="A34" s="12" t="inlineStr">
        <is>
          <t>ORD-2024-10033</t>
        </is>
      </c>
      <c r="B34" s="12" t="inlineStr">
        <is>
          <t>22-11-2024</t>
        </is>
      </c>
      <c r="C34" s="12" t="inlineStr">
        <is>
          <t>2024-11-26</t>
        </is>
      </c>
      <c r="D34" s="12" t="inlineStr">
        <is>
          <t>CUST-6509</t>
        </is>
      </c>
      <c r="E34" s="12" t="inlineStr">
        <is>
          <t>Aarav Sharma</t>
        </is>
      </c>
      <c r="F34" s="12" t="inlineStr">
        <is>
          <t>Corporate</t>
        </is>
      </c>
      <c r="G34" s="12" t="inlineStr">
        <is>
          <t>South</t>
        </is>
      </c>
      <c r="H34" s="12" t="inlineStr">
        <is>
          <t>Andhra Pradesh</t>
        </is>
      </c>
      <c r="I34" s="12" t="inlineStr">
        <is>
          <t>Vijayawada</t>
        </is>
      </c>
      <c r="J34" s="12" t="inlineStr">
        <is>
          <t>Technology</t>
        </is>
      </c>
      <c r="K34" s="12" t="inlineStr">
        <is>
          <t>Phones</t>
        </is>
      </c>
      <c r="L34" s="12" t="inlineStr">
        <is>
          <t>Basic Phones 242</t>
        </is>
      </c>
      <c r="M34" s="12" t="inlineStr">
        <is>
          <t>Second Class</t>
        </is>
      </c>
      <c r="N34" s="12" t="n">
        <v>3</v>
      </c>
      <c r="O34" s="12" t="n">
        <v>4001.25</v>
      </c>
      <c r="P34" s="12" t="n"/>
      <c r="Q34" s="12" t="n">
        <v>9002.809999999999</v>
      </c>
      <c r="R34" s="12" t="n">
        <v>7529.92</v>
      </c>
      <c r="S34" s="12" t="n">
        <v>1472.89</v>
      </c>
      <c r="T34" s="12" t="inlineStr">
        <is>
          <t>Paid</t>
        </is>
      </c>
      <c r="U34" s="12" t="inlineStr">
        <is>
          <t>Completed</t>
        </is>
      </c>
      <c r="V34">
        <f>IF(OR(P34="",P34&lt;0,P34&gt;0.5),0,P34)</f>
        <v/>
      </c>
      <c r="W34">
        <f>N34*O34*(1-V34)</f>
        <v/>
      </c>
      <c r="X34">
        <f>W34-R34</f>
        <v/>
      </c>
      <c r="Y34">
        <f>IF(W34=0,0,X34/W34)</f>
        <v/>
      </c>
      <c r="Z34">
        <f>C34-B34</f>
        <v/>
      </c>
      <c r="AA34">
        <f>TEXT(B34,"mmmm")</f>
        <v/>
      </c>
      <c r="AB34">
        <f>YEAR(B34)</f>
        <v/>
      </c>
      <c r="AC34">
        <f>IF(OR(P34&lt;0,P34&gt;0.5,C34&lt;B34),"INVALID","CLEAN")</f>
        <v/>
      </c>
    </row>
    <row r="35">
      <c r="A35" s="12" t="inlineStr">
        <is>
          <t>ORD-2024-10034</t>
        </is>
      </c>
      <c r="B35" s="12" t="inlineStr">
        <is>
          <t>07/22/2024</t>
        </is>
      </c>
      <c r="C35" s="12" t="inlineStr">
        <is>
          <t>27-07-2024</t>
        </is>
      </c>
      <c r="D35" s="12" t="inlineStr">
        <is>
          <t>CUST-6660</t>
        </is>
      </c>
      <c r="E35" s="12" t="inlineStr">
        <is>
          <t>Priya Menon</t>
        </is>
      </c>
      <c r="F35" s="12" t="inlineStr">
        <is>
          <t>Home Office</t>
        </is>
      </c>
      <c r="G35" s="12" t="inlineStr">
        <is>
          <t>West</t>
        </is>
      </c>
      <c r="H35" s="12" t="inlineStr">
        <is>
          <t>Goa</t>
        </is>
      </c>
      <c r="I35" s="12" t="inlineStr">
        <is>
          <t>Panaji</t>
        </is>
      </c>
      <c r="J35" s="12" t="inlineStr">
        <is>
          <t>Furniture</t>
        </is>
      </c>
      <c r="K35" s="12" t="inlineStr">
        <is>
          <t>Tables</t>
        </is>
      </c>
      <c r="L35" s="12" t="inlineStr">
        <is>
          <t>Max Tables 836</t>
        </is>
      </c>
      <c r="M35" s="12" t="inlineStr">
        <is>
          <t>Same Day</t>
        </is>
      </c>
      <c r="N35" s="12" t="n">
        <v>7</v>
      </c>
      <c r="O35" s="12" t="n">
        <v>492.41</v>
      </c>
      <c r="P35" s="12" t="n">
        <v>0.25</v>
      </c>
      <c r="Q35" s="12" t="n">
        <v>2585.15</v>
      </c>
      <c r="R35" s="12" t="n">
        <v>2070.73</v>
      </c>
      <c r="S35" s="12" t="n">
        <v>514.42</v>
      </c>
      <c r="T35" s="12" t="inlineStr">
        <is>
          <t>Paid</t>
        </is>
      </c>
      <c r="U35" s="12" t="inlineStr">
        <is>
          <t>Completed</t>
        </is>
      </c>
      <c r="V35">
        <f>IF(OR(P35="",P35&lt;0,P35&gt;0.5),0,P35)</f>
        <v/>
      </c>
      <c r="W35">
        <f>N35*O35*(1-V35)</f>
        <v/>
      </c>
      <c r="X35">
        <f>W35-R35</f>
        <v/>
      </c>
      <c r="Y35">
        <f>IF(W35=0,0,X35/W35)</f>
        <v/>
      </c>
      <c r="Z35">
        <f>C35-B35</f>
        <v/>
      </c>
      <c r="AA35">
        <f>TEXT(B35,"mmmm")</f>
        <v/>
      </c>
      <c r="AB35">
        <f>YEAR(B35)</f>
        <v/>
      </c>
      <c r="AC35">
        <f>IF(OR(P35&lt;0,P35&gt;0.5,C35&lt;B35),"INVALID","CLEAN")</f>
        <v/>
      </c>
    </row>
    <row r="36">
      <c r="A36" s="12" t="inlineStr">
        <is>
          <t>ORD-2025-10035</t>
        </is>
      </c>
      <c r="B36" s="12" t="inlineStr">
        <is>
          <t>2025-01-31</t>
        </is>
      </c>
      <c r="C36" s="12" t="inlineStr">
        <is>
          <t>2025-02-05</t>
        </is>
      </c>
      <c r="D36" s="12" t="inlineStr">
        <is>
          <t>CUST-2392</t>
        </is>
      </c>
      <c r="E36" s="12" t="inlineStr">
        <is>
          <t>Priya Menon</t>
        </is>
      </c>
      <c r="F36" s="12" t="inlineStr">
        <is>
          <t>Home Office</t>
        </is>
      </c>
      <c r="G36" s="12" t="inlineStr">
        <is>
          <t>East</t>
        </is>
      </c>
      <c r="H36" s="12" t="inlineStr">
        <is>
          <t>West Bengal</t>
        </is>
      </c>
      <c r="I36" s="12" t="inlineStr">
        <is>
          <t>Kolkata</t>
        </is>
      </c>
      <c r="J36" s="12" t="inlineStr">
        <is>
          <t>Furniture</t>
        </is>
      </c>
      <c r="K36" s="12" t="inlineStr">
        <is>
          <t>Chairs</t>
        </is>
      </c>
      <c r="L36" s="12" t="inlineStr">
        <is>
          <t>Elite Chairs 862</t>
        </is>
      </c>
      <c r="M36" s="12" t="n"/>
      <c r="N36" s="12" t="n">
        <v>2</v>
      </c>
      <c r="O36" s="12" t="n">
        <v>4159.69</v>
      </c>
      <c r="P36" s="12" t="n">
        <v>0.2</v>
      </c>
      <c r="Q36" s="12" t="n">
        <v>6655.5</v>
      </c>
      <c r="R36" s="12" t="n">
        <v>4340.21</v>
      </c>
      <c r="S36" s="12" t="n">
        <v>2607.32</v>
      </c>
      <c r="T36" s="12" t="inlineStr">
        <is>
          <t>Paid</t>
        </is>
      </c>
      <c r="U36" s="12" t="inlineStr">
        <is>
          <t>Completed</t>
        </is>
      </c>
      <c r="V36">
        <f>IF(OR(P36="",P36&lt;0,P36&gt;0.5),0,P36)</f>
        <v/>
      </c>
      <c r="W36">
        <f>N36*O36*(1-V36)</f>
        <v/>
      </c>
      <c r="X36">
        <f>W36-R36</f>
        <v/>
      </c>
      <c r="Y36">
        <f>IF(W36=0,0,X36/W36)</f>
        <v/>
      </c>
      <c r="Z36">
        <f>C36-B36</f>
        <v/>
      </c>
      <c r="AA36">
        <f>TEXT(B36,"mmmm")</f>
        <v/>
      </c>
      <c r="AB36">
        <f>YEAR(B36)</f>
        <v/>
      </c>
      <c r="AC36">
        <f>IF(OR(P36&lt;0,P36&gt;0.5,C36&lt;B36),"INVALID","CLEAN")</f>
        <v/>
      </c>
    </row>
    <row r="37">
      <c r="A37" s="12" t="inlineStr">
        <is>
          <t>ORD-2024-10036</t>
        </is>
      </c>
      <c r="B37" s="12" t="inlineStr">
        <is>
          <t>29-05-2024</t>
        </is>
      </c>
      <c r="C37" s="12" t="inlineStr">
        <is>
          <t>29 May 2024</t>
        </is>
      </c>
      <c r="D37" s="12" t="inlineStr">
        <is>
          <t>CUST-1611</t>
        </is>
      </c>
      <c r="E37" s="12" t="inlineStr">
        <is>
          <t>Sneha Kapoor</t>
        </is>
      </c>
      <c r="F37" s="12" t="inlineStr">
        <is>
          <t>Small Business</t>
        </is>
      </c>
      <c r="G37" s="12" t="inlineStr">
        <is>
          <t>West</t>
        </is>
      </c>
      <c r="H37" s="12" t="inlineStr">
        <is>
          <t>Gujarat</t>
        </is>
      </c>
      <c r="I37" s="12" t="inlineStr">
        <is>
          <t>Ahmedabad</t>
        </is>
      </c>
      <c r="J37" s="12" t="inlineStr">
        <is>
          <t>Furniture</t>
        </is>
      </c>
      <c r="K37" s="12" t="inlineStr">
        <is>
          <t>Bookcases</t>
        </is>
      </c>
      <c r="L37" s="12" t="inlineStr">
        <is>
          <t>Prime Bookcases 414</t>
        </is>
      </c>
      <c r="M37" s="12" t="inlineStr">
        <is>
          <t>Second Class</t>
        </is>
      </c>
      <c r="N37" s="12" t="n">
        <v>8</v>
      </c>
      <c r="O37" s="12" t="n">
        <v>2507.12</v>
      </c>
      <c r="P37" s="12" t="n">
        <v>0.05</v>
      </c>
      <c r="Q37" s="12" t="n">
        <v>19054.11</v>
      </c>
      <c r="R37" s="12" t="n">
        <v>15313.83</v>
      </c>
      <c r="S37" s="12" t="n">
        <v>3740.28</v>
      </c>
      <c r="T37" s="12" t="inlineStr">
        <is>
          <t>Pending</t>
        </is>
      </c>
      <c r="U37" s="12" t="inlineStr">
        <is>
          <t>Returned</t>
        </is>
      </c>
      <c r="V37">
        <f>IF(OR(P37="",P37&lt;0,P37&gt;0.5),0,P37)</f>
        <v/>
      </c>
      <c r="W37">
        <f>N37*O37*(1-V37)</f>
        <v/>
      </c>
      <c r="X37">
        <f>W37-R37</f>
        <v/>
      </c>
      <c r="Y37">
        <f>IF(W37=0,0,X37/W37)</f>
        <v/>
      </c>
      <c r="Z37">
        <f>C37-B37</f>
        <v/>
      </c>
      <c r="AA37">
        <f>TEXT(B37,"mmmm")</f>
        <v/>
      </c>
      <c r="AB37">
        <f>YEAR(B37)</f>
        <v/>
      </c>
      <c r="AC37">
        <f>IF(OR(P37&lt;0,P37&gt;0.5,C37&lt;B37),"INVALID","CLEAN")</f>
        <v/>
      </c>
    </row>
    <row r="38">
      <c r="A38" s="12" t="inlineStr">
        <is>
          <t>ORD-2024-10037</t>
        </is>
      </c>
      <c r="B38" s="12" t="inlineStr">
        <is>
          <t>2024-10-25</t>
        </is>
      </c>
      <c r="C38" s="12" t="inlineStr">
        <is>
          <t>28 Oct 2024</t>
        </is>
      </c>
      <c r="D38" s="12" t="inlineStr">
        <is>
          <t>CUST-8296</t>
        </is>
      </c>
      <c r="E38" s="12" t="inlineStr">
        <is>
          <t>Rohan Mehta</t>
        </is>
      </c>
      <c r="F38" s="12" t="inlineStr">
        <is>
          <t>Corporate</t>
        </is>
      </c>
      <c r="G38" s="12" t="inlineStr">
        <is>
          <t>West</t>
        </is>
      </c>
      <c r="H38" s="12" t="inlineStr">
        <is>
          <t>Maharashtra</t>
        </is>
      </c>
      <c r="I38" s="12" t="inlineStr">
        <is>
          <t>Mumbai</t>
        </is>
      </c>
      <c r="J38" s="12" t="inlineStr">
        <is>
          <t>Furniture</t>
        </is>
      </c>
      <c r="K38" s="12" t="inlineStr">
        <is>
          <t>Bookcases</t>
        </is>
      </c>
      <c r="L38" s="12" t="inlineStr">
        <is>
          <t>Eco Bookcases 220</t>
        </is>
      </c>
      <c r="M38" s="12" t="inlineStr">
        <is>
          <t>Second Class</t>
        </is>
      </c>
      <c r="N38" s="12" t="n">
        <v>3</v>
      </c>
      <c r="O38" s="12" t="n">
        <v>3126.47</v>
      </c>
      <c r="P38" s="12" t="n">
        <v>0</v>
      </c>
      <c r="Q38" s="12" t="n">
        <v>9379.41</v>
      </c>
      <c r="R38" s="12" t="n">
        <v>6670.85</v>
      </c>
      <c r="S38" s="12" t="n">
        <v>2708.56</v>
      </c>
      <c r="T38" s="12" t="inlineStr">
        <is>
          <t>Paid</t>
        </is>
      </c>
      <c r="U38" s="12" t="inlineStr">
        <is>
          <t>Returned</t>
        </is>
      </c>
      <c r="V38">
        <f>IF(OR(P38="",P38&lt;0,P38&gt;0.5),0,P38)</f>
        <v/>
      </c>
      <c r="W38">
        <f>N38*O38*(1-V38)</f>
        <v/>
      </c>
      <c r="X38">
        <f>W38-R38</f>
        <v/>
      </c>
      <c r="Y38">
        <f>IF(W38=0,0,X38/W38)</f>
        <v/>
      </c>
      <c r="Z38">
        <f>C38-B38</f>
        <v/>
      </c>
      <c r="AA38">
        <f>TEXT(B38,"mmmm")</f>
        <v/>
      </c>
      <c r="AB38">
        <f>YEAR(B38)</f>
        <v/>
      </c>
      <c r="AC38">
        <f>IF(OR(P38&lt;0,P38&gt;0.5,C38&lt;B38),"INVALID","CLEAN")</f>
        <v/>
      </c>
    </row>
    <row r="39">
      <c r="A39" s="12" t="inlineStr">
        <is>
          <t>ORD-2025-10038</t>
        </is>
      </c>
      <c r="B39" s="12" t="inlineStr">
        <is>
          <t>29-07-2025</t>
        </is>
      </c>
      <c r="C39" s="12" t="inlineStr">
        <is>
          <t>29-07-2025</t>
        </is>
      </c>
      <c r="D39" s="12" t="inlineStr">
        <is>
          <t>CUST-4646</t>
        </is>
      </c>
      <c r="E39" s="12" t="inlineStr">
        <is>
          <t>Diya Patel</t>
        </is>
      </c>
      <c r="F39" s="12" t="inlineStr">
        <is>
          <t>Consumer</t>
        </is>
      </c>
      <c r="G39" s="12" t="inlineStr">
        <is>
          <t>West</t>
        </is>
      </c>
      <c r="H39" s="12" t="inlineStr">
        <is>
          <t>Maharashtra</t>
        </is>
      </c>
      <c r="I39" s="12" t="inlineStr">
        <is>
          <t>Mumbai</t>
        </is>
      </c>
      <c r="J39" s="12" t="inlineStr">
        <is>
          <t>Technology</t>
        </is>
      </c>
      <c r="K39" s="12" t="inlineStr">
        <is>
          <t>Copiers</t>
        </is>
      </c>
      <c r="L39" s="12" t="inlineStr">
        <is>
          <t>Pro Copiers 830</t>
        </is>
      </c>
      <c r="M39" s="12" t="inlineStr">
        <is>
          <t>STANDARD CLASS</t>
        </is>
      </c>
      <c r="N39" s="12" t="n">
        <v>4</v>
      </c>
      <c r="O39" s="12" t="n">
        <v>1327.54</v>
      </c>
      <c r="P39" s="12" t="n">
        <v>0.2</v>
      </c>
      <c r="Q39" s="12" t="n">
        <v>4248.13</v>
      </c>
      <c r="R39" s="12" t="n">
        <v>3321.09</v>
      </c>
      <c r="S39" s="12" t="n">
        <v>927.04</v>
      </c>
      <c r="T39" s="12" t="inlineStr">
        <is>
          <t>Paid</t>
        </is>
      </c>
      <c r="U39" s="12" t="inlineStr">
        <is>
          <t>Completed</t>
        </is>
      </c>
      <c r="V39">
        <f>IF(OR(P39="",P39&lt;0,P39&gt;0.5),0,P39)</f>
        <v/>
      </c>
      <c r="W39">
        <f>N39*O39*(1-V39)</f>
        <v/>
      </c>
      <c r="X39">
        <f>W39-R39</f>
        <v/>
      </c>
      <c r="Y39">
        <f>IF(W39=0,0,X39/W39)</f>
        <v/>
      </c>
      <c r="Z39">
        <f>C39-B39</f>
        <v/>
      </c>
      <c r="AA39">
        <f>TEXT(B39,"mmmm")</f>
        <v/>
      </c>
      <c r="AB39">
        <f>YEAR(B39)</f>
        <v/>
      </c>
      <c r="AC39">
        <f>IF(OR(P39&lt;0,P39&gt;0.5,C39&lt;B39),"INVALID","CLEAN")</f>
        <v/>
      </c>
    </row>
    <row r="40">
      <c r="A40" s="12" t="inlineStr">
        <is>
          <t>ORD-2024-10039</t>
        </is>
      </c>
      <c r="B40" s="12" t="inlineStr">
        <is>
          <t>2024-06-17</t>
        </is>
      </c>
      <c r="C40" s="12" t="inlineStr">
        <is>
          <t>22-06-2024</t>
        </is>
      </c>
      <c r="D40" s="12" t="inlineStr">
        <is>
          <t>CUST-8235</t>
        </is>
      </c>
      <c r="E40" s="12" t="inlineStr">
        <is>
          <t>Aarav Sharma</t>
        </is>
      </c>
      <c r="F40" s="12" t="inlineStr">
        <is>
          <t>Corporate</t>
        </is>
      </c>
      <c r="G40" s="12" t="inlineStr">
        <is>
          <t>West</t>
        </is>
      </c>
      <c r="H40" s="12" t="inlineStr">
        <is>
          <t>Gujarat</t>
        </is>
      </c>
      <c r="I40" s="12" t="inlineStr">
        <is>
          <t>Ahmedabad</t>
        </is>
      </c>
      <c r="J40" s="12" t="inlineStr">
        <is>
          <t>Technology</t>
        </is>
      </c>
      <c r="K40" s="12" t="inlineStr">
        <is>
          <t>Phones</t>
        </is>
      </c>
      <c r="L40" s="12" t="inlineStr">
        <is>
          <t>Prime Phones 507</t>
        </is>
      </c>
      <c r="M40" s="12" t="inlineStr">
        <is>
          <t>First Class</t>
        </is>
      </c>
      <c r="N40" s="12" t="n">
        <v>7</v>
      </c>
      <c r="O40" s="12" t="n">
        <v>2210.68</v>
      </c>
      <c r="P40" s="12" t="n">
        <v>0.1</v>
      </c>
      <c r="Q40" s="12" t="n">
        <v>13927.28</v>
      </c>
      <c r="R40" s="12" t="n">
        <v>10504.87</v>
      </c>
      <c r="S40" s="12" t="n">
        <v>3422.41</v>
      </c>
      <c r="T40" s="12" t="inlineStr">
        <is>
          <t>Paid</t>
        </is>
      </c>
      <c r="U40" s="12" t="inlineStr">
        <is>
          <t>Completed</t>
        </is>
      </c>
      <c r="V40">
        <f>IF(OR(P40="",P40&lt;0,P40&gt;0.5),0,P40)</f>
        <v/>
      </c>
      <c r="W40">
        <f>N40*O40*(1-V40)</f>
        <v/>
      </c>
      <c r="X40">
        <f>W40-R40</f>
        <v/>
      </c>
      <c r="Y40">
        <f>IF(W40=0,0,X40/W40)</f>
        <v/>
      </c>
      <c r="Z40">
        <f>C40-B40</f>
        <v/>
      </c>
      <c r="AA40">
        <f>TEXT(B40,"mmmm")</f>
        <v/>
      </c>
      <c r="AB40">
        <f>YEAR(B40)</f>
        <v/>
      </c>
      <c r="AC40">
        <f>IF(OR(P40&lt;0,P40&gt;0.5,C40&lt;B40),"INVALID","CLEAN")</f>
        <v/>
      </c>
    </row>
    <row r="41">
      <c r="A41" s="12" t="inlineStr">
        <is>
          <t>ORD-2024-10040</t>
        </is>
      </c>
      <c r="B41" s="12" t="inlineStr">
        <is>
          <t>12/11/2024</t>
        </is>
      </c>
      <c r="C41" s="12" t="inlineStr">
        <is>
          <t>2024-12-11</t>
        </is>
      </c>
      <c r="D41" s="12" t="inlineStr">
        <is>
          <t>CUST-5830</t>
        </is>
      </c>
      <c r="E41" s="12" t="inlineStr">
        <is>
          <t>Mira Das</t>
        </is>
      </c>
      <c r="F41" s="12" t="inlineStr">
        <is>
          <t>Small Business</t>
        </is>
      </c>
      <c r="G41" s="12" t="inlineStr">
        <is>
          <t>West</t>
        </is>
      </c>
      <c r="H41" s="12" t="inlineStr">
        <is>
          <t>Madhya Pradesh</t>
        </is>
      </c>
      <c r="I41" s="12" t="inlineStr">
        <is>
          <t>Indore</t>
        </is>
      </c>
      <c r="J41" s="12" t="inlineStr">
        <is>
          <t>Technology</t>
        </is>
      </c>
      <c r="K41" s="12" t="inlineStr">
        <is>
          <t>Copiers</t>
        </is>
      </c>
      <c r="L41" s="12" t="inlineStr">
        <is>
          <t>Classic Copiers 590</t>
        </is>
      </c>
      <c r="M41" s="12" t="inlineStr">
        <is>
          <t>First Class</t>
        </is>
      </c>
      <c r="N41" s="12" t="n">
        <v>4</v>
      </c>
      <c r="O41" s="12" t="n">
        <v>1370.92</v>
      </c>
      <c r="P41" s="12" t="n">
        <v>0.1</v>
      </c>
      <c r="Q41" s="12" t="n">
        <v>4935.31</v>
      </c>
      <c r="R41" s="12" t="n">
        <v>3374.77</v>
      </c>
      <c r="S41" s="12" t="n">
        <v>1560.54</v>
      </c>
      <c r="T41" s="12" t="inlineStr">
        <is>
          <t>Pending</t>
        </is>
      </c>
      <c r="U41" s="12" t="inlineStr">
        <is>
          <t>Returned</t>
        </is>
      </c>
      <c r="V41">
        <f>IF(OR(P41="",P41&lt;0,P41&gt;0.5),0,P41)</f>
        <v/>
      </c>
      <c r="W41">
        <f>N41*O41*(1-V41)</f>
        <v/>
      </c>
      <c r="X41">
        <f>W41-R41</f>
        <v/>
      </c>
      <c r="Y41">
        <f>IF(W41=0,0,X41/W41)</f>
        <v/>
      </c>
      <c r="Z41">
        <f>C41-B41</f>
        <v/>
      </c>
      <c r="AA41">
        <f>TEXT(B41,"mmmm")</f>
        <v/>
      </c>
      <c r="AB41">
        <f>YEAR(B41)</f>
        <v/>
      </c>
      <c r="AC41">
        <f>IF(OR(P41&lt;0,P41&gt;0.5,C41&lt;B41),"INVALID","CLEAN")</f>
        <v/>
      </c>
    </row>
    <row r="42">
      <c r="A42" s="12" t="inlineStr">
        <is>
          <t>ORD-2024-10041</t>
        </is>
      </c>
      <c r="B42" s="12" t="inlineStr">
        <is>
          <t>10-10-2024</t>
        </is>
      </c>
      <c r="C42" s="12" t="inlineStr">
        <is>
          <t>16 Oct 2024</t>
        </is>
      </c>
      <c r="D42" s="12" t="inlineStr">
        <is>
          <t>CUST-7178</t>
        </is>
      </c>
      <c r="E42" s="12" t="inlineStr">
        <is>
          <t>Isha Nair</t>
        </is>
      </c>
      <c r="F42" s="12" t="inlineStr">
        <is>
          <t>Home Office</t>
        </is>
      </c>
      <c r="G42" s="12" t="inlineStr">
        <is>
          <t>West</t>
        </is>
      </c>
      <c r="H42" s="12" t="inlineStr">
        <is>
          <t>Rajasthan</t>
        </is>
      </c>
      <c r="I42" s="12" t="inlineStr">
        <is>
          <t>Udaipur</t>
        </is>
      </c>
      <c r="J42" s="12" t="inlineStr">
        <is>
          <t>Technology</t>
        </is>
      </c>
      <c r="K42" s="12" t="inlineStr">
        <is>
          <t>Copiers</t>
        </is>
      </c>
      <c r="L42" s="12" t="inlineStr">
        <is>
          <t>Eco Copiers 865</t>
        </is>
      </c>
      <c r="M42" s="12" t="inlineStr">
        <is>
          <t>Standard Class</t>
        </is>
      </c>
      <c r="N42" s="12" t="n">
        <v>7</v>
      </c>
      <c r="O42" s="12" t="n">
        <v>2509.27</v>
      </c>
      <c r="P42" s="12" t="n">
        <v>0.2</v>
      </c>
      <c r="Q42" s="12" t="n">
        <v>14051.91</v>
      </c>
      <c r="R42" s="12" t="n">
        <v>11990.37</v>
      </c>
      <c r="S42" s="12" t="n">
        <v>2061.54</v>
      </c>
      <c r="T42" s="12" t="inlineStr">
        <is>
          <t>Paid</t>
        </is>
      </c>
      <c r="U42" s="12" t="inlineStr">
        <is>
          <t>Completed</t>
        </is>
      </c>
      <c r="V42">
        <f>IF(OR(P42="",P42&lt;0,P42&gt;0.5),0,P42)</f>
        <v/>
      </c>
      <c r="W42">
        <f>N42*O42*(1-V42)</f>
        <v/>
      </c>
      <c r="X42">
        <f>W42-R42</f>
        <v/>
      </c>
      <c r="Y42">
        <f>IF(W42=0,0,X42/W42)</f>
        <v/>
      </c>
      <c r="Z42">
        <f>C42-B42</f>
        <v/>
      </c>
      <c r="AA42">
        <f>TEXT(B42,"mmmm")</f>
        <v/>
      </c>
      <c r="AB42">
        <f>YEAR(B42)</f>
        <v/>
      </c>
      <c r="AC42">
        <f>IF(OR(P42&lt;0,P42&gt;0.5,C42&lt;B42),"INVALID","CLEAN")</f>
        <v/>
      </c>
    </row>
    <row r="43">
      <c r="A43" s="12" t="inlineStr">
        <is>
          <t>ORD-2024-10042</t>
        </is>
      </c>
      <c r="B43" s="12" t="inlineStr">
        <is>
          <t>03/12/2024</t>
        </is>
      </c>
      <c r="C43" s="12" t="inlineStr">
        <is>
          <t>17-03-2024</t>
        </is>
      </c>
      <c r="D43" s="12" t="inlineStr">
        <is>
          <t>CUST-3829</t>
        </is>
      </c>
      <c r="E43" s="12" t="inlineStr">
        <is>
          <t>Aarav Sharma</t>
        </is>
      </c>
      <c r="F43" s="12" t="inlineStr">
        <is>
          <t>Small Business</t>
        </is>
      </c>
      <c r="G43" s="12" t="inlineStr">
        <is>
          <t>East</t>
        </is>
      </c>
      <c r="H43" s="12" t="inlineStr">
        <is>
          <t>Odisha</t>
        </is>
      </c>
      <c r="I43" s="12" t="inlineStr">
        <is>
          <t>Bhubaneswar</t>
        </is>
      </c>
      <c r="J43" s="12" t="inlineStr">
        <is>
          <t>Furniture</t>
        </is>
      </c>
      <c r="K43" s="12" t="inlineStr">
        <is>
          <t>Bookcases</t>
        </is>
      </c>
      <c r="L43" s="12" t="inlineStr">
        <is>
          <t>Classic Bookcases 835</t>
        </is>
      </c>
      <c r="M43" s="12" t="inlineStr">
        <is>
          <t>Same Day</t>
        </is>
      </c>
      <c r="N43" s="12" t="n">
        <v>8</v>
      </c>
      <c r="O43" s="12" t="n">
        <v>855.8099999999999</v>
      </c>
      <c r="P43" s="12" t="n">
        <v>0</v>
      </c>
      <c r="Q43" s="12" t="n">
        <v>6846.48</v>
      </c>
      <c r="R43" s="12" t="n">
        <v>4239.89</v>
      </c>
      <c r="S43" s="12" t="n">
        <v>2606.59</v>
      </c>
      <c r="T43" s="12" t="inlineStr">
        <is>
          <t>Pending</t>
        </is>
      </c>
      <c r="U43" s="12" t="inlineStr">
        <is>
          <t>Cancelled</t>
        </is>
      </c>
      <c r="V43">
        <f>IF(OR(P43="",P43&lt;0,P43&gt;0.5),0,P43)</f>
        <v/>
      </c>
      <c r="W43">
        <f>N43*O43*(1-V43)</f>
        <v/>
      </c>
      <c r="X43">
        <f>W43-R43</f>
        <v/>
      </c>
      <c r="Y43">
        <f>IF(W43=0,0,X43/W43)</f>
        <v/>
      </c>
      <c r="Z43">
        <f>C43-B43</f>
        <v/>
      </c>
      <c r="AA43">
        <f>TEXT(B43,"mmmm")</f>
        <v/>
      </c>
      <c r="AB43">
        <f>YEAR(B43)</f>
        <v/>
      </c>
      <c r="AC43">
        <f>IF(OR(P43&lt;0,P43&gt;0.5,C43&lt;B43),"INVALID","CLEAN")</f>
        <v/>
      </c>
    </row>
    <row r="44">
      <c r="A44" s="12" t="inlineStr">
        <is>
          <t>ORD-2025-10043</t>
        </is>
      </c>
      <c r="B44" s="12" t="inlineStr">
        <is>
          <t>2025-10-10</t>
        </is>
      </c>
      <c r="C44" s="12" t="inlineStr">
        <is>
          <t>15 Oct 2025</t>
        </is>
      </c>
      <c r="D44" s="12" t="inlineStr">
        <is>
          <t>CUST-6708</t>
        </is>
      </c>
      <c r="E44" s="12" t="inlineStr">
        <is>
          <t>Arjun Bose</t>
        </is>
      </c>
      <c r="F44" s="12" t="inlineStr">
        <is>
          <t>Corporate</t>
        </is>
      </c>
      <c r="G44" s="12" t="inlineStr">
        <is>
          <t>East</t>
        </is>
      </c>
      <c r="H44" s="12" t="inlineStr">
        <is>
          <t>Jharkhand</t>
        </is>
      </c>
      <c r="I44" s="12" t="inlineStr">
        <is>
          <t>Ranchi</t>
        </is>
      </c>
      <c r="J44" s="12" t="inlineStr">
        <is>
          <t>Technology</t>
        </is>
      </c>
      <c r="K44" s="12" t="inlineStr">
        <is>
          <t>Phones</t>
        </is>
      </c>
      <c r="L44" s="12" t="inlineStr">
        <is>
          <t>Eco Phones 702</t>
        </is>
      </c>
      <c r="M44" s="12" t="inlineStr">
        <is>
          <t>Standard Class</t>
        </is>
      </c>
      <c r="N44" s="12" t="n">
        <v>8</v>
      </c>
      <c r="O44" s="12" t="n">
        <v>979.87</v>
      </c>
      <c r="P44" s="12" t="n">
        <v>0.05</v>
      </c>
      <c r="Q44" s="12" t="n">
        <v>7447.01</v>
      </c>
      <c r="R44" s="12" t="n">
        <v>4496.22</v>
      </c>
      <c r="S44" s="12" t="n">
        <v>2950.79</v>
      </c>
      <c r="T44" s="12" t="inlineStr">
        <is>
          <t>Paid</t>
        </is>
      </c>
      <c r="U44" s="12" t="inlineStr">
        <is>
          <t>Completed</t>
        </is>
      </c>
      <c r="V44">
        <f>IF(OR(P44="",P44&lt;0,P44&gt;0.5),0,P44)</f>
        <v/>
      </c>
      <c r="W44">
        <f>N44*O44*(1-V44)</f>
        <v/>
      </c>
      <c r="X44">
        <f>W44-R44</f>
        <v/>
      </c>
      <c r="Y44">
        <f>IF(W44=0,0,X44/W44)</f>
        <v/>
      </c>
      <c r="Z44">
        <f>C44-B44</f>
        <v/>
      </c>
      <c r="AA44">
        <f>TEXT(B44,"mmmm")</f>
        <v/>
      </c>
      <c r="AB44">
        <f>YEAR(B44)</f>
        <v/>
      </c>
      <c r="AC44">
        <f>IF(OR(P44&lt;0,P44&gt;0.5,C44&lt;B44),"INVALID","CLEAN")</f>
        <v/>
      </c>
    </row>
    <row r="45">
      <c r="A45" s="12" t="inlineStr">
        <is>
          <t>ORD-2024-10044</t>
        </is>
      </c>
      <c r="B45" s="12" t="inlineStr">
        <is>
          <t>07/08/2024</t>
        </is>
      </c>
      <c r="C45" s="12" t="inlineStr">
        <is>
          <t>07/14/2024</t>
        </is>
      </c>
      <c r="D45" s="12" t="inlineStr">
        <is>
          <t>CUST-7119</t>
        </is>
      </c>
      <c r="E45" s="12" t="inlineStr">
        <is>
          <t>Priya Menon</t>
        </is>
      </c>
      <c r="F45" s="12" t="inlineStr">
        <is>
          <t>Small Business</t>
        </is>
      </c>
      <c r="G45" s="12" t="inlineStr">
        <is>
          <t>East</t>
        </is>
      </c>
      <c r="H45" s="12" t="inlineStr">
        <is>
          <t>Odisha</t>
        </is>
      </c>
      <c r="I45" s="12" t="inlineStr">
        <is>
          <t>Bhubaneswar</t>
        </is>
      </c>
      <c r="J45" s="12" t="inlineStr">
        <is>
          <t>Furniture</t>
        </is>
      </c>
      <c r="K45" s="12" t="inlineStr">
        <is>
          <t>Furnishings</t>
        </is>
      </c>
      <c r="L45" s="12" t="inlineStr">
        <is>
          <t>Smart Furnishings 956</t>
        </is>
      </c>
      <c r="M45" s="12" t="inlineStr">
        <is>
          <t>Same Day</t>
        </is>
      </c>
      <c r="N45" s="12" t="n">
        <v>3</v>
      </c>
      <c r="O45" s="12" t="n">
        <v>1010.23</v>
      </c>
      <c r="P45" s="12" t="n">
        <v>0</v>
      </c>
      <c r="Q45" s="12" t="n">
        <v>3030.69</v>
      </c>
      <c r="R45" s="12" t="n">
        <v>1721.08</v>
      </c>
      <c r="S45" s="12" t="n">
        <v>1309.61</v>
      </c>
      <c r="T45" s="12" t="inlineStr">
        <is>
          <t>Paid</t>
        </is>
      </c>
      <c r="U45" s="12" t="inlineStr">
        <is>
          <t>Completed</t>
        </is>
      </c>
      <c r="V45">
        <f>IF(OR(P45="",P45&lt;0,P45&gt;0.5),0,P45)</f>
        <v/>
      </c>
      <c r="W45">
        <f>N45*O45*(1-V45)</f>
        <v/>
      </c>
      <c r="X45">
        <f>W45-R45</f>
        <v/>
      </c>
      <c r="Y45">
        <f>IF(W45=0,0,X45/W45)</f>
        <v/>
      </c>
      <c r="Z45">
        <f>C45-B45</f>
        <v/>
      </c>
      <c r="AA45">
        <f>TEXT(B45,"mmmm")</f>
        <v/>
      </c>
      <c r="AB45">
        <f>YEAR(B45)</f>
        <v/>
      </c>
      <c r="AC45">
        <f>IF(OR(P45&lt;0,P45&gt;0.5,C45&lt;B45),"INVALID","CLEAN")</f>
        <v/>
      </c>
    </row>
    <row r="46">
      <c r="A46" s="12" t="inlineStr">
        <is>
          <t>ORD-2024-10045</t>
        </is>
      </c>
      <c r="B46" s="12" t="inlineStr">
        <is>
          <t>06/22/2024</t>
        </is>
      </c>
      <c r="C46" s="12" t="inlineStr">
        <is>
          <t>25-06-2024</t>
        </is>
      </c>
      <c r="D46" s="12" t="inlineStr">
        <is>
          <t>CUST-3373</t>
        </is>
      </c>
      <c r="E46" s="12" t="inlineStr">
        <is>
          <t>Rohan Mehta</t>
        </is>
      </c>
      <c r="F46" s="12" t="inlineStr">
        <is>
          <t>Small Business</t>
        </is>
      </c>
      <c r="G46" s="12" t="inlineStr">
        <is>
          <t>North</t>
        </is>
      </c>
      <c r="H46" s="12" t="inlineStr">
        <is>
          <t>Haryana</t>
        </is>
      </c>
      <c r="I46" s="12" t="inlineStr">
        <is>
          <t>Gurugram</t>
        </is>
      </c>
      <c r="J46" s="12" t="inlineStr">
        <is>
          <t>Furniture</t>
        </is>
      </c>
      <c r="K46" s="12" t="inlineStr">
        <is>
          <t>Chairs</t>
        </is>
      </c>
      <c r="L46" s="12" t="inlineStr">
        <is>
          <t>Max Chairs 393</t>
        </is>
      </c>
      <c r="M46" s="12" t="inlineStr">
        <is>
          <t>Standard Class</t>
        </is>
      </c>
      <c r="N46" s="12" t="n">
        <v>9</v>
      </c>
      <c r="O46" s="12" t="n">
        <v>3329.77</v>
      </c>
      <c r="P46" s="12" t="n">
        <v>0.1</v>
      </c>
      <c r="Q46" s="12" t="n">
        <v>26971.14</v>
      </c>
      <c r="R46" s="12" t="n">
        <v>17376.2</v>
      </c>
      <c r="S46" s="12" t="n">
        <v>9594.940000000001</v>
      </c>
      <c r="T46" s="12" t="inlineStr">
        <is>
          <t>Paid</t>
        </is>
      </c>
      <c r="U46" s="12" t="inlineStr">
        <is>
          <t>Completed</t>
        </is>
      </c>
      <c r="V46">
        <f>IF(OR(P46="",P46&lt;0,P46&gt;0.5),0,P46)</f>
        <v/>
      </c>
      <c r="W46">
        <f>N46*O46*(1-V46)</f>
        <v/>
      </c>
      <c r="X46">
        <f>W46-R46</f>
        <v/>
      </c>
      <c r="Y46">
        <f>IF(W46=0,0,X46/W46)</f>
        <v/>
      </c>
      <c r="Z46">
        <f>C46-B46</f>
        <v/>
      </c>
      <c r="AA46">
        <f>TEXT(B46,"mmmm")</f>
        <v/>
      </c>
      <c r="AB46">
        <f>YEAR(B46)</f>
        <v/>
      </c>
      <c r="AC46">
        <f>IF(OR(P46&lt;0,P46&gt;0.5,C46&lt;B46),"INVALID","CLEAN")</f>
        <v/>
      </c>
    </row>
    <row r="47">
      <c r="A47" s="12" t="inlineStr">
        <is>
          <t>ORD-2024-10046</t>
        </is>
      </c>
      <c r="B47" s="12" t="inlineStr">
        <is>
          <t>18 Jan 2024</t>
        </is>
      </c>
      <c r="C47" s="12" t="inlineStr">
        <is>
          <t>24-01-2024</t>
        </is>
      </c>
      <c r="D47" s="12" t="inlineStr">
        <is>
          <t>CUST-8896</t>
        </is>
      </c>
      <c r="E47" s="12" t="inlineStr">
        <is>
          <t>Isha Nair</t>
        </is>
      </c>
      <c r="F47" s="12" t="inlineStr">
        <is>
          <t>Home Office</t>
        </is>
      </c>
      <c r="G47" s="12" t="inlineStr">
        <is>
          <t>East</t>
        </is>
      </c>
      <c r="H47" s="12" t="inlineStr">
        <is>
          <t>Bihar</t>
        </is>
      </c>
      <c r="I47" s="12" t="inlineStr">
        <is>
          <t>Patna</t>
        </is>
      </c>
      <c r="J47" s="12" t="inlineStr">
        <is>
          <t>Office Supplies</t>
        </is>
      </c>
      <c r="K47" s="12" t="inlineStr">
        <is>
          <t>Art</t>
        </is>
      </c>
      <c r="L47" s="12" t="inlineStr">
        <is>
          <t>Prime Art 221</t>
        </is>
      </c>
      <c r="M47" s="12" t="inlineStr">
        <is>
          <t>Second Class</t>
        </is>
      </c>
      <c r="N47" s="12" t="n">
        <v>8</v>
      </c>
      <c r="O47" s="12" t="n">
        <v>3927.82</v>
      </c>
      <c r="P47" s="12" t="n">
        <v>0.05</v>
      </c>
      <c r="Q47" s="12" t="n">
        <v>29851.43</v>
      </c>
      <c r="R47" s="12" t="n">
        <v>17487.48</v>
      </c>
      <c r="S47" s="12" t="n">
        <v>12363.95</v>
      </c>
      <c r="T47" s="12" t="inlineStr">
        <is>
          <t>Pending</t>
        </is>
      </c>
      <c r="U47" s="12" t="inlineStr">
        <is>
          <t>Returned</t>
        </is>
      </c>
      <c r="V47">
        <f>IF(OR(P47="",P47&lt;0,P47&gt;0.5),0,P47)</f>
        <v/>
      </c>
      <c r="W47">
        <f>N47*O47*(1-V47)</f>
        <v/>
      </c>
      <c r="X47">
        <f>W47-R47</f>
        <v/>
      </c>
      <c r="Y47">
        <f>IF(W47=0,0,X47/W47)</f>
        <v/>
      </c>
      <c r="Z47">
        <f>C47-B47</f>
        <v/>
      </c>
      <c r="AA47">
        <f>TEXT(B47,"mmmm")</f>
        <v/>
      </c>
      <c r="AB47">
        <f>YEAR(B47)</f>
        <v/>
      </c>
      <c r="AC47">
        <f>IF(OR(P47&lt;0,P47&gt;0.5,C47&lt;B47),"INVALID","CLEAN")</f>
        <v/>
      </c>
    </row>
    <row r="48">
      <c r="A48" s="12" t="inlineStr">
        <is>
          <t>ORD-2024-10047</t>
        </is>
      </c>
      <c r="B48" s="12" t="inlineStr">
        <is>
          <t>19-07-2024</t>
        </is>
      </c>
      <c r="C48" s="12" t="inlineStr">
        <is>
          <t>19-07-2024</t>
        </is>
      </c>
      <c r="D48" s="12" t="inlineStr">
        <is>
          <t>CUST-8517</t>
        </is>
      </c>
      <c r="E48" s="12" t="inlineStr">
        <is>
          <t>Ananya Rao</t>
        </is>
      </c>
      <c r="F48" s="12" t="inlineStr">
        <is>
          <t>Small Business</t>
        </is>
      </c>
      <c r="G48" s="12" t="inlineStr">
        <is>
          <t>South</t>
        </is>
      </c>
      <c r="H48" s="12" t="inlineStr">
        <is>
          <t>Kerala</t>
        </is>
      </c>
      <c r="I48" s="12" t="inlineStr">
        <is>
          <t>Kochi</t>
        </is>
      </c>
      <c r="J48" s="12" t="inlineStr">
        <is>
          <t>Furniture</t>
        </is>
      </c>
      <c r="K48" s="12" t="inlineStr">
        <is>
          <t>Bookcases</t>
        </is>
      </c>
      <c r="L48" s="12" t="inlineStr">
        <is>
          <t>Elite Bookcases 671</t>
        </is>
      </c>
      <c r="M48" s="12" t="inlineStr">
        <is>
          <t>Standard Class</t>
        </is>
      </c>
      <c r="N48" s="12" t="n">
        <v>9</v>
      </c>
      <c r="O48" s="12" t="n">
        <v>2386.79</v>
      </c>
      <c r="P48" s="12" t="n">
        <v>0.25</v>
      </c>
      <c r="Q48" s="12" t="n">
        <v>16110.83</v>
      </c>
      <c r="R48" s="12" t="n">
        <v>10680.03</v>
      </c>
      <c r="S48" s="12" t="n">
        <v>5430.8</v>
      </c>
      <c r="T48" s="12" t="inlineStr">
        <is>
          <t>Refunded</t>
        </is>
      </c>
      <c r="U48" s="12" t="inlineStr">
        <is>
          <t>Returned</t>
        </is>
      </c>
      <c r="V48">
        <f>IF(OR(P48="",P48&lt;0,P48&gt;0.5),0,P48)</f>
        <v/>
      </c>
      <c r="W48">
        <f>N48*O48*(1-V48)</f>
        <v/>
      </c>
      <c r="X48">
        <f>W48-R48</f>
        <v/>
      </c>
      <c r="Y48">
        <f>IF(W48=0,0,X48/W48)</f>
        <v/>
      </c>
      <c r="Z48">
        <f>C48-B48</f>
        <v/>
      </c>
      <c r="AA48">
        <f>TEXT(B48,"mmmm")</f>
        <v/>
      </c>
      <c r="AB48">
        <f>YEAR(B48)</f>
        <v/>
      </c>
      <c r="AC48">
        <f>IF(OR(P48&lt;0,P48&gt;0.5,C48&lt;B48),"INVALID","CLEAN")</f>
        <v/>
      </c>
    </row>
    <row r="49">
      <c r="A49" s="12" t="inlineStr">
        <is>
          <t>ORD-2024-10048</t>
        </is>
      </c>
      <c r="B49" s="12" t="inlineStr">
        <is>
          <t>12-08-2024</t>
        </is>
      </c>
      <c r="C49" s="12" t="inlineStr">
        <is>
          <t>2024-08-12</t>
        </is>
      </c>
      <c r="D49" s="12" t="inlineStr">
        <is>
          <t>CUST-1987</t>
        </is>
      </c>
      <c r="E49" s="12" t="inlineStr">
        <is>
          <t>Rahul Verma</t>
        </is>
      </c>
      <c r="F49" s="12" t="inlineStr">
        <is>
          <t>Corporate</t>
        </is>
      </c>
      <c r="G49" s="12" t="inlineStr">
        <is>
          <t>South</t>
        </is>
      </c>
      <c r="H49" s="12" t="inlineStr">
        <is>
          <t>Tamil Nadu</t>
        </is>
      </c>
      <c r="I49" s="12" t="inlineStr">
        <is>
          <t>Chennai</t>
        </is>
      </c>
      <c r="J49" s="12" t="inlineStr">
        <is>
          <t>Office Supplies</t>
        </is>
      </c>
      <c r="K49" s="12" t="inlineStr">
        <is>
          <t>Storage</t>
        </is>
      </c>
      <c r="L49" s="12" t="inlineStr">
        <is>
          <t>Max Storage 432</t>
        </is>
      </c>
      <c r="M49" s="12" t="inlineStr">
        <is>
          <t>Standard Class</t>
        </is>
      </c>
      <c r="N49" s="12" t="n">
        <v>8</v>
      </c>
      <c r="O49" s="12" t="n">
        <v>2445.31</v>
      </c>
      <c r="P49" s="12" t="n">
        <v>0.1</v>
      </c>
      <c r="Q49" s="12" t="n">
        <v>17606.23</v>
      </c>
      <c r="R49" s="12" t="n">
        <v>12438.96</v>
      </c>
      <c r="S49" s="12" t="n">
        <v>5167.27</v>
      </c>
      <c r="T49" s="12" t="inlineStr">
        <is>
          <t>Paid</t>
        </is>
      </c>
      <c r="U49" s="12" t="inlineStr">
        <is>
          <t>Completed</t>
        </is>
      </c>
      <c r="V49">
        <f>IF(OR(P49="",P49&lt;0,P49&gt;0.5),0,P49)</f>
        <v/>
      </c>
      <c r="W49">
        <f>N49*O49*(1-V49)</f>
        <v/>
      </c>
      <c r="X49">
        <f>W49-R49</f>
        <v/>
      </c>
      <c r="Y49">
        <f>IF(W49=0,0,X49/W49)</f>
        <v/>
      </c>
      <c r="Z49">
        <f>C49-B49</f>
        <v/>
      </c>
      <c r="AA49">
        <f>TEXT(B49,"mmmm")</f>
        <v/>
      </c>
      <c r="AB49">
        <f>YEAR(B49)</f>
        <v/>
      </c>
      <c r="AC49">
        <f>IF(OR(P49&lt;0,P49&gt;0.5,C49&lt;B49),"INVALID","CLEAN")</f>
        <v/>
      </c>
    </row>
    <row r="50">
      <c r="A50" s="12" t="inlineStr">
        <is>
          <t>ORD-2025-10049</t>
        </is>
      </c>
      <c r="B50" s="12" t="inlineStr">
        <is>
          <t>30 Jan 2025</t>
        </is>
      </c>
      <c r="C50" s="12" t="inlineStr">
        <is>
          <t>05 Feb 2025</t>
        </is>
      </c>
      <c r="D50" s="12" t="inlineStr">
        <is>
          <t>CUST-8183</t>
        </is>
      </c>
      <c r="E50" s="12" t="inlineStr">
        <is>
          <t>Neha Gupta</t>
        </is>
      </c>
      <c r="F50" s="12" t="inlineStr">
        <is>
          <t>Corporate</t>
        </is>
      </c>
      <c r="G50" s="12" t="inlineStr">
        <is>
          <t>West</t>
        </is>
      </c>
      <c r="H50" s="12" t="inlineStr">
        <is>
          <t>Maharashtra</t>
        </is>
      </c>
      <c r="I50" s="12" t="inlineStr">
        <is>
          <t>Mumbai</t>
        </is>
      </c>
      <c r="J50" s="12" t="inlineStr">
        <is>
          <t>Furniture</t>
        </is>
      </c>
      <c r="K50" s="12" t="inlineStr">
        <is>
          <t>Chairs</t>
        </is>
      </c>
      <c r="L50" s="12" t="inlineStr">
        <is>
          <t>Basic Chairs 837</t>
        </is>
      </c>
      <c r="M50" s="12" t="inlineStr">
        <is>
          <t xml:space="preserve">Second Class </t>
        </is>
      </c>
      <c r="N50" s="12" t="n">
        <v>7</v>
      </c>
      <c r="O50" s="12" t="n">
        <v>4063.66</v>
      </c>
      <c r="P50" s="12" t="n">
        <v>0</v>
      </c>
      <c r="Q50" s="12" t="n">
        <v>28445.62</v>
      </c>
      <c r="R50" s="12" t="n">
        <v>20938.59</v>
      </c>
      <c r="S50" s="12" t="n">
        <v>7507.03</v>
      </c>
      <c r="T50" s="12" t="inlineStr">
        <is>
          <t>Paid</t>
        </is>
      </c>
      <c r="U50" s="12" t="inlineStr">
        <is>
          <t>Completed</t>
        </is>
      </c>
      <c r="V50">
        <f>IF(OR(P50="",P50&lt;0,P50&gt;0.5),0,P50)</f>
        <v/>
      </c>
      <c r="W50">
        <f>N50*O50*(1-V50)</f>
        <v/>
      </c>
      <c r="X50">
        <f>W50-R50</f>
        <v/>
      </c>
      <c r="Y50">
        <f>IF(W50=0,0,X50/W50)</f>
        <v/>
      </c>
      <c r="Z50">
        <f>C50-B50</f>
        <v/>
      </c>
      <c r="AA50">
        <f>TEXT(B50,"mmmm")</f>
        <v/>
      </c>
      <c r="AB50">
        <f>YEAR(B50)</f>
        <v/>
      </c>
      <c r="AC50">
        <f>IF(OR(P50&lt;0,P50&gt;0.5,C50&lt;B50),"INVALID","CLEAN")</f>
        <v/>
      </c>
    </row>
    <row r="51">
      <c r="A51" s="12" t="inlineStr">
        <is>
          <t>ORD-2024-10050</t>
        </is>
      </c>
      <c r="B51" s="12" t="inlineStr">
        <is>
          <t>2024-04-06</t>
        </is>
      </c>
      <c r="C51" s="12" t="inlineStr">
        <is>
          <t>13 Apr 2024</t>
        </is>
      </c>
      <c r="D51" s="12" t="inlineStr">
        <is>
          <t>CUST-2380</t>
        </is>
      </c>
      <c r="E51" s="12" t="inlineStr">
        <is>
          <t>Aarav Sharma</t>
        </is>
      </c>
      <c r="F51" s="12" t="inlineStr">
        <is>
          <t>Home Office</t>
        </is>
      </c>
      <c r="G51" s="12" t="inlineStr">
        <is>
          <t>North</t>
        </is>
      </c>
      <c r="H51" s="12" t="inlineStr">
        <is>
          <t>Uttar Pradesh</t>
        </is>
      </c>
      <c r="I51" s="12" t="inlineStr">
        <is>
          <t>Noida</t>
        </is>
      </c>
      <c r="J51" s="12" t="inlineStr">
        <is>
          <t>Technology</t>
        </is>
      </c>
      <c r="K51" s="12" t="inlineStr">
        <is>
          <t>Copiers</t>
        </is>
      </c>
      <c r="L51" s="12" t="inlineStr">
        <is>
          <t>Classic Copiers 295</t>
        </is>
      </c>
      <c r="M51" s="12" t="inlineStr">
        <is>
          <t>Second Class</t>
        </is>
      </c>
      <c r="N51" s="12" t="n">
        <v>9</v>
      </c>
      <c r="O51" s="12" t="n">
        <v>792.11</v>
      </c>
      <c r="P51" s="12" t="n">
        <v>0.05</v>
      </c>
      <c r="Q51" s="12" t="n">
        <v>6772.54</v>
      </c>
      <c r="R51" s="12" t="n">
        <v>5755.46</v>
      </c>
      <c r="S51" s="12" t="n">
        <v>1017.08</v>
      </c>
      <c r="T51" s="12" t="inlineStr">
        <is>
          <t>Paid</t>
        </is>
      </c>
      <c r="U51" s="12" t="inlineStr">
        <is>
          <t>Completed</t>
        </is>
      </c>
      <c r="V51">
        <f>IF(OR(P51="",P51&lt;0,P51&gt;0.5),0,P51)</f>
        <v/>
      </c>
      <c r="W51">
        <f>N51*O51*(1-V51)</f>
        <v/>
      </c>
      <c r="X51">
        <f>W51-R51</f>
        <v/>
      </c>
      <c r="Y51">
        <f>IF(W51=0,0,X51/W51)</f>
        <v/>
      </c>
      <c r="Z51">
        <f>C51-B51</f>
        <v/>
      </c>
      <c r="AA51">
        <f>TEXT(B51,"mmmm")</f>
        <v/>
      </c>
      <c r="AB51">
        <f>YEAR(B51)</f>
        <v/>
      </c>
      <c r="AC51">
        <f>IF(OR(P51&lt;0,P51&gt;0.5,C51&lt;B51),"INVALID","CLEAN")</f>
        <v/>
      </c>
    </row>
    <row r="52">
      <c r="A52" s="12" t="inlineStr">
        <is>
          <t>ORD-2025-10051</t>
        </is>
      </c>
      <c r="B52" s="12" t="inlineStr">
        <is>
          <t>05/11/2025</t>
        </is>
      </c>
      <c r="C52" s="12" t="inlineStr">
        <is>
          <t>19 May 2025</t>
        </is>
      </c>
      <c r="D52" s="12" t="inlineStr">
        <is>
          <t>CUST-8787</t>
        </is>
      </c>
      <c r="E52" s="12" t="inlineStr">
        <is>
          <t>Sneha Kapoor</t>
        </is>
      </c>
      <c r="F52" s="12" t="inlineStr">
        <is>
          <t>Consumer</t>
        </is>
      </c>
      <c r="G52" s="12" t="inlineStr">
        <is>
          <t>East</t>
        </is>
      </c>
      <c r="H52" s="12" t="inlineStr">
        <is>
          <t>West Bengal</t>
        </is>
      </c>
      <c r="I52" s="12" t="inlineStr">
        <is>
          <t>Kolkata</t>
        </is>
      </c>
      <c r="J52" s="12" t="inlineStr">
        <is>
          <t>Technology</t>
        </is>
      </c>
      <c r="K52" s="12" t="inlineStr">
        <is>
          <t>Copiers</t>
        </is>
      </c>
      <c r="L52" s="12" t="inlineStr">
        <is>
          <t>Pro Copiers 963</t>
        </is>
      </c>
      <c r="M52" s="12" t="inlineStr">
        <is>
          <t>Standard Class</t>
        </is>
      </c>
      <c r="N52" s="12" t="n">
        <v>1</v>
      </c>
      <c r="O52" s="12" t="n">
        <v>2382.8</v>
      </c>
      <c r="P52" s="12" t="n">
        <v>0.15</v>
      </c>
      <c r="Q52" s="12" t="n">
        <v>2025.38</v>
      </c>
      <c r="R52" s="12" t="n">
        <v>1140.65</v>
      </c>
      <c r="S52" s="12" t="n">
        <v>884.73</v>
      </c>
      <c r="T52" s="12" t="inlineStr">
        <is>
          <t>Paid</t>
        </is>
      </c>
      <c r="U52" s="12" t="inlineStr">
        <is>
          <t>Completed</t>
        </is>
      </c>
      <c r="V52">
        <f>IF(OR(P52="",P52&lt;0,P52&gt;0.5),0,P52)</f>
        <v/>
      </c>
      <c r="W52">
        <f>N52*O52*(1-V52)</f>
        <v/>
      </c>
      <c r="X52">
        <f>W52-R52</f>
        <v/>
      </c>
      <c r="Y52">
        <f>IF(W52=0,0,X52/W52)</f>
        <v/>
      </c>
      <c r="Z52">
        <f>C52-B52</f>
        <v/>
      </c>
      <c r="AA52">
        <f>TEXT(B52,"mmmm")</f>
        <v/>
      </c>
      <c r="AB52">
        <f>YEAR(B52)</f>
        <v/>
      </c>
      <c r="AC52">
        <f>IF(OR(P52&lt;0,P52&gt;0.5,C52&lt;B52),"INVALID","CLEAN")</f>
        <v/>
      </c>
    </row>
    <row r="53">
      <c r="A53" s="12" t="inlineStr">
        <is>
          <t>ORD-2024-10052</t>
        </is>
      </c>
      <c r="B53" s="12" t="inlineStr">
        <is>
          <t>24 Apr 2024</t>
        </is>
      </c>
      <c r="C53" s="12" t="inlineStr">
        <is>
          <t>29 Apr 2024</t>
        </is>
      </c>
      <c r="D53" s="12" t="inlineStr">
        <is>
          <t>CUST-3557</t>
        </is>
      </c>
      <c r="E53" s="12" t="inlineStr">
        <is>
          <t xml:space="preserve">Ananya Rao </t>
        </is>
      </c>
      <c r="F53" s="12" t="inlineStr">
        <is>
          <t>Corporate</t>
        </is>
      </c>
      <c r="G53" s="12" t="inlineStr">
        <is>
          <t>South</t>
        </is>
      </c>
      <c r="H53" s="12" t="inlineStr">
        <is>
          <t>Telangana</t>
        </is>
      </c>
      <c r="I53" s="12" t="inlineStr">
        <is>
          <t>Hyderabad</t>
        </is>
      </c>
      <c r="J53" s="12" t="inlineStr">
        <is>
          <t>Office Supplies</t>
        </is>
      </c>
      <c r="K53" s="12" t="inlineStr">
        <is>
          <t>Art</t>
        </is>
      </c>
      <c r="L53" s="12" t="inlineStr">
        <is>
          <t>Pro Art 907</t>
        </is>
      </c>
      <c r="M53" s="12" t="inlineStr">
        <is>
          <t>Standard Class</t>
        </is>
      </c>
      <c r="N53" s="12" t="n">
        <v>6</v>
      </c>
      <c r="O53" s="12" t="n">
        <v>1528.08</v>
      </c>
      <c r="P53" s="12" t="n">
        <v>0</v>
      </c>
      <c r="Q53" s="12" t="n">
        <v>9168.48</v>
      </c>
      <c r="R53" s="12" t="n">
        <v>7439.77</v>
      </c>
      <c r="S53" s="12" t="n">
        <v>1728.71</v>
      </c>
      <c r="T53" s="12" t="inlineStr">
        <is>
          <t>Paid</t>
        </is>
      </c>
      <c r="U53" s="12" t="inlineStr">
        <is>
          <t>Completed</t>
        </is>
      </c>
      <c r="V53">
        <f>IF(OR(P53="",P53&lt;0,P53&gt;0.5),0,P53)</f>
        <v/>
      </c>
      <c r="W53">
        <f>N53*O53*(1-V53)</f>
        <v/>
      </c>
      <c r="X53">
        <f>W53-R53</f>
        <v/>
      </c>
      <c r="Y53">
        <f>IF(W53=0,0,X53/W53)</f>
        <v/>
      </c>
      <c r="Z53">
        <f>C53-B53</f>
        <v/>
      </c>
      <c r="AA53">
        <f>TEXT(B53,"mmmm")</f>
        <v/>
      </c>
      <c r="AB53">
        <f>YEAR(B53)</f>
        <v/>
      </c>
      <c r="AC53">
        <f>IF(OR(P53&lt;0,P53&gt;0.5,C53&lt;B53),"INVALID","CLEAN")</f>
        <v/>
      </c>
    </row>
    <row r="54">
      <c r="A54" s="12" t="inlineStr">
        <is>
          <t>ORD-2024-10053</t>
        </is>
      </c>
      <c r="B54" s="12" t="inlineStr">
        <is>
          <t>26-10-2024</t>
        </is>
      </c>
      <c r="C54" s="12" t="inlineStr">
        <is>
          <t>2024-10-28</t>
        </is>
      </c>
      <c r="D54" s="12" t="inlineStr">
        <is>
          <t>CUST-2778</t>
        </is>
      </c>
      <c r="E54" s="12" t="inlineStr">
        <is>
          <t>Kabir Singh</t>
        </is>
      </c>
      <c r="F54" s="12" t="inlineStr">
        <is>
          <t>Small Business</t>
        </is>
      </c>
      <c r="G54" s="12" t="inlineStr">
        <is>
          <t>North</t>
        </is>
      </c>
      <c r="H54" s="12" t="inlineStr">
        <is>
          <t>Rajasthan</t>
        </is>
      </c>
      <c r="I54" s="12" t="inlineStr">
        <is>
          <t>Jaipur</t>
        </is>
      </c>
      <c r="J54" s="12" t="inlineStr">
        <is>
          <t>Furniture</t>
        </is>
      </c>
      <c r="K54" s="12" t="inlineStr">
        <is>
          <t>Chairs</t>
        </is>
      </c>
      <c r="L54" s="12" t="inlineStr">
        <is>
          <t>Pro Chairs 526</t>
        </is>
      </c>
      <c r="M54" s="12" t="inlineStr">
        <is>
          <t>First Class</t>
        </is>
      </c>
      <c r="N54" s="12" t="n">
        <v>9</v>
      </c>
      <c r="O54" s="12" t="n">
        <v>1399.63</v>
      </c>
      <c r="P54" s="12" t="n">
        <v>0</v>
      </c>
      <c r="Q54" s="12" t="n">
        <v>12596.67</v>
      </c>
      <c r="R54" s="12" t="n">
        <v>10603.29</v>
      </c>
      <c r="S54" s="12" t="n">
        <v>1993.38</v>
      </c>
      <c r="T54" s="12" t="inlineStr">
        <is>
          <t>Failed</t>
        </is>
      </c>
      <c r="U54" s="12" t="inlineStr">
        <is>
          <t>Cancelled</t>
        </is>
      </c>
      <c r="V54">
        <f>IF(OR(P54="",P54&lt;0,P54&gt;0.5),0,P54)</f>
        <v/>
      </c>
      <c r="W54">
        <f>N54*O54*(1-V54)</f>
        <v/>
      </c>
      <c r="X54">
        <f>W54-R54</f>
        <v/>
      </c>
      <c r="Y54">
        <f>IF(W54=0,0,X54/W54)</f>
        <v/>
      </c>
      <c r="Z54">
        <f>C54-B54</f>
        <v/>
      </c>
      <c r="AA54">
        <f>TEXT(B54,"mmmm")</f>
        <v/>
      </c>
      <c r="AB54">
        <f>YEAR(B54)</f>
        <v/>
      </c>
      <c r="AC54">
        <f>IF(OR(P54&lt;0,P54&gt;0.5,C54&lt;B54),"INVALID","CLEAN")</f>
        <v/>
      </c>
    </row>
    <row r="55">
      <c r="A55" s="12" t="inlineStr">
        <is>
          <t>ORD-2025-10054</t>
        </is>
      </c>
      <c r="B55" s="12" t="inlineStr">
        <is>
          <t>31 Mar 2025</t>
        </is>
      </c>
      <c r="C55" s="12" t="inlineStr">
        <is>
          <t>2025-03-31</t>
        </is>
      </c>
      <c r="D55" s="12" t="inlineStr">
        <is>
          <t>CUST-7195</t>
        </is>
      </c>
      <c r="E55" s="12" t="inlineStr">
        <is>
          <t>Kabir Singh</t>
        </is>
      </c>
      <c r="F55" s="12" t="inlineStr">
        <is>
          <t>Home Office</t>
        </is>
      </c>
      <c r="G55" s="12" t="inlineStr">
        <is>
          <t>West</t>
        </is>
      </c>
      <c r="H55" s="12" t="inlineStr">
        <is>
          <t>Gujarat</t>
        </is>
      </c>
      <c r="I55" s="12" t="inlineStr">
        <is>
          <t>Ahmedabad</t>
        </is>
      </c>
      <c r="J55" s="12" t="inlineStr">
        <is>
          <t>Office Supplies</t>
        </is>
      </c>
      <c r="K55" s="12" t="inlineStr">
        <is>
          <t>Storage</t>
        </is>
      </c>
      <c r="L55" s="12" t="inlineStr">
        <is>
          <t>Elite Storage 924</t>
        </is>
      </c>
      <c r="M55" s="12" t="inlineStr">
        <is>
          <t>First Class</t>
        </is>
      </c>
      <c r="N55" s="12" t="n">
        <v>5</v>
      </c>
      <c r="O55" s="12" t="n">
        <v>1207.47</v>
      </c>
      <c r="P55" s="12" t="n">
        <v>0.15</v>
      </c>
      <c r="Q55" s="12" t="n">
        <v>5131.75</v>
      </c>
      <c r="R55" s="12" t="n">
        <v>2838.68</v>
      </c>
      <c r="S55" s="12" t="n">
        <v>2293.07</v>
      </c>
      <c r="T55" s="12" t="inlineStr">
        <is>
          <t>Paid</t>
        </is>
      </c>
      <c r="U55" s="12" t="inlineStr">
        <is>
          <t>Completed</t>
        </is>
      </c>
      <c r="V55">
        <f>IF(OR(P55="",P55&lt;0,P55&gt;0.5),0,P55)</f>
        <v/>
      </c>
      <c r="W55">
        <f>N55*O55*(1-V55)</f>
        <v/>
      </c>
      <c r="X55">
        <f>W55-R55</f>
        <v/>
      </c>
      <c r="Y55">
        <f>IF(W55=0,0,X55/W55)</f>
        <v/>
      </c>
      <c r="Z55">
        <f>C55-B55</f>
        <v/>
      </c>
      <c r="AA55">
        <f>TEXT(B55,"mmmm")</f>
        <v/>
      </c>
      <c r="AB55">
        <f>YEAR(B55)</f>
        <v/>
      </c>
      <c r="AC55">
        <f>IF(OR(P55&lt;0,P55&gt;0.5,C55&lt;B55),"INVALID","CLEAN")</f>
        <v/>
      </c>
    </row>
    <row r="56">
      <c r="A56" s="12" t="inlineStr">
        <is>
          <t>ORD-2025-10055</t>
        </is>
      </c>
      <c r="B56" s="12" t="inlineStr">
        <is>
          <t>30 May 2025</t>
        </is>
      </c>
      <c r="C56" s="12" t="inlineStr">
        <is>
          <t>2025-06-02</t>
        </is>
      </c>
      <c r="D56" s="12" t="inlineStr">
        <is>
          <t>CUST-9039</t>
        </is>
      </c>
      <c r="E56" s="12" t="inlineStr">
        <is>
          <t>Arjun Bose</t>
        </is>
      </c>
      <c r="F56" s="12" t="inlineStr">
        <is>
          <t>Corporate</t>
        </is>
      </c>
      <c r="G56" s="12" t="inlineStr">
        <is>
          <t>South</t>
        </is>
      </c>
      <c r="H56" s="12" t="inlineStr">
        <is>
          <t>Tamil Nadu</t>
        </is>
      </c>
      <c r="I56" s="12" t="inlineStr">
        <is>
          <t>Chennai</t>
        </is>
      </c>
      <c r="J56" s="12" t="inlineStr">
        <is>
          <t>Office Supplies</t>
        </is>
      </c>
      <c r="K56" s="12" t="inlineStr">
        <is>
          <t>Labels</t>
        </is>
      </c>
      <c r="L56" s="12" t="inlineStr">
        <is>
          <t>Pro Labels 957</t>
        </is>
      </c>
      <c r="M56" s="12" t="inlineStr">
        <is>
          <t>Same Day</t>
        </is>
      </c>
      <c r="N56" s="12" t="n">
        <v>8</v>
      </c>
      <c r="O56" s="12" t="n">
        <v>474.37</v>
      </c>
      <c r="P56" s="12" t="n">
        <v>0.1</v>
      </c>
      <c r="Q56" s="12" t="n">
        <v>3415.46</v>
      </c>
      <c r="R56" s="12" t="n">
        <v>1993.23</v>
      </c>
      <c r="S56" s="12" t="n">
        <v>1422.23</v>
      </c>
      <c r="T56" s="12" t="inlineStr">
        <is>
          <t>Failed</t>
        </is>
      </c>
      <c r="U56" s="12" t="inlineStr">
        <is>
          <t>Cancelled</t>
        </is>
      </c>
      <c r="V56">
        <f>IF(OR(P56="",P56&lt;0,P56&gt;0.5),0,P56)</f>
        <v/>
      </c>
      <c r="W56">
        <f>N56*O56*(1-V56)</f>
        <v/>
      </c>
      <c r="X56">
        <f>W56-R56</f>
        <v/>
      </c>
      <c r="Y56">
        <f>IF(W56=0,0,X56/W56)</f>
        <v/>
      </c>
      <c r="Z56">
        <f>C56-B56</f>
        <v/>
      </c>
      <c r="AA56">
        <f>TEXT(B56,"mmmm")</f>
        <v/>
      </c>
      <c r="AB56">
        <f>YEAR(B56)</f>
        <v/>
      </c>
      <c r="AC56">
        <f>IF(OR(P56&lt;0,P56&gt;0.5,C56&lt;B56),"INVALID","CLEAN")</f>
        <v/>
      </c>
    </row>
    <row r="57">
      <c r="A57" s="12" t="inlineStr">
        <is>
          <t>ORD-2025-10056</t>
        </is>
      </c>
      <c r="B57" s="12" t="inlineStr">
        <is>
          <t>01-07-2025</t>
        </is>
      </c>
      <c r="C57" s="12" t="inlineStr">
        <is>
          <t>03-07-2025</t>
        </is>
      </c>
      <c r="D57" s="12" t="inlineStr">
        <is>
          <t>CUST-9821</t>
        </is>
      </c>
      <c r="E57" s="12" t="inlineStr">
        <is>
          <t>Mira Das</t>
        </is>
      </c>
      <c r="F57" s="12" t="inlineStr">
        <is>
          <t>Small Business</t>
        </is>
      </c>
      <c r="G57" s="12" t="inlineStr">
        <is>
          <t>South</t>
        </is>
      </c>
      <c r="H57" s="12" t="inlineStr">
        <is>
          <t>Andhra Pradesh</t>
        </is>
      </c>
      <c r="I57" s="12" t="inlineStr">
        <is>
          <t>Vijayawada</t>
        </is>
      </c>
      <c r="J57" s="12" t="inlineStr">
        <is>
          <t>Technology</t>
        </is>
      </c>
      <c r="K57" s="12" t="inlineStr">
        <is>
          <t>Machines</t>
        </is>
      </c>
      <c r="L57" s="12" t="inlineStr">
        <is>
          <t>Classic Machines 310</t>
        </is>
      </c>
      <c r="M57" s="12" t="inlineStr">
        <is>
          <t>Same Day</t>
        </is>
      </c>
      <c r="N57" s="12" t="n">
        <v>3</v>
      </c>
      <c r="O57" s="12" t="n">
        <v>1516.24</v>
      </c>
      <c r="P57" s="12" t="n">
        <v>0.25</v>
      </c>
      <c r="Q57" s="12" t="n">
        <v>3411.54</v>
      </c>
      <c r="R57" s="12" t="n">
        <v>2803.13</v>
      </c>
      <c r="S57" s="12" t="n">
        <v>608.41</v>
      </c>
      <c r="T57" s="12" t="inlineStr">
        <is>
          <t>Paid</t>
        </is>
      </c>
      <c r="U57" s="12" t="inlineStr">
        <is>
          <t>Completed</t>
        </is>
      </c>
      <c r="V57">
        <f>IF(OR(P57="",P57&lt;0,P57&gt;0.5),0,P57)</f>
        <v/>
      </c>
      <c r="W57">
        <f>N57*O57*(1-V57)</f>
        <v/>
      </c>
      <c r="X57">
        <f>W57-R57</f>
        <v/>
      </c>
      <c r="Y57">
        <f>IF(W57=0,0,X57/W57)</f>
        <v/>
      </c>
      <c r="Z57">
        <f>C57-B57</f>
        <v/>
      </c>
      <c r="AA57">
        <f>TEXT(B57,"mmmm")</f>
        <v/>
      </c>
      <c r="AB57">
        <f>YEAR(B57)</f>
        <v/>
      </c>
      <c r="AC57">
        <f>IF(OR(P57&lt;0,P57&gt;0.5,C57&lt;B57),"INVALID","CLEAN")</f>
        <v/>
      </c>
    </row>
    <row r="58">
      <c r="A58" s="12" t="inlineStr">
        <is>
          <t>ORD-2025-10057</t>
        </is>
      </c>
      <c r="B58" s="12" t="inlineStr">
        <is>
          <t>2025-01-05</t>
        </is>
      </c>
      <c r="C58" s="12" t="inlineStr">
        <is>
          <t>06-01-2025</t>
        </is>
      </c>
      <c r="D58" s="12" t="inlineStr">
        <is>
          <t>CUST-8701</t>
        </is>
      </c>
      <c r="E58" s="12" t="inlineStr">
        <is>
          <t>Karan Malhotra</t>
        </is>
      </c>
      <c r="F58" s="12" t="inlineStr">
        <is>
          <t>Consumer</t>
        </is>
      </c>
      <c r="G58" s="12" t="inlineStr">
        <is>
          <t>South</t>
        </is>
      </c>
      <c r="H58" s="12" t="inlineStr">
        <is>
          <t>Karnataka</t>
        </is>
      </c>
      <c r="I58" s="12" t="inlineStr">
        <is>
          <t>Bengaluru</t>
        </is>
      </c>
      <c r="J58" s="12" t="inlineStr">
        <is>
          <t>Office Supplies</t>
        </is>
      </c>
      <c r="K58" s="12" t="inlineStr">
        <is>
          <t>Binders</t>
        </is>
      </c>
      <c r="L58" s="12" t="inlineStr">
        <is>
          <t>Smart Binders 393</t>
        </is>
      </c>
      <c r="M58" s="12" t="inlineStr">
        <is>
          <t>Second Class</t>
        </is>
      </c>
      <c r="N58" s="12" t="n">
        <v>3</v>
      </c>
      <c r="O58" s="12" t="n">
        <v>3155.61</v>
      </c>
      <c r="P58" s="12" t="n">
        <v>0</v>
      </c>
      <c r="Q58" s="12" t="n">
        <v>9466.83</v>
      </c>
      <c r="R58" s="12" t="n">
        <v>6557.83</v>
      </c>
      <c r="S58" s="12" t="n">
        <v>2909</v>
      </c>
      <c r="T58" s="12" t="inlineStr">
        <is>
          <t>Refunded</t>
        </is>
      </c>
      <c r="U58" s="12" t="inlineStr">
        <is>
          <t>Cancelled</t>
        </is>
      </c>
      <c r="V58">
        <f>IF(OR(P58="",P58&lt;0,P58&gt;0.5),0,P58)</f>
        <v/>
      </c>
      <c r="W58">
        <f>N58*O58*(1-V58)</f>
        <v/>
      </c>
      <c r="X58">
        <f>W58-R58</f>
        <v/>
      </c>
      <c r="Y58">
        <f>IF(W58=0,0,X58/W58)</f>
        <v/>
      </c>
      <c r="Z58">
        <f>C58-B58</f>
        <v/>
      </c>
      <c r="AA58">
        <f>TEXT(B58,"mmmm")</f>
        <v/>
      </c>
      <c r="AB58">
        <f>YEAR(B58)</f>
        <v/>
      </c>
      <c r="AC58">
        <f>IF(OR(P58&lt;0,P58&gt;0.5,C58&lt;B58),"INVALID","CLEAN")</f>
        <v/>
      </c>
    </row>
    <row r="59">
      <c r="A59" s="12" t="inlineStr">
        <is>
          <t>ORD-2024-10058</t>
        </is>
      </c>
      <c r="B59" s="12" t="inlineStr">
        <is>
          <t>2024-02-07</t>
        </is>
      </c>
      <c r="C59" s="12" t="inlineStr">
        <is>
          <t>15 Feb 2024</t>
        </is>
      </c>
      <c r="D59" s="12" t="inlineStr">
        <is>
          <t>CUST-9941</t>
        </is>
      </c>
      <c r="E59" s="12" t="inlineStr">
        <is>
          <t>Priya Menon</t>
        </is>
      </c>
      <c r="F59" s="12" t="inlineStr">
        <is>
          <t>Consumer</t>
        </is>
      </c>
      <c r="G59" s="12" t="inlineStr">
        <is>
          <t>West</t>
        </is>
      </c>
      <c r="H59" s="12" t="inlineStr">
        <is>
          <t>Goa</t>
        </is>
      </c>
      <c r="I59" s="12" t="inlineStr">
        <is>
          <t>Panaji</t>
        </is>
      </c>
      <c r="J59" s="12" t="inlineStr">
        <is>
          <t>Furniture</t>
        </is>
      </c>
      <c r="K59" s="12" t="inlineStr">
        <is>
          <t>Chairs</t>
        </is>
      </c>
      <c r="L59" s="12" t="inlineStr">
        <is>
          <t>Max Chairs 813</t>
        </is>
      </c>
      <c r="M59" s="12" t="inlineStr">
        <is>
          <t>Same Day</t>
        </is>
      </c>
      <c r="N59" s="12" t="n">
        <v>5</v>
      </c>
      <c r="O59" s="12" t="n">
        <v>255.87</v>
      </c>
      <c r="P59" s="12" t="n">
        <v>0</v>
      </c>
      <c r="Q59" s="12" t="n">
        <v>1279.35</v>
      </c>
      <c r="R59" s="12" t="n">
        <v>1091.54</v>
      </c>
      <c r="S59" s="12" t="n">
        <v>187.81</v>
      </c>
      <c r="T59" s="12" t="inlineStr">
        <is>
          <t>Paid</t>
        </is>
      </c>
      <c r="U59" s="12" t="inlineStr">
        <is>
          <t>Completed</t>
        </is>
      </c>
      <c r="V59">
        <f>IF(OR(P59="",P59&lt;0,P59&gt;0.5),0,P59)</f>
        <v/>
      </c>
      <c r="W59">
        <f>N59*O59*(1-V59)</f>
        <v/>
      </c>
      <c r="X59">
        <f>W59-R59</f>
        <v/>
      </c>
      <c r="Y59">
        <f>IF(W59=0,0,X59/W59)</f>
        <v/>
      </c>
      <c r="Z59">
        <f>C59-B59</f>
        <v/>
      </c>
      <c r="AA59">
        <f>TEXT(B59,"mmmm")</f>
        <v/>
      </c>
      <c r="AB59">
        <f>YEAR(B59)</f>
        <v/>
      </c>
      <c r="AC59">
        <f>IF(OR(P59&lt;0,P59&gt;0.5,C59&lt;B59),"INVALID","CLEAN")</f>
        <v/>
      </c>
    </row>
    <row r="60">
      <c r="A60" s="12" t="inlineStr">
        <is>
          <t>ORD-2024-10059</t>
        </is>
      </c>
      <c r="B60" s="12" t="inlineStr">
        <is>
          <t>2024-09-01</t>
        </is>
      </c>
      <c r="C60" s="12" t="inlineStr">
        <is>
          <t>2024-09-07</t>
        </is>
      </c>
      <c r="D60" s="12" t="inlineStr">
        <is>
          <t>CUST-3983</t>
        </is>
      </c>
      <c r="E60" s="12" t="inlineStr">
        <is>
          <t>Isha Nair</t>
        </is>
      </c>
      <c r="F60" s="12" t="inlineStr">
        <is>
          <t>Home Office</t>
        </is>
      </c>
      <c r="G60" s="12" t="inlineStr">
        <is>
          <t>North</t>
        </is>
      </c>
      <c r="H60" s="12" t="inlineStr">
        <is>
          <t>Rajasthan</t>
        </is>
      </c>
      <c r="I60" s="12" t="inlineStr">
        <is>
          <t>Jaipur</t>
        </is>
      </c>
      <c r="J60" s="12" t="inlineStr">
        <is>
          <t>Office Supplies</t>
        </is>
      </c>
      <c r="K60" s="12" t="inlineStr">
        <is>
          <t>Storage</t>
        </is>
      </c>
      <c r="L60" s="12" t="inlineStr">
        <is>
          <t>Basic Storage 872</t>
        </is>
      </c>
      <c r="M60" s="12" t="n"/>
      <c r="N60" s="12" t="n">
        <v>9</v>
      </c>
      <c r="O60" s="12" t="n">
        <v>1389.48</v>
      </c>
      <c r="P60" s="12" t="n">
        <v>0.1</v>
      </c>
      <c r="Q60" s="12" t="n">
        <v>11254.79</v>
      </c>
      <c r="R60" s="12" t="n">
        <v>6578.06</v>
      </c>
      <c r="S60" s="12" t="n">
        <v>4676.73</v>
      </c>
      <c r="T60" s="12" t="inlineStr">
        <is>
          <t>Pending</t>
        </is>
      </c>
      <c r="U60" s="12" t="inlineStr">
        <is>
          <t>Returned</t>
        </is>
      </c>
      <c r="V60">
        <f>IF(OR(P60="",P60&lt;0,P60&gt;0.5),0,P60)</f>
        <v/>
      </c>
      <c r="W60">
        <f>N60*O60*(1-V60)</f>
        <v/>
      </c>
      <c r="X60">
        <f>W60-R60</f>
        <v/>
      </c>
      <c r="Y60">
        <f>IF(W60=0,0,X60/W60)</f>
        <v/>
      </c>
      <c r="Z60">
        <f>C60-B60</f>
        <v/>
      </c>
      <c r="AA60">
        <f>TEXT(B60,"mmmm")</f>
        <v/>
      </c>
      <c r="AB60">
        <f>YEAR(B60)</f>
        <v/>
      </c>
      <c r="AC60">
        <f>IF(OR(P60&lt;0,P60&gt;0.5,C60&lt;B60),"INVALID","CLEAN")</f>
        <v/>
      </c>
    </row>
    <row r="61">
      <c r="A61" s="12" t="inlineStr">
        <is>
          <t>ORD-2024-10060</t>
        </is>
      </c>
      <c r="B61" s="12" t="inlineStr">
        <is>
          <t>20-07-2024</t>
        </is>
      </c>
      <c r="C61" s="12" t="inlineStr">
        <is>
          <t>25 Jul 2024</t>
        </is>
      </c>
      <c r="D61" s="12" t="inlineStr">
        <is>
          <t>CUST-2418</t>
        </is>
      </c>
      <c r="E61" s="12" t="inlineStr">
        <is>
          <t>Priya Menon</t>
        </is>
      </c>
      <c r="F61" s="12" t="inlineStr">
        <is>
          <t>Corporate</t>
        </is>
      </c>
      <c r="G61" s="12" t="inlineStr">
        <is>
          <t>East</t>
        </is>
      </c>
      <c r="H61" s="12" t="inlineStr">
        <is>
          <t>Assam</t>
        </is>
      </c>
      <c r="I61" s="12" t="inlineStr">
        <is>
          <t>Guwahati</t>
        </is>
      </c>
      <c r="J61" s="12" t="inlineStr">
        <is>
          <t>Office Supplies</t>
        </is>
      </c>
      <c r="K61" s="12" t="inlineStr">
        <is>
          <t>Labels</t>
        </is>
      </c>
      <c r="L61" s="12" t="inlineStr">
        <is>
          <t>Smart Labels 655</t>
        </is>
      </c>
      <c r="M61" s="12" t="inlineStr">
        <is>
          <t>Same Day</t>
        </is>
      </c>
      <c r="N61" s="12" t="n">
        <v>5</v>
      </c>
      <c r="O61" s="12" t="n">
        <v>4133.85</v>
      </c>
      <c r="P61" s="12" t="n">
        <v>0.2</v>
      </c>
      <c r="Q61" s="12" t="n">
        <v>16535.4</v>
      </c>
      <c r="R61" s="12" t="n">
        <v>12990.21</v>
      </c>
      <c r="S61" s="12" t="n">
        <v>3545.19</v>
      </c>
      <c r="T61" s="12" t="inlineStr">
        <is>
          <t>Paid</t>
        </is>
      </c>
      <c r="U61" s="12" t="inlineStr">
        <is>
          <t>Cancelled</t>
        </is>
      </c>
      <c r="V61">
        <f>IF(OR(P61="",P61&lt;0,P61&gt;0.5),0,P61)</f>
        <v/>
      </c>
      <c r="W61">
        <f>N61*O61*(1-V61)</f>
        <v/>
      </c>
      <c r="X61">
        <f>W61-R61</f>
        <v/>
      </c>
      <c r="Y61">
        <f>IF(W61=0,0,X61/W61)</f>
        <v/>
      </c>
      <c r="Z61">
        <f>C61-B61</f>
        <v/>
      </c>
      <c r="AA61">
        <f>TEXT(B61,"mmmm")</f>
        <v/>
      </c>
      <c r="AB61">
        <f>YEAR(B61)</f>
        <v/>
      </c>
      <c r="AC61">
        <f>IF(OR(P61&lt;0,P61&gt;0.5,C61&lt;B61),"INVALID","CLEAN")</f>
        <v/>
      </c>
    </row>
    <row r="62">
      <c r="A62" s="12" t="inlineStr">
        <is>
          <t>ORD-2024-10061</t>
        </is>
      </c>
      <c r="B62" s="12" t="inlineStr">
        <is>
          <t>07/13/2024</t>
        </is>
      </c>
      <c r="C62" s="12" t="inlineStr">
        <is>
          <t>2024-07-19</t>
        </is>
      </c>
      <c r="D62" s="12" t="inlineStr">
        <is>
          <t>CUST-2892</t>
        </is>
      </c>
      <c r="E62" s="12" t="inlineStr">
        <is>
          <t>Ananya Rao</t>
        </is>
      </c>
      <c r="F62" s="12" t="inlineStr">
        <is>
          <t>Corporate</t>
        </is>
      </c>
      <c r="G62" s="12" t="inlineStr">
        <is>
          <t>East</t>
        </is>
      </c>
      <c r="H62" s="12" t="inlineStr">
        <is>
          <t>Assam</t>
        </is>
      </c>
      <c r="I62" s="12" t="inlineStr">
        <is>
          <t>Guwahati</t>
        </is>
      </c>
      <c r="J62" s="12" t="inlineStr">
        <is>
          <t>Office Supplies</t>
        </is>
      </c>
      <c r="K62" s="12" t="inlineStr">
        <is>
          <t>Labels</t>
        </is>
      </c>
      <c r="L62" s="12" t="inlineStr">
        <is>
          <t>Eco Labels 210</t>
        </is>
      </c>
      <c r="M62" s="12" t="inlineStr">
        <is>
          <t>Same Day</t>
        </is>
      </c>
      <c r="N62" s="12" t="n">
        <v>3</v>
      </c>
      <c r="O62" s="12" t="n">
        <v>275.76</v>
      </c>
      <c r="P62" s="12" t="n">
        <v>0.2</v>
      </c>
      <c r="Q62" s="12" t="n">
        <v>661.8200000000001</v>
      </c>
      <c r="R62" s="12" t="n">
        <v>481.47</v>
      </c>
      <c r="S62" s="12" t="n">
        <v>180.35</v>
      </c>
      <c r="T62" s="12" t="inlineStr">
        <is>
          <t>Refunded</t>
        </is>
      </c>
      <c r="U62" s="12" t="inlineStr">
        <is>
          <t>Cancelled</t>
        </is>
      </c>
      <c r="V62">
        <f>IF(OR(P62="",P62&lt;0,P62&gt;0.5),0,P62)</f>
        <v/>
      </c>
      <c r="W62">
        <f>N62*O62*(1-V62)</f>
        <v/>
      </c>
      <c r="X62">
        <f>W62-R62</f>
        <v/>
      </c>
      <c r="Y62">
        <f>IF(W62=0,0,X62/W62)</f>
        <v/>
      </c>
      <c r="Z62">
        <f>C62-B62</f>
        <v/>
      </c>
      <c r="AA62">
        <f>TEXT(B62,"mmmm")</f>
        <v/>
      </c>
      <c r="AB62">
        <f>YEAR(B62)</f>
        <v/>
      </c>
      <c r="AC62">
        <f>IF(OR(P62&lt;0,P62&gt;0.5,C62&lt;B62),"INVALID","CLEAN")</f>
        <v/>
      </c>
    </row>
    <row r="63">
      <c r="A63" s="12" t="inlineStr">
        <is>
          <t>ORD-2024-10062</t>
        </is>
      </c>
      <c r="B63" s="12" t="inlineStr">
        <is>
          <t>16 Apr 2024</t>
        </is>
      </c>
      <c r="C63" s="12" t="inlineStr">
        <is>
          <t>04/16/2024</t>
        </is>
      </c>
      <c r="D63" s="12" t="inlineStr">
        <is>
          <t>CUST-7008</t>
        </is>
      </c>
      <c r="E63" s="12" t="inlineStr">
        <is>
          <t>Vikram Iyer</t>
        </is>
      </c>
      <c r="F63" s="12" t="inlineStr">
        <is>
          <t>Home Office</t>
        </is>
      </c>
      <c r="G63" s="12" t="inlineStr">
        <is>
          <t>East</t>
        </is>
      </c>
      <c r="H63" s="12" t="inlineStr">
        <is>
          <t>Bihar</t>
        </is>
      </c>
      <c r="I63" s="12" t="inlineStr">
        <is>
          <t>Patna</t>
        </is>
      </c>
      <c r="J63" s="12" t="inlineStr">
        <is>
          <t>Furniture</t>
        </is>
      </c>
      <c r="K63" s="12" t="inlineStr">
        <is>
          <t>Bookcases</t>
        </is>
      </c>
      <c r="L63" s="12" t="inlineStr">
        <is>
          <t>Classic Bookcases 296</t>
        </is>
      </c>
      <c r="M63" s="12" t="inlineStr">
        <is>
          <t>Standard Class</t>
        </is>
      </c>
      <c r="N63" s="12" t="n">
        <v>1</v>
      </c>
      <c r="O63" s="12" t="n">
        <v>949.59</v>
      </c>
      <c r="P63" s="12" t="n">
        <v>0</v>
      </c>
      <c r="Q63" s="12" t="n">
        <v>949.59</v>
      </c>
      <c r="R63" s="12" t="n">
        <v>751.25</v>
      </c>
      <c r="S63" s="12" t="n">
        <v>198.34</v>
      </c>
      <c r="T63" s="12" t="inlineStr">
        <is>
          <t>Paid</t>
        </is>
      </c>
      <c r="U63" s="12" t="inlineStr">
        <is>
          <t>Completed</t>
        </is>
      </c>
      <c r="V63">
        <f>IF(OR(P63="",P63&lt;0,P63&gt;0.5),0,P63)</f>
        <v/>
      </c>
      <c r="W63">
        <f>N63*O63*(1-V63)</f>
        <v/>
      </c>
      <c r="X63">
        <f>W63-R63</f>
        <v/>
      </c>
      <c r="Y63">
        <f>IF(W63=0,0,X63/W63)</f>
        <v/>
      </c>
      <c r="Z63">
        <f>C63-B63</f>
        <v/>
      </c>
      <c r="AA63">
        <f>TEXT(B63,"mmmm")</f>
        <v/>
      </c>
      <c r="AB63">
        <f>YEAR(B63)</f>
        <v/>
      </c>
      <c r="AC63">
        <f>IF(OR(P63&lt;0,P63&gt;0.5,C63&lt;B63),"INVALID","CLEAN")</f>
        <v/>
      </c>
    </row>
    <row r="64">
      <c r="A64" s="12" t="inlineStr">
        <is>
          <t>ORD-2024-10063</t>
        </is>
      </c>
      <c r="B64" s="12" t="inlineStr">
        <is>
          <t>30 Oct 2024</t>
        </is>
      </c>
      <c r="C64" s="12" t="inlineStr">
        <is>
          <t>02-11-2024</t>
        </is>
      </c>
      <c r="D64" s="12" t="inlineStr">
        <is>
          <t>CUST-4900</t>
        </is>
      </c>
      <c r="E64" s="12" t="inlineStr">
        <is>
          <t>Sneha Kapoor</t>
        </is>
      </c>
      <c r="F64" s="12" t="inlineStr">
        <is>
          <t>Home Office</t>
        </is>
      </c>
      <c r="G64" s="12" t="inlineStr">
        <is>
          <t>North</t>
        </is>
      </c>
      <c r="H64" s="12" t="inlineStr">
        <is>
          <t>Rajasthan</t>
        </is>
      </c>
      <c r="I64" s="12" t="inlineStr">
        <is>
          <t>Jaipur</t>
        </is>
      </c>
      <c r="J64" s="12" t="inlineStr">
        <is>
          <t>Technology</t>
        </is>
      </c>
      <c r="K64" s="12" t="inlineStr">
        <is>
          <t>Phones</t>
        </is>
      </c>
      <c r="L64" s="12" t="inlineStr">
        <is>
          <t>Basic Phones 230</t>
        </is>
      </c>
      <c r="M64" s="12" t="inlineStr">
        <is>
          <t>Standard Class</t>
        </is>
      </c>
      <c r="N64" s="12" t="n">
        <v>9</v>
      </c>
      <c r="O64" s="12" t="n">
        <v>3042.29</v>
      </c>
      <c r="P64" s="12" t="n">
        <v>0.2</v>
      </c>
      <c r="Q64" s="12" t="n">
        <v>21904.49</v>
      </c>
      <c r="R64" s="12" t="n">
        <v>13570.55</v>
      </c>
      <c r="S64" s="12" t="n">
        <v>8333.940000000001</v>
      </c>
      <c r="T64" s="12" t="inlineStr">
        <is>
          <t>Paid</t>
        </is>
      </c>
      <c r="U64" s="12" t="inlineStr">
        <is>
          <t>Completed</t>
        </is>
      </c>
      <c r="V64">
        <f>IF(OR(P64="",P64&lt;0,P64&gt;0.5),0,P64)</f>
        <v/>
      </c>
      <c r="W64">
        <f>N64*O64*(1-V64)</f>
        <v/>
      </c>
      <c r="X64">
        <f>W64-R64</f>
        <v/>
      </c>
      <c r="Y64">
        <f>IF(W64=0,0,X64/W64)</f>
        <v/>
      </c>
      <c r="Z64">
        <f>C64-B64</f>
        <v/>
      </c>
      <c r="AA64">
        <f>TEXT(B64,"mmmm")</f>
        <v/>
      </c>
      <c r="AB64">
        <f>YEAR(B64)</f>
        <v/>
      </c>
      <c r="AC64">
        <f>IF(OR(P64&lt;0,P64&gt;0.5,C64&lt;B64),"INVALID","CLEAN")</f>
        <v/>
      </c>
    </row>
    <row r="65">
      <c r="A65" s="12" t="inlineStr">
        <is>
          <t>ORD-2024-10064</t>
        </is>
      </c>
      <c r="B65" s="12" t="inlineStr">
        <is>
          <t>2024-01-25</t>
        </is>
      </c>
      <c r="C65" s="12" t="inlineStr">
        <is>
          <t>01-02-2024</t>
        </is>
      </c>
      <c r="D65" s="12" t="inlineStr">
        <is>
          <t>CUST-5382</t>
        </is>
      </c>
      <c r="E65" s="12" t="inlineStr">
        <is>
          <t>Sneha Kapoor</t>
        </is>
      </c>
      <c r="F65" s="12" t="inlineStr">
        <is>
          <t>Home Office</t>
        </is>
      </c>
      <c r="G65" s="12" t="inlineStr">
        <is>
          <t>North</t>
        </is>
      </c>
      <c r="H65" s="12" t="inlineStr">
        <is>
          <t>Haryana</t>
        </is>
      </c>
      <c r="I65" s="12" t="inlineStr">
        <is>
          <t>Gurugram</t>
        </is>
      </c>
      <c r="J65" s="12" t="inlineStr">
        <is>
          <t>Office Supplies</t>
        </is>
      </c>
      <c r="K65" s="12" t="inlineStr">
        <is>
          <t>Binders</t>
        </is>
      </c>
      <c r="L65" s="12" t="inlineStr">
        <is>
          <t>Pro Binders 690</t>
        </is>
      </c>
      <c r="M65" s="12" t="inlineStr">
        <is>
          <t>Same Day</t>
        </is>
      </c>
      <c r="N65" s="12" t="n">
        <v>2</v>
      </c>
      <c r="O65" s="12" t="n">
        <v>2832.77</v>
      </c>
      <c r="P65" s="12" t="n">
        <v>0.15</v>
      </c>
      <c r="Q65" s="12" t="n">
        <v>4815.71</v>
      </c>
      <c r="R65" s="12" t="n">
        <v>3027.75</v>
      </c>
      <c r="S65" s="12" t="n">
        <v>1917.47</v>
      </c>
      <c r="T65" s="12" t="inlineStr">
        <is>
          <t xml:space="preserve">Paid </t>
        </is>
      </c>
      <c r="U65" s="12" t="inlineStr">
        <is>
          <t>Completed</t>
        </is>
      </c>
      <c r="V65">
        <f>IF(OR(P65="",P65&lt;0,P65&gt;0.5),0,P65)</f>
        <v/>
      </c>
      <c r="W65">
        <f>N65*O65*(1-V65)</f>
        <v/>
      </c>
      <c r="X65">
        <f>W65-R65</f>
        <v/>
      </c>
      <c r="Y65">
        <f>IF(W65=0,0,X65/W65)</f>
        <v/>
      </c>
      <c r="Z65">
        <f>C65-B65</f>
        <v/>
      </c>
      <c r="AA65">
        <f>TEXT(B65,"mmmm")</f>
        <v/>
      </c>
      <c r="AB65">
        <f>YEAR(B65)</f>
        <v/>
      </c>
      <c r="AC65">
        <f>IF(OR(P65&lt;0,P65&gt;0.5,C65&lt;B65),"INVALID","CLEAN")</f>
        <v/>
      </c>
    </row>
    <row r="66">
      <c r="A66" s="12" t="inlineStr">
        <is>
          <t>ORD-2024-10065</t>
        </is>
      </c>
      <c r="B66" s="12" t="inlineStr">
        <is>
          <t>2024-12-23</t>
        </is>
      </c>
      <c r="C66" s="12" t="inlineStr">
        <is>
          <t>12/29/2024</t>
        </is>
      </c>
      <c r="D66" s="12" t="inlineStr">
        <is>
          <t>CUST-2749</t>
        </is>
      </c>
      <c r="E66" s="12" t="inlineStr">
        <is>
          <t>Aarav Sharma</t>
        </is>
      </c>
      <c r="F66" s="12" t="inlineStr">
        <is>
          <t>Corporate</t>
        </is>
      </c>
      <c r="G66" s="12" t="inlineStr">
        <is>
          <t>East</t>
        </is>
      </c>
      <c r="H66" s="12" t="inlineStr">
        <is>
          <t>Jharkhand</t>
        </is>
      </c>
      <c r="I66" s="12" t="inlineStr">
        <is>
          <t>Ranchi</t>
        </is>
      </c>
      <c r="J66" s="12" t="inlineStr">
        <is>
          <t>Office Supplies</t>
        </is>
      </c>
      <c r="K66" s="12" t="inlineStr">
        <is>
          <t>Paper</t>
        </is>
      </c>
      <c r="L66" s="12" t="inlineStr">
        <is>
          <t>Classic Paper 458</t>
        </is>
      </c>
      <c r="M66" s="12" t="inlineStr">
        <is>
          <t>First Class</t>
        </is>
      </c>
      <c r="N66" s="12" t="n">
        <v>7</v>
      </c>
      <c r="O66" s="12" t="n">
        <v>447.84</v>
      </c>
      <c r="P66" s="12" t="n">
        <v>0</v>
      </c>
      <c r="Q66" s="12" t="n">
        <v>3134.88</v>
      </c>
      <c r="R66" s="12" t="n">
        <v>2367.63</v>
      </c>
      <c r="S66" s="12" t="n">
        <v>767.25</v>
      </c>
      <c r="T66" s="12" t="inlineStr">
        <is>
          <t>Refunded</t>
        </is>
      </c>
      <c r="U66" s="12" t="inlineStr">
        <is>
          <t>Returned</t>
        </is>
      </c>
      <c r="V66">
        <f>IF(OR(P66="",P66&lt;0,P66&gt;0.5),0,P66)</f>
        <v/>
      </c>
      <c r="W66">
        <f>N66*O66*(1-V66)</f>
        <v/>
      </c>
      <c r="X66">
        <f>W66-R66</f>
        <v/>
      </c>
      <c r="Y66">
        <f>IF(W66=0,0,X66/W66)</f>
        <v/>
      </c>
      <c r="Z66">
        <f>C66-B66</f>
        <v/>
      </c>
      <c r="AA66">
        <f>TEXT(B66,"mmmm")</f>
        <v/>
      </c>
      <c r="AB66">
        <f>YEAR(B66)</f>
        <v/>
      </c>
      <c r="AC66">
        <f>IF(OR(P66&lt;0,P66&gt;0.5,C66&lt;B66),"INVALID","CLEAN")</f>
        <v/>
      </c>
    </row>
    <row r="67">
      <c r="A67" s="12" t="inlineStr">
        <is>
          <t>ORD-2024-10066</t>
        </is>
      </c>
      <c r="B67" s="12" t="inlineStr">
        <is>
          <t>22 Apr 2024</t>
        </is>
      </c>
      <c r="C67" s="12" t="inlineStr">
        <is>
          <t>2024-04-27</t>
        </is>
      </c>
      <c r="D67" s="12" t="inlineStr">
        <is>
          <t>CUST-2463</t>
        </is>
      </c>
      <c r="E67" s="12" t="inlineStr">
        <is>
          <t>Mira Das</t>
        </is>
      </c>
      <c r="F67" s="12" t="inlineStr">
        <is>
          <t>Home Office</t>
        </is>
      </c>
      <c r="G67" s="12" t="inlineStr">
        <is>
          <t>West</t>
        </is>
      </c>
      <c r="H67" s="12" t="inlineStr">
        <is>
          <t>Maharashtra</t>
        </is>
      </c>
      <c r="I67" s="12" t="inlineStr">
        <is>
          <t>Mumbai</t>
        </is>
      </c>
      <c r="J67" s="12" t="inlineStr">
        <is>
          <t>Office Supplies</t>
        </is>
      </c>
      <c r="K67" s="12" t="inlineStr">
        <is>
          <t>Paper</t>
        </is>
      </c>
      <c r="L67" s="12" t="inlineStr">
        <is>
          <t>Pro Paper 552</t>
        </is>
      </c>
      <c r="M67" s="12" t="inlineStr">
        <is>
          <t>Second Class</t>
        </is>
      </c>
      <c r="N67" s="12" t="n">
        <v>1</v>
      </c>
      <c r="O67" s="12" t="n">
        <v>4280.19</v>
      </c>
      <c r="P67" s="12" t="n">
        <v>0.05</v>
      </c>
      <c r="Q67" s="12" t="n">
        <v>4066.18</v>
      </c>
      <c r="R67" s="12" t="n">
        <v>2628.92</v>
      </c>
      <c r="S67" s="12" t="n">
        <v>1437.26</v>
      </c>
      <c r="T67" s="12" t="inlineStr">
        <is>
          <t>Paid</t>
        </is>
      </c>
      <c r="U67" s="12" t="inlineStr">
        <is>
          <t>Completed</t>
        </is>
      </c>
      <c r="V67">
        <f>IF(OR(P67="",P67&lt;0,P67&gt;0.5),0,P67)</f>
        <v/>
      </c>
      <c r="W67">
        <f>N67*O67*(1-V67)</f>
        <v/>
      </c>
      <c r="X67">
        <f>W67-R67</f>
        <v/>
      </c>
      <c r="Y67">
        <f>IF(W67=0,0,X67/W67)</f>
        <v/>
      </c>
      <c r="Z67">
        <f>C67-B67</f>
        <v/>
      </c>
      <c r="AA67">
        <f>TEXT(B67,"mmmm")</f>
        <v/>
      </c>
      <c r="AB67">
        <f>YEAR(B67)</f>
        <v/>
      </c>
      <c r="AC67">
        <f>IF(OR(P67&lt;0,P67&gt;0.5,C67&lt;B67),"INVALID","CLEAN")</f>
        <v/>
      </c>
    </row>
    <row r="68">
      <c r="A68" s="12" t="inlineStr">
        <is>
          <t>ORD-2025-10067</t>
        </is>
      </c>
      <c r="B68" s="12" t="inlineStr">
        <is>
          <t>08/28/2025</t>
        </is>
      </c>
      <c r="C68" s="12" t="inlineStr">
        <is>
          <t>01 Sep 2025</t>
        </is>
      </c>
      <c r="D68" s="12" t="inlineStr">
        <is>
          <t>CUST-1504</t>
        </is>
      </c>
      <c r="E68" s="12" t="inlineStr">
        <is>
          <t>Karan Malhotra</t>
        </is>
      </c>
      <c r="F68" s="12" t="inlineStr">
        <is>
          <t>Small Business</t>
        </is>
      </c>
      <c r="G68" s="12" t="inlineStr">
        <is>
          <t>South</t>
        </is>
      </c>
      <c r="H68" s="12" t="inlineStr">
        <is>
          <t>Tamil Nadu</t>
        </is>
      </c>
      <c r="I68" s="12" t="inlineStr">
        <is>
          <t>Chennai</t>
        </is>
      </c>
      <c r="J68" s="12" t="inlineStr">
        <is>
          <t>Technology</t>
        </is>
      </c>
      <c r="K68" s="12" t="inlineStr">
        <is>
          <t>Accessories</t>
        </is>
      </c>
      <c r="L68" s="12" t="inlineStr">
        <is>
          <t>Elite Accessories 187</t>
        </is>
      </c>
      <c r="M68" s="12" t="inlineStr">
        <is>
          <t>Same Day</t>
        </is>
      </c>
      <c r="N68" s="12" t="n">
        <v>7</v>
      </c>
      <c r="O68" s="12" t="n">
        <v>1057.46</v>
      </c>
      <c r="P68" s="12" t="n">
        <v>0.05</v>
      </c>
      <c r="Q68" s="12" t="n">
        <v>7032.11</v>
      </c>
      <c r="R68" s="12" t="n">
        <v>4610.34</v>
      </c>
      <c r="S68" s="12" t="n">
        <v>2421.77</v>
      </c>
      <c r="T68" s="12" t="inlineStr">
        <is>
          <t>Paid</t>
        </is>
      </c>
      <c r="U68" s="12" t="inlineStr">
        <is>
          <t>Completed</t>
        </is>
      </c>
      <c r="V68">
        <f>IF(OR(P68="",P68&lt;0,P68&gt;0.5),0,P68)</f>
        <v/>
      </c>
      <c r="W68">
        <f>N68*O68*(1-V68)</f>
        <v/>
      </c>
      <c r="X68">
        <f>W68-R68</f>
        <v/>
      </c>
      <c r="Y68">
        <f>IF(W68=0,0,X68/W68)</f>
        <v/>
      </c>
      <c r="Z68">
        <f>C68-B68</f>
        <v/>
      </c>
      <c r="AA68">
        <f>TEXT(B68,"mmmm")</f>
        <v/>
      </c>
      <c r="AB68">
        <f>YEAR(B68)</f>
        <v/>
      </c>
      <c r="AC68">
        <f>IF(OR(P68&lt;0,P68&gt;0.5,C68&lt;B68),"INVALID","CLEAN")</f>
        <v/>
      </c>
    </row>
    <row r="69">
      <c r="A69" s="12" t="inlineStr">
        <is>
          <t>ORD-2025-10068</t>
        </is>
      </c>
      <c r="B69" s="12" t="inlineStr">
        <is>
          <t>03 Feb 2025</t>
        </is>
      </c>
      <c r="C69" s="12" t="inlineStr">
        <is>
          <t>07-02-2025</t>
        </is>
      </c>
      <c r="D69" s="12" t="inlineStr">
        <is>
          <t>CUST-8282</t>
        </is>
      </c>
      <c r="E69" s="12" t="inlineStr">
        <is>
          <t>Kabir Singh</t>
        </is>
      </c>
      <c r="F69" s="12" t="inlineStr">
        <is>
          <t>Consumer</t>
        </is>
      </c>
      <c r="G69" s="12" t="inlineStr">
        <is>
          <t>North</t>
        </is>
      </c>
      <c r="H69" s="12" t="inlineStr">
        <is>
          <t>Haryana</t>
        </is>
      </c>
      <c r="I69" s="12" t="inlineStr">
        <is>
          <t>Gurugram</t>
        </is>
      </c>
      <c r="J69" s="12" t="inlineStr">
        <is>
          <t>Office Supplies</t>
        </is>
      </c>
      <c r="K69" s="12" t="inlineStr">
        <is>
          <t>Paper</t>
        </is>
      </c>
      <c r="L69" s="12" t="inlineStr">
        <is>
          <t>Eco Paper 922</t>
        </is>
      </c>
      <c r="M69" s="12" t="inlineStr">
        <is>
          <t>First Class</t>
        </is>
      </c>
      <c r="N69" s="12" t="n">
        <v>7</v>
      </c>
      <c r="O69" s="12" t="n">
        <v>3609.34</v>
      </c>
      <c r="P69" s="12" t="n">
        <v>0.05</v>
      </c>
      <c r="Q69" s="12" t="n">
        <v>24002.11</v>
      </c>
      <c r="R69" s="12" t="n">
        <v>18707.57</v>
      </c>
      <c r="S69" s="12" t="n">
        <v>5294.54</v>
      </c>
      <c r="T69" s="12" t="inlineStr">
        <is>
          <t>Paid</t>
        </is>
      </c>
      <c r="U69" s="12" t="inlineStr">
        <is>
          <t>Completed</t>
        </is>
      </c>
      <c r="V69">
        <f>IF(OR(P69="",P69&lt;0,P69&gt;0.5),0,P69)</f>
        <v/>
      </c>
      <c r="W69">
        <f>N69*O69*(1-V69)</f>
        <v/>
      </c>
      <c r="X69">
        <f>W69-R69</f>
        <v/>
      </c>
      <c r="Y69">
        <f>IF(W69=0,0,X69/W69)</f>
        <v/>
      </c>
      <c r="Z69">
        <f>C69-B69</f>
        <v/>
      </c>
      <c r="AA69">
        <f>TEXT(B69,"mmmm")</f>
        <v/>
      </c>
      <c r="AB69">
        <f>YEAR(B69)</f>
        <v/>
      </c>
      <c r="AC69">
        <f>IF(OR(P69&lt;0,P69&gt;0.5,C69&lt;B69),"INVALID","CLEAN")</f>
        <v/>
      </c>
    </row>
    <row r="70">
      <c r="A70" s="12" t="inlineStr">
        <is>
          <t>ORD-2024-10069</t>
        </is>
      </c>
      <c r="B70" s="12" t="inlineStr">
        <is>
          <t>11/10/2024</t>
        </is>
      </c>
      <c r="C70" s="12" t="inlineStr">
        <is>
          <t>13 Nov 2024</t>
        </is>
      </c>
      <c r="D70" s="12" t="inlineStr">
        <is>
          <t>CUST-6054</t>
        </is>
      </c>
      <c r="E70" s="12" t="inlineStr">
        <is>
          <t>Isha Nair</t>
        </is>
      </c>
      <c r="F70" s="12" t="inlineStr">
        <is>
          <t>Corporate</t>
        </is>
      </c>
      <c r="G70" s="12" t="inlineStr">
        <is>
          <t>East</t>
        </is>
      </c>
      <c r="H70" s="12" t="inlineStr">
        <is>
          <t>Jharkhand</t>
        </is>
      </c>
      <c r="I70" s="12" t="inlineStr">
        <is>
          <t>Ranchi</t>
        </is>
      </c>
      <c r="J70" s="12" t="inlineStr">
        <is>
          <t>Office Supplies</t>
        </is>
      </c>
      <c r="K70" s="12" t="inlineStr">
        <is>
          <t>Storage</t>
        </is>
      </c>
      <c r="L70" s="12" t="inlineStr">
        <is>
          <t>Pro Storage 975</t>
        </is>
      </c>
      <c r="M70" s="12" t="inlineStr">
        <is>
          <t>Second Class</t>
        </is>
      </c>
      <c r="N70" s="12" t="n">
        <v>9</v>
      </c>
      <c r="O70" s="12" t="n">
        <v>2211.12</v>
      </c>
      <c r="P70" s="12" t="n">
        <v>0</v>
      </c>
      <c r="Q70" s="12" t="n">
        <v>19900.08</v>
      </c>
      <c r="R70" s="12" t="n">
        <v>10962.66</v>
      </c>
      <c r="S70" s="12" t="n">
        <v>8937.42</v>
      </c>
      <c r="T70" s="12" t="inlineStr">
        <is>
          <t>Failed</t>
        </is>
      </c>
      <c r="U70" s="12" t="inlineStr">
        <is>
          <t>Returned</t>
        </is>
      </c>
      <c r="V70">
        <f>IF(OR(P70="",P70&lt;0,P70&gt;0.5),0,P70)</f>
        <v/>
      </c>
      <c r="W70">
        <f>N70*O70*(1-V70)</f>
        <v/>
      </c>
      <c r="X70">
        <f>W70-R70</f>
        <v/>
      </c>
      <c r="Y70">
        <f>IF(W70=0,0,X70/W70)</f>
        <v/>
      </c>
      <c r="Z70">
        <f>C70-B70</f>
        <v/>
      </c>
      <c r="AA70">
        <f>TEXT(B70,"mmmm")</f>
        <v/>
      </c>
      <c r="AB70">
        <f>YEAR(B70)</f>
        <v/>
      </c>
      <c r="AC70">
        <f>IF(OR(P70&lt;0,P70&gt;0.5,C70&lt;B70),"INVALID","CLEAN")</f>
        <v/>
      </c>
    </row>
    <row r="71">
      <c r="A71" s="12" t="inlineStr">
        <is>
          <t>ORD-2024-10070</t>
        </is>
      </c>
      <c r="B71" s="12" t="inlineStr">
        <is>
          <t>09 Apr 2024</t>
        </is>
      </c>
      <c r="C71" s="12" t="inlineStr">
        <is>
          <t>04/14/2024</t>
        </is>
      </c>
      <c r="D71" s="12" t="inlineStr">
        <is>
          <t>CUST-5979</t>
        </is>
      </c>
      <c r="E71" s="12" t="inlineStr">
        <is>
          <t>Neha Gupta</t>
        </is>
      </c>
      <c r="F71" s="12" t="inlineStr">
        <is>
          <t>Small Business</t>
        </is>
      </c>
      <c r="G71" s="12" t="inlineStr">
        <is>
          <t>West</t>
        </is>
      </c>
      <c r="H71" s="12" t="inlineStr">
        <is>
          <t>Gujarat</t>
        </is>
      </c>
      <c r="I71" s="12" t="inlineStr">
        <is>
          <t>Ahmedabad</t>
        </is>
      </c>
      <c r="J71" s="12" t="inlineStr">
        <is>
          <t>Technology</t>
        </is>
      </c>
      <c r="K71" s="12" t="inlineStr">
        <is>
          <t>Machines</t>
        </is>
      </c>
      <c r="L71" s="12" t="inlineStr">
        <is>
          <t>Prime Machines 782</t>
        </is>
      </c>
      <c r="M71" s="12" t="inlineStr">
        <is>
          <t>Same Day</t>
        </is>
      </c>
      <c r="N71" s="12" t="n">
        <v>7</v>
      </c>
      <c r="O71" s="12" t="n">
        <v>3417.09</v>
      </c>
      <c r="P71" s="12" t="n">
        <v>0.1</v>
      </c>
      <c r="Q71" s="12" t="n">
        <v>21527.67</v>
      </c>
      <c r="R71" s="12" t="n">
        <v>18287.58</v>
      </c>
      <c r="S71" s="12" t="n">
        <v>3240.09</v>
      </c>
      <c r="T71" s="12" t="inlineStr">
        <is>
          <t>Refunded</t>
        </is>
      </c>
      <c r="U71" s="12" t="inlineStr">
        <is>
          <t>Returned</t>
        </is>
      </c>
      <c r="V71">
        <f>IF(OR(P71="",P71&lt;0,P71&gt;0.5),0,P71)</f>
        <v/>
      </c>
      <c r="W71">
        <f>N71*O71*(1-V71)</f>
        <v/>
      </c>
      <c r="X71">
        <f>W71-R71</f>
        <v/>
      </c>
      <c r="Y71">
        <f>IF(W71=0,0,X71/W71)</f>
        <v/>
      </c>
      <c r="Z71">
        <f>C71-B71</f>
        <v/>
      </c>
      <c r="AA71">
        <f>TEXT(B71,"mmmm")</f>
        <v/>
      </c>
      <c r="AB71">
        <f>YEAR(B71)</f>
        <v/>
      </c>
      <c r="AC71">
        <f>IF(OR(P71&lt;0,P71&gt;0.5,C71&lt;B71),"INVALID","CLEAN")</f>
        <v/>
      </c>
    </row>
    <row r="72">
      <c r="A72" s="12" t="inlineStr">
        <is>
          <t>ORD-2025-10071</t>
        </is>
      </c>
      <c r="B72" s="12" t="inlineStr">
        <is>
          <t>2025-08-22</t>
        </is>
      </c>
      <c r="C72" s="12" t="inlineStr">
        <is>
          <t>27 Aug 2025</t>
        </is>
      </c>
      <c r="D72" s="12" t="inlineStr">
        <is>
          <t>CUST-5582</t>
        </is>
      </c>
      <c r="E72" s="12" t="inlineStr">
        <is>
          <t>Karan Malhotra</t>
        </is>
      </c>
      <c r="F72" s="12" t="inlineStr">
        <is>
          <t>Corporate</t>
        </is>
      </c>
      <c r="G72" s="12" t="inlineStr">
        <is>
          <t>South</t>
        </is>
      </c>
      <c r="H72" s="12" t="inlineStr">
        <is>
          <t>Andhra Pradesh</t>
        </is>
      </c>
      <c r="I72" s="12" t="inlineStr">
        <is>
          <t>Vijayawada</t>
        </is>
      </c>
      <c r="J72" s="12" t="inlineStr">
        <is>
          <t>Technology</t>
        </is>
      </c>
      <c r="K72" s="12" t="inlineStr">
        <is>
          <t>Phones</t>
        </is>
      </c>
      <c r="L72" s="12" t="inlineStr">
        <is>
          <t>Max Phones 661</t>
        </is>
      </c>
      <c r="M72" s="12" t="inlineStr">
        <is>
          <t>First Class</t>
        </is>
      </c>
      <c r="N72" s="12" t="n">
        <v>2</v>
      </c>
      <c r="O72" s="12" t="n">
        <v>905.87</v>
      </c>
      <c r="P72" s="12" t="n">
        <v>0.15</v>
      </c>
      <c r="Q72" s="12" t="n">
        <v>1539.98</v>
      </c>
      <c r="R72" s="12" t="n">
        <v>1070.2</v>
      </c>
      <c r="S72" s="12" t="n">
        <v>469.78</v>
      </c>
      <c r="T72" s="12" t="inlineStr">
        <is>
          <t>Paid</t>
        </is>
      </c>
      <c r="U72" s="12" t="inlineStr">
        <is>
          <t>Completed</t>
        </is>
      </c>
      <c r="V72">
        <f>IF(OR(P72="",P72&lt;0,P72&gt;0.5),0,P72)</f>
        <v/>
      </c>
      <c r="W72">
        <f>N72*O72*(1-V72)</f>
        <v/>
      </c>
      <c r="X72">
        <f>W72-R72</f>
        <v/>
      </c>
      <c r="Y72">
        <f>IF(W72=0,0,X72/W72)</f>
        <v/>
      </c>
      <c r="Z72">
        <f>C72-B72</f>
        <v/>
      </c>
      <c r="AA72">
        <f>TEXT(B72,"mmmm")</f>
        <v/>
      </c>
      <c r="AB72">
        <f>YEAR(B72)</f>
        <v/>
      </c>
      <c r="AC72">
        <f>IF(OR(P72&lt;0,P72&gt;0.5,C72&lt;B72),"INVALID","CLEAN")</f>
        <v/>
      </c>
    </row>
    <row r="73">
      <c r="A73" s="12" t="inlineStr">
        <is>
          <t>ORD-2025-10072</t>
        </is>
      </c>
      <c r="B73" s="12" t="inlineStr">
        <is>
          <t>04/16/2025</t>
        </is>
      </c>
      <c r="C73" s="12" t="inlineStr">
        <is>
          <t>2025-04-23</t>
        </is>
      </c>
      <c r="D73" s="12" t="inlineStr">
        <is>
          <t>CUST-3308</t>
        </is>
      </c>
      <c r="E73" s="12" t="inlineStr">
        <is>
          <t>Mira Das</t>
        </is>
      </c>
      <c r="F73" s="12" t="inlineStr">
        <is>
          <t xml:space="preserve">  Small Business </t>
        </is>
      </c>
      <c r="G73" s="12" t="inlineStr">
        <is>
          <t>West</t>
        </is>
      </c>
      <c r="H73" s="12" t="inlineStr">
        <is>
          <t>Goa</t>
        </is>
      </c>
      <c r="I73" s="12" t="inlineStr">
        <is>
          <t>Panaji</t>
        </is>
      </c>
      <c r="J73" s="12" t="inlineStr">
        <is>
          <t>Technology</t>
        </is>
      </c>
      <c r="K73" s="12" t="inlineStr">
        <is>
          <t>Machines</t>
        </is>
      </c>
      <c r="L73" s="12" t="inlineStr">
        <is>
          <t>Elite Machines 836</t>
        </is>
      </c>
      <c r="M73" s="12" t="inlineStr">
        <is>
          <t>Standard Class</t>
        </is>
      </c>
      <c r="N73" s="12" t="n">
        <v>6</v>
      </c>
      <c r="O73" s="12" t="n">
        <v>2027.32</v>
      </c>
      <c r="P73" s="12" t="n">
        <v>0.1</v>
      </c>
      <c r="Q73" s="12" t="n">
        <v>10947.53</v>
      </c>
      <c r="R73" s="12" t="n">
        <v>6447.36</v>
      </c>
      <c r="S73" s="12" t="n">
        <v>4500.17</v>
      </c>
      <c r="T73" s="12" t="inlineStr">
        <is>
          <t>Paid</t>
        </is>
      </c>
      <c r="U73" s="12" t="inlineStr">
        <is>
          <t>Completed</t>
        </is>
      </c>
      <c r="V73">
        <f>IF(OR(P73="",P73&lt;0,P73&gt;0.5),0,P73)</f>
        <v/>
      </c>
      <c r="W73">
        <f>N73*O73*(1-V73)</f>
        <v/>
      </c>
      <c r="X73">
        <f>W73-R73</f>
        <v/>
      </c>
      <c r="Y73">
        <f>IF(W73=0,0,X73/W73)</f>
        <v/>
      </c>
      <c r="Z73">
        <f>C73-B73</f>
        <v/>
      </c>
      <c r="AA73">
        <f>TEXT(B73,"mmmm")</f>
        <v/>
      </c>
      <c r="AB73">
        <f>YEAR(B73)</f>
        <v/>
      </c>
      <c r="AC73">
        <f>IF(OR(P73&lt;0,P73&gt;0.5,C73&lt;B73),"INVALID","CLEAN")</f>
        <v/>
      </c>
    </row>
    <row r="74">
      <c r="A74" s="12" t="inlineStr">
        <is>
          <t>ORD-2024-10073</t>
        </is>
      </c>
      <c r="B74" s="12" t="inlineStr">
        <is>
          <t>2024-02-11</t>
        </is>
      </c>
      <c r="C74" s="12" t="inlineStr">
        <is>
          <t>07 Feb 2024</t>
        </is>
      </c>
      <c r="D74" s="12" t="inlineStr">
        <is>
          <t>CUST-5018</t>
        </is>
      </c>
      <c r="E74" s="12" t="inlineStr">
        <is>
          <t>Karan Malhotra</t>
        </is>
      </c>
      <c r="F74" s="12" t="inlineStr">
        <is>
          <t>Home Office</t>
        </is>
      </c>
      <c r="G74" s="12" t="inlineStr">
        <is>
          <t>South</t>
        </is>
      </c>
      <c r="H74" s="12" t="inlineStr">
        <is>
          <t>Tamil Nadu</t>
        </is>
      </c>
      <c r="I74" s="12" t="inlineStr">
        <is>
          <t>Chennai</t>
        </is>
      </c>
      <c r="J74" s="12" t="inlineStr">
        <is>
          <t>Furniture</t>
        </is>
      </c>
      <c r="K74" s="12" t="inlineStr">
        <is>
          <t>Tables</t>
        </is>
      </c>
      <c r="L74" s="12" t="inlineStr">
        <is>
          <t>Prime Tables 902</t>
        </is>
      </c>
      <c r="M74" s="12" t="inlineStr">
        <is>
          <t>First Class</t>
        </is>
      </c>
      <c r="N74" s="12" t="n">
        <v>7</v>
      </c>
      <c r="O74" s="12" t="n">
        <v>2287.47</v>
      </c>
      <c r="P74" s="12" t="n">
        <v>0.15</v>
      </c>
      <c r="Q74" s="12" t="n">
        <v>13610.45</v>
      </c>
      <c r="R74" s="12" t="n">
        <v>10039.05</v>
      </c>
      <c r="S74" s="12" t="n">
        <v>3571.4</v>
      </c>
      <c r="T74" s="12" t="inlineStr">
        <is>
          <t>Paid</t>
        </is>
      </c>
      <c r="U74" s="12" t="inlineStr">
        <is>
          <t>Completed</t>
        </is>
      </c>
      <c r="V74">
        <f>IF(OR(P74="",P74&lt;0,P74&gt;0.5),0,P74)</f>
        <v/>
      </c>
      <c r="W74">
        <f>N74*O74*(1-V74)</f>
        <v/>
      </c>
      <c r="X74">
        <f>W74-R74</f>
        <v/>
      </c>
      <c r="Y74">
        <f>IF(W74=0,0,X74/W74)</f>
        <v/>
      </c>
      <c r="Z74">
        <f>C74-B74</f>
        <v/>
      </c>
      <c r="AA74">
        <f>TEXT(B74,"mmmm")</f>
        <v/>
      </c>
      <c r="AB74">
        <f>YEAR(B74)</f>
        <v/>
      </c>
      <c r="AC74">
        <f>IF(OR(P74&lt;0,P74&gt;0.5,C74&lt;B74),"INVALID","CLEAN")</f>
        <v/>
      </c>
    </row>
    <row r="75">
      <c r="A75" s="12" t="inlineStr">
        <is>
          <t>ORD-2025-10074</t>
        </is>
      </c>
      <c r="B75" s="12" t="inlineStr">
        <is>
          <t>29-03-2025</t>
        </is>
      </c>
      <c r="C75" s="12" t="inlineStr">
        <is>
          <t>04/03/2025</t>
        </is>
      </c>
      <c r="D75" s="12" t="inlineStr">
        <is>
          <t>CUST-2342</t>
        </is>
      </c>
      <c r="E75" s="12" t="inlineStr">
        <is>
          <t>Sneha Kapoor</t>
        </is>
      </c>
      <c r="F75" s="12" t="inlineStr">
        <is>
          <t>Corporate</t>
        </is>
      </c>
      <c r="G75" s="12" t="inlineStr">
        <is>
          <t>East</t>
        </is>
      </c>
      <c r="H75" s="12" t="inlineStr">
        <is>
          <t>West Bengal</t>
        </is>
      </c>
      <c r="I75" s="12" t="inlineStr">
        <is>
          <t>Kolkata</t>
        </is>
      </c>
      <c r="J75" s="12" t="inlineStr">
        <is>
          <t>Furniture</t>
        </is>
      </c>
      <c r="K75" s="12" t="inlineStr">
        <is>
          <t>Bookcases</t>
        </is>
      </c>
      <c r="L75" s="12" t="inlineStr">
        <is>
          <t>Smart Bookcases 167</t>
        </is>
      </c>
      <c r="M75" s="12" t="inlineStr">
        <is>
          <t>First Class</t>
        </is>
      </c>
      <c r="N75" s="12" t="n">
        <v>5</v>
      </c>
      <c r="O75" s="12" t="n">
        <v>1425.74</v>
      </c>
      <c r="P75" s="12" t="n">
        <v>0</v>
      </c>
      <c r="Q75" s="12" t="n">
        <v>7128.7</v>
      </c>
      <c r="R75" s="12" t="n">
        <v>4382.15</v>
      </c>
      <c r="S75" s="12" t="n">
        <v>2746.55</v>
      </c>
      <c r="T75" s="12" t="inlineStr">
        <is>
          <t>Paid</t>
        </is>
      </c>
      <c r="U75" s="12" t="inlineStr">
        <is>
          <t>Completed</t>
        </is>
      </c>
      <c r="V75">
        <f>IF(OR(P75="",P75&lt;0,P75&gt;0.5),0,P75)</f>
        <v/>
      </c>
      <c r="W75">
        <f>N75*O75*(1-V75)</f>
        <v/>
      </c>
      <c r="X75">
        <f>W75-R75</f>
        <v/>
      </c>
      <c r="Y75">
        <f>IF(W75=0,0,X75/W75)</f>
        <v/>
      </c>
      <c r="Z75">
        <f>C75-B75</f>
        <v/>
      </c>
      <c r="AA75">
        <f>TEXT(B75,"mmmm")</f>
        <v/>
      </c>
      <c r="AB75">
        <f>YEAR(B75)</f>
        <v/>
      </c>
      <c r="AC75">
        <f>IF(OR(P75&lt;0,P75&gt;0.5,C75&lt;B75),"INVALID","CLEAN")</f>
        <v/>
      </c>
    </row>
    <row r="76">
      <c r="A76" s="12" t="inlineStr">
        <is>
          <t>ORD-2025-10075</t>
        </is>
      </c>
      <c r="B76" s="12" t="inlineStr">
        <is>
          <t>02/27/2025</t>
        </is>
      </c>
      <c r="C76" s="12" t="inlineStr">
        <is>
          <t>2025-03-01</t>
        </is>
      </c>
      <c r="D76" s="12" t="inlineStr">
        <is>
          <t>CUST-6201</t>
        </is>
      </c>
      <c r="E76" s="12" t="inlineStr">
        <is>
          <t>Vikram Iyer</t>
        </is>
      </c>
      <c r="F76" s="12" t="inlineStr">
        <is>
          <t>Small Business</t>
        </is>
      </c>
      <c r="G76" s="12" t="inlineStr">
        <is>
          <t>East</t>
        </is>
      </c>
      <c r="H76" s="12" t="inlineStr">
        <is>
          <t>West Bengal</t>
        </is>
      </c>
      <c r="I76" s="12" t="inlineStr">
        <is>
          <t>Kolkata</t>
        </is>
      </c>
      <c r="J76" s="12" t="inlineStr">
        <is>
          <t>Furniture</t>
        </is>
      </c>
      <c r="K76" s="12" t="inlineStr">
        <is>
          <t>Chairs</t>
        </is>
      </c>
      <c r="L76" s="12" t="inlineStr">
        <is>
          <t>Max Chairs 244</t>
        </is>
      </c>
      <c r="M76" s="12" t="inlineStr">
        <is>
          <t>Standard Class</t>
        </is>
      </c>
      <c r="N76" s="12" t="n">
        <v>6</v>
      </c>
      <c r="O76" s="12" t="n">
        <v>551.64</v>
      </c>
      <c r="P76" s="12" t="n">
        <v>0</v>
      </c>
      <c r="Q76" s="12" t="n">
        <v>3309.84</v>
      </c>
      <c r="R76" s="12" t="n">
        <v>2671.08</v>
      </c>
      <c r="S76" s="12" t="n">
        <v>638.76</v>
      </c>
      <c r="T76" s="12" t="inlineStr">
        <is>
          <t>Paid</t>
        </is>
      </c>
      <c r="U76" s="12" t="inlineStr">
        <is>
          <t>Completed</t>
        </is>
      </c>
      <c r="V76">
        <f>IF(OR(P76="",P76&lt;0,P76&gt;0.5),0,P76)</f>
        <v/>
      </c>
      <c r="W76">
        <f>N76*O76*(1-V76)</f>
        <v/>
      </c>
      <c r="X76">
        <f>W76-R76</f>
        <v/>
      </c>
      <c r="Y76">
        <f>IF(W76=0,0,X76/W76)</f>
        <v/>
      </c>
      <c r="Z76">
        <f>C76-B76</f>
        <v/>
      </c>
      <c r="AA76">
        <f>TEXT(B76,"mmmm")</f>
        <v/>
      </c>
      <c r="AB76">
        <f>YEAR(B76)</f>
        <v/>
      </c>
      <c r="AC76">
        <f>IF(OR(P76&lt;0,P76&gt;0.5,C76&lt;B76),"INVALID","CLEAN")</f>
        <v/>
      </c>
    </row>
    <row r="77">
      <c r="A77" s="12" t="inlineStr">
        <is>
          <t>ORD-2025-10076</t>
        </is>
      </c>
      <c r="B77" s="12" t="inlineStr">
        <is>
          <t>22-08-2025</t>
        </is>
      </c>
      <c r="C77" s="12" t="inlineStr">
        <is>
          <t>08/27/2025</t>
        </is>
      </c>
      <c r="D77" s="12" t="inlineStr">
        <is>
          <t>CUST-5808</t>
        </is>
      </c>
      <c r="E77" s="12" t="inlineStr">
        <is>
          <t>Priya Menon</t>
        </is>
      </c>
      <c r="F77" s="12" t="inlineStr">
        <is>
          <t>Small Business</t>
        </is>
      </c>
      <c r="G77" s="12" t="inlineStr">
        <is>
          <t>East</t>
        </is>
      </c>
      <c r="H77" s="12" t="inlineStr">
        <is>
          <t>Odisha</t>
        </is>
      </c>
      <c r="I77" s="12" t="inlineStr">
        <is>
          <t>Bhubaneswar</t>
        </is>
      </c>
      <c r="J77" s="12" t="inlineStr">
        <is>
          <t>Office Supplies</t>
        </is>
      </c>
      <c r="K77" s="12" t="inlineStr">
        <is>
          <t>Labels</t>
        </is>
      </c>
      <c r="L77" s="12" t="inlineStr">
        <is>
          <t>Eco Labels 653</t>
        </is>
      </c>
      <c r="M77" s="12" t="inlineStr">
        <is>
          <t>First Class</t>
        </is>
      </c>
      <c r="N77" s="12" t="n">
        <v>3</v>
      </c>
      <c r="O77" s="12" t="n">
        <v>3294.82</v>
      </c>
      <c r="P77" s="12" t="n">
        <v>0.2</v>
      </c>
      <c r="Q77" s="12" t="n">
        <v>7907.57</v>
      </c>
      <c r="R77" s="12" t="n">
        <v>5391.18</v>
      </c>
      <c r="S77" s="12" t="n">
        <v>2516.39</v>
      </c>
      <c r="T77" s="12" t="inlineStr">
        <is>
          <t>Paid</t>
        </is>
      </c>
      <c r="U77" s="12" t="inlineStr">
        <is>
          <t>Completed</t>
        </is>
      </c>
      <c r="V77">
        <f>IF(OR(P77="",P77&lt;0,P77&gt;0.5),0,P77)</f>
        <v/>
      </c>
      <c r="W77">
        <f>N77*O77*(1-V77)</f>
        <v/>
      </c>
      <c r="X77">
        <f>W77-R77</f>
        <v/>
      </c>
      <c r="Y77">
        <f>IF(W77=0,0,X77/W77)</f>
        <v/>
      </c>
      <c r="Z77">
        <f>C77-B77</f>
        <v/>
      </c>
      <c r="AA77">
        <f>TEXT(B77,"mmmm")</f>
        <v/>
      </c>
      <c r="AB77">
        <f>YEAR(B77)</f>
        <v/>
      </c>
      <c r="AC77">
        <f>IF(OR(P77&lt;0,P77&gt;0.5,C77&lt;B77),"INVALID","CLEAN")</f>
        <v/>
      </c>
    </row>
    <row r="78">
      <c r="A78" s="12" t="inlineStr">
        <is>
          <t>ORD-2024-10077</t>
        </is>
      </c>
      <c r="B78" s="12" t="inlineStr">
        <is>
          <t>03 Nov 2024</t>
        </is>
      </c>
      <c r="C78" s="12" t="inlineStr">
        <is>
          <t>11-11-2024</t>
        </is>
      </c>
      <c r="D78" s="12" t="inlineStr">
        <is>
          <t>CUST-2642</t>
        </is>
      </c>
      <c r="E78" s="12" t="inlineStr">
        <is>
          <t>Ananya Rao</t>
        </is>
      </c>
      <c r="F78" s="12" t="inlineStr">
        <is>
          <t>Corporate</t>
        </is>
      </c>
      <c r="G78" s="12" t="inlineStr">
        <is>
          <t>East</t>
        </is>
      </c>
      <c r="H78" s="12" t="inlineStr">
        <is>
          <t>Jharkhand</t>
        </is>
      </c>
      <c r="I78" s="12" t="inlineStr">
        <is>
          <t>Ranchi</t>
        </is>
      </c>
      <c r="J78" s="12" t="inlineStr">
        <is>
          <t>Office Supplies</t>
        </is>
      </c>
      <c r="K78" s="12" t="inlineStr">
        <is>
          <t>Labels</t>
        </is>
      </c>
      <c r="L78" s="12" t="inlineStr">
        <is>
          <t>Max Labels 617</t>
        </is>
      </c>
      <c r="M78" s="12" t="inlineStr">
        <is>
          <t>Second Class</t>
        </is>
      </c>
      <c r="N78" s="12" t="n">
        <v>3</v>
      </c>
      <c r="O78" s="12" t="n">
        <v>3406.27</v>
      </c>
      <c r="P78" s="12" t="n">
        <v>0</v>
      </c>
      <c r="Q78" s="12" t="n">
        <v>10218.81</v>
      </c>
      <c r="R78" s="12" t="n">
        <v>7616.97</v>
      </c>
      <c r="S78" s="12" t="n">
        <v>2601.84</v>
      </c>
      <c r="T78" s="12" t="inlineStr">
        <is>
          <t>Paid</t>
        </is>
      </c>
      <c r="U78" s="12" t="inlineStr">
        <is>
          <t>Completed</t>
        </is>
      </c>
      <c r="V78">
        <f>IF(OR(P78="",P78&lt;0,P78&gt;0.5),0,P78)</f>
        <v/>
      </c>
      <c r="W78">
        <f>N78*O78*(1-V78)</f>
        <v/>
      </c>
      <c r="X78">
        <f>W78-R78</f>
        <v/>
      </c>
      <c r="Y78">
        <f>IF(W78=0,0,X78/W78)</f>
        <v/>
      </c>
      <c r="Z78">
        <f>C78-B78</f>
        <v/>
      </c>
      <c r="AA78">
        <f>TEXT(B78,"mmmm")</f>
        <v/>
      </c>
      <c r="AB78">
        <f>YEAR(B78)</f>
        <v/>
      </c>
      <c r="AC78">
        <f>IF(OR(P78&lt;0,P78&gt;0.5,C78&lt;B78),"INVALID","CLEAN")</f>
        <v/>
      </c>
    </row>
    <row r="79">
      <c r="A79" s="12" t="inlineStr">
        <is>
          <t>ORD-2025-10078</t>
        </is>
      </c>
      <c r="B79" s="12" t="inlineStr">
        <is>
          <t>07/08/2025</t>
        </is>
      </c>
      <c r="C79" s="12" t="inlineStr">
        <is>
          <t>12-07-2025</t>
        </is>
      </c>
      <c r="D79" s="12" t="inlineStr">
        <is>
          <t>CUST-4385</t>
        </is>
      </c>
      <c r="E79" s="12" t="inlineStr">
        <is>
          <t>Rohan Mehta</t>
        </is>
      </c>
      <c r="F79" s="12" t="inlineStr">
        <is>
          <t>Home Office</t>
        </is>
      </c>
      <c r="G79" s="12" t="inlineStr">
        <is>
          <t>North</t>
        </is>
      </c>
      <c r="H79" s="12" t="inlineStr">
        <is>
          <t>Uttar Pradesh</t>
        </is>
      </c>
      <c r="I79" s="12" t="inlineStr">
        <is>
          <t>Noida</t>
        </is>
      </c>
      <c r="J79" s="12" t="inlineStr">
        <is>
          <t>Furniture</t>
        </is>
      </c>
      <c r="K79" s="12" t="inlineStr">
        <is>
          <t>Furnishings</t>
        </is>
      </c>
      <c r="L79" s="12" t="inlineStr">
        <is>
          <t>Pro Furnishings 529</t>
        </is>
      </c>
      <c r="M79" s="12" t="inlineStr">
        <is>
          <t>Standard Class</t>
        </is>
      </c>
      <c r="N79" s="12" t="n">
        <v>1</v>
      </c>
      <c r="O79" s="12" t="n">
        <v>2582.2</v>
      </c>
      <c r="P79" s="12" t="n">
        <v>0.15</v>
      </c>
      <c r="Q79" s="12" t="n">
        <v>2194.87</v>
      </c>
      <c r="R79" s="12" t="n">
        <v>1223.17</v>
      </c>
      <c r="S79" s="12" t="n">
        <v>971.7</v>
      </c>
      <c r="T79" s="12" t="inlineStr">
        <is>
          <t>Refunded</t>
        </is>
      </c>
      <c r="U79" s="12" t="inlineStr">
        <is>
          <t>Cancelled</t>
        </is>
      </c>
      <c r="V79">
        <f>IF(OR(P79="",P79&lt;0,P79&gt;0.5),0,P79)</f>
        <v/>
      </c>
      <c r="W79">
        <f>N79*O79*(1-V79)</f>
        <v/>
      </c>
      <c r="X79">
        <f>W79-R79</f>
        <v/>
      </c>
      <c r="Y79">
        <f>IF(W79=0,0,X79/W79)</f>
        <v/>
      </c>
      <c r="Z79">
        <f>C79-B79</f>
        <v/>
      </c>
      <c r="AA79">
        <f>TEXT(B79,"mmmm")</f>
        <v/>
      </c>
      <c r="AB79">
        <f>YEAR(B79)</f>
        <v/>
      </c>
      <c r="AC79">
        <f>IF(OR(P79&lt;0,P79&gt;0.5,C79&lt;B79),"INVALID","CLEAN")</f>
        <v/>
      </c>
    </row>
    <row r="80">
      <c r="A80" s="12" t="inlineStr">
        <is>
          <t>ORD-2025-10079</t>
        </is>
      </c>
      <c r="B80" s="12" t="inlineStr">
        <is>
          <t>07/16/2025</t>
        </is>
      </c>
      <c r="C80" s="12" t="inlineStr">
        <is>
          <t>21-07-2025</t>
        </is>
      </c>
      <c r="D80" s="12" t="inlineStr">
        <is>
          <t>CUST-8043</t>
        </is>
      </c>
      <c r="E80" s="12" t="inlineStr">
        <is>
          <t>Sneha Kapoor</t>
        </is>
      </c>
      <c r="F80" s="12" t="inlineStr">
        <is>
          <t>Corporate</t>
        </is>
      </c>
      <c r="G80" s="12" t="inlineStr">
        <is>
          <t>East</t>
        </is>
      </c>
      <c r="H80" s="12" t="inlineStr">
        <is>
          <t>West Bengal</t>
        </is>
      </c>
      <c r="I80" s="12" t="inlineStr">
        <is>
          <t>Kolkata</t>
        </is>
      </c>
      <c r="J80" s="12" t="inlineStr">
        <is>
          <t>Furniture</t>
        </is>
      </c>
      <c r="K80" s="12" t="inlineStr">
        <is>
          <t>Tables</t>
        </is>
      </c>
      <c r="L80" s="12" t="inlineStr">
        <is>
          <t>Smart Tables 561</t>
        </is>
      </c>
      <c r="M80" s="12" t="inlineStr">
        <is>
          <t>First Class</t>
        </is>
      </c>
      <c r="N80" s="12" t="n">
        <v>5</v>
      </c>
      <c r="O80" s="12" t="n">
        <v>2129.51</v>
      </c>
      <c r="P80" s="12" t="n">
        <v>0.15</v>
      </c>
      <c r="Q80" s="12" t="n">
        <v>9050.42</v>
      </c>
      <c r="R80" s="12" t="n">
        <v>6778.85</v>
      </c>
      <c r="S80" s="12" t="n">
        <v>2271.57</v>
      </c>
      <c r="T80" s="12" t="inlineStr">
        <is>
          <t>Paid</t>
        </is>
      </c>
      <c r="U80" s="12" t="inlineStr">
        <is>
          <t>Completed</t>
        </is>
      </c>
      <c r="V80">
        <f>IF(OR(P80="",P80&lt;0,P80&gt;0.5),0,P80)</f>
        <v/>
      </c>
      <c r="W80">
        <f>N80*O80*(1-V80)</f>
        <v/>
      </c>
      <c r="X80">
        <f>W80-R80</f>
        <v/>
      </c>
      <c r="Y80">
        <f>IF(W80=0,0,X80/W80)</f>
        <v/>
      </c>
      <c r="Z80">
        <f>C80-B80</f>
        <v/>
      </c>
      <c r="AA80">
        <f>TEXT(B80,"mmmm")</f>
        <v/>
      </c>
      <c r="AB80">
        <f>YEAR(B80)</f>
        <v/>
      </c>
      <c r="AC80">
        <f>IF(OR(P80&lt;0,P80&gt;0.5,C80&lt;B80),"INVALID","CLEAN")</f>
        <v/>
      </c>
    </row>
    <row r="81">
      <c r="A81" s="12" t="inlineStr">
        <is>
          <t>ORD-2025-10080</t>
        </is>
      </c>
      <c r="B81" s="12" t="inlineStr">
        <is>
          <t>2025-09-27</t>
        </is>
      </c>
      <c r="C81" s="12" t="inlineStr">
        <is>
          <t>2025-10-03</t>
        </is>
      </c>
      <c r="D81" s="12" t="inlineStr">
        <is>
          <t>CUST-9978</t>
        </is>
      </c>
      <c r="E81" s="12" t="inlineStr">
        <is>
          <t>Diya Patel</t>
        </is>
      </c>
      <c r="F81" s="12" t="inlineStr">
        <is>
          <t>Home Office</t>
        </is>
      </c>
      <c r="G81" s="12" t="inlineStr">
        <is>
          <t>South</t>
        </is>
      </c>
      <c r="H81" s="12" t="inlineStr">
        <is>
          <t>Tamil Nadu</t>
        </is>
      </c>
      <c r="I81" s="12" t="inlineStr">
        <is>
          <t>Chennai</t>
        </is>
      </c>
      <c r="J81" s="12" t="inlineStr">
        <is>
          <t xml:space="preserve">  Furniture </t>
        </is>
      </c>
      <c r="K81" s="12" t="inlineStr">
        <is>
          <t>Chairs</t>
        </is>
      </c>
      <c r="L81" s="12" t="inlineStr">
        <is>
          <t>Prime Chairs 838</t>
        </is>
      </c>
      <c r="M81" s="12" t="inlineStr">
        <is>
          <t>Same Day</t>
        </is>
      </c>
      <c r="N81" s="12" t="n">
        <v>9</v>
      </c>
      <c r="O81" s="12" t="n">
        <v>4131.52</v>
      </c>
      <c r="P81" s="12" t="n">
        <v>0.1</v>
      </c>
      <c r="Q81" s="12" t="n">
        <v>33465.31</v>
      </c>
      <c r="R81" s="12" t="n">
        <v>24781.26</v>
      </c>
      <c r="S81" s="12" t="n">
        <v>8684.049999999999</v>
      </c>
      <c r="T81" s="12" t="inlineStr">
        <is>
          <t>Paid</t>
        </is>
      </c>
      <c r="U81" s="12" t="inlineStr">
        <is>
          <t>Completed</t>
        </is>
      </c>
      <c r="V81">
        <f>IF(OR(P81="",P81&lt;0,P81&gt;0.5),0,P81)</f>
        <v/>
      </c>
      <c r="W81">
        <f>N81*O81*(1-V81)</f>
        <v/>
      </c>
      <c r="X81">
        <f>W81-R81</f>
        <v/>
      </c>
      <c r="Y81">
        <f>IF(W81=0,0,X81/W81)</f>
        <v/>
      </c>
      <c r="Z81">
        <f>C81-B81</f>
        <v/>
      </c>
      <c r="AA81">
        <f>TEXT(B81,"mmmm")</f>
        <v/>
      </c>
      <c r="AB81">
        <f>YEAR(B81)</f>
        <v/>
      </c>
      <c r="AC81">
        <f>IF(OR(P81&lt;0,P81&gt;0.5,C81&lt;B81),"INVALID","CLEAN")</f>
        <v/>
      </c>
    </row>
    <row r="82">
      <c r="A82" s="12" t="inlineStr">
        <is>
          <t>ORD-2024-10081</t>
        </is>
      </c>
      <c r="B82" s="12" t="inlineStr">
        <is>
          <t>2024-08-10</t>
        </is>
      </c>
      <c r="C82" s="12" t="inlineStr">
        <is>
          <t>2024-08-14</t>
        </is>
      </c>
      <c r="D82" s="12" t="inlineStr">
        <is>
          <t>CUST-2094</t>
        </is>
      </c>
      <c r="E82" s="12" t="inlineStr">
        <is>
          <t>Aarav Sharma</t>
        </is>
      </c>
      <c r="F82" s="12" t="inlineStr">
        <is>
          <t>Small Business</t>
        </is>
      </c>
      <c r="G82" s="12" t="inlineStr">
        <is>
          <t>North</t>
        </is>
      </c>
      <c r="H82" s="12" t="inlineStr">
        <is>
          <t>Delhi</t>
        </is>
      </c>
      <c r="I82" s="12" t="inlineStr">
        <is>
          <t>New Delhi</t>
        </is>
      </c>
      <c r="J82" s="12" t="inlineStr">
        <is>
          <t>Office Supplies</t>
        </is>
      </c>
      <c r="K82" s="12" t="inlineStr">
        <is>
          <t>Storage</t>
        </is>
      </c>
      <c r="L82" s="12" t="inlineStr">
        <is>
          <t>Elite Storage 371</t>
        </is>
      </c>
      <c r="M82" s="12" t="inlineStr">
        <is>
          <t>Second Class</t>
        </is>
      </c>
      <c r="N82" s="12" t="n">
        <v>4</v>
      </c>
      <c r="O82" s="12" t="n">
        <v>1182.32</v>
      </c>
      <c r="P82" s="12" t="n">
        <v>0.1</v>
      </c>
      <c r="Q82" s="12" t="n">
        <v>4256.35</v>
      </c>
      <c r="R82" s="12" t="n">
        <v>2495.33</v>
      </c>
      <c r="S82" s="12" t="n">
        <v>1761.02</v>
      </c>
      <c r="T82" s="12" t="inlineStr">
        <is>
          <t>Pending</t>
        </is>
      </c>
      <c r="U82" s="12" t="inlineStr">
        <is>
          <t>Returned</t>
        </is>
      </c>
      <c r="V82">
        <f>IF(OR(P82="",P82&lt;0,P82&gt;0.5),0,P82)</f>
        <v/>
      </c>
      <c r="W82">
        <f>N82*O82*(1-V82)</f>
        <v/>
      </c>
      <c r="X82">
        <f>W82-R82</f>
        <v/>
      </c>
      <c r="Y82">
        <f>IF(W82=0,0,X82/W82)</f>
        <v/>
      </c>
      <c r="Z82">
        <f>C82-B82</f>
        <v/>
      </c>
      <c r="AA82">
        <f>TEXT(B82,"mmmm")</f>
        <v/>
      </c>
      <c r="AB82">
        <f>YEAR(B82)</f>
        <v/>
      </c>
      <c r="AC82">
        <f>IF(OR(P82&lt;0,P82&gt;0.5,C82&lt;B82),"INVALID","CLEAN")</f>
        <v/>
      </c>
    </row>
    <row r="83">
      <c r="A83" s="12" t="inlineStr">
        <is>
          <t>ORD-2025-10082</t>
        </is>
      </c>
      <c r="B83" s="12" t="inlineStr">
        <is>
          <t>2025-03-16</t>
        </is>
      </c>
      <c r="C83" s="12" t="inlineStr">
        <is>
          <t>17-03-2025</t>
        </is>
      </c>
      <c r="D83" s="12" t="inlineStr">
        <is>
          <t>CUST-7907</t>
        </is>
      </c>
      <c r="E83" s="12" t="inlineStr">
        <is>
          <t>Karan Malhotra</t>
        </is>
      </c>
      <c r="F83" s="12" t="inlineStr">
        <is>
          <t>Home Office</t>
        </is>
      </c>
      <c r="G83" s="12" t="inlineStr">
        <is>
          <t>West</t>
        </is>
      </c>
      <c r="H83" s="12" t="inlineStr">
        <is>
          <t>Goa</t>
        </is>
      </c>
      <c r="I83" s="12" t="inlineStr">
        <is>
          <t>Panaji</t>
        </is>
      </c>
      <c r="J83" s="12" t="inlineStr">
        <is>
          <t>Office Supplies</t>
        </is>
      </c>
      <c r="K83" s="12" t="inlineStr">
        <is>
          <t>Labels</t>
        </is>
      </c>
      <c r="L83" s="12" t="inlineStr">
        <is>
          <t>Eco Labels 662</t>
        </is>
      </c>
      <c r="M83" s="12" t="inlineStr">
        <is>
          <t>Same Day</t>
        </is>
      </c>
      <c r="N83" s="12" t="n">
        <v>3</v>
      </c>
      <c r="O83" s="12" t="n">
        <v>1841.91</v>
      </c>
      <c r="P83" s="12" t="n">
        <v>0</v>
      </c>
      <c r="Q83" s="12" t="n">
        <v>5525.73</v>
      </c>
      <c r="R83" s="12" t="n">
        <v>3093.42</v>
      </c>
      <c r="S83" s="12" t="n">
        <v>2432.31</v>
      </c>
      <c r="T83" s="12" t="inlineStr">
        <is>
          <t>Paid</t>
        </is>
      </c>
      <c r="U83" s="12" t="inlineStr">
        <is>
          <t>Completed</t>
        </is>
      </c>
      <c r="V83">
        <f>IF(OR(P83="",P83&lt;0,P83&gt;0.5),0,P83)</f>
        <v/>
      </c>
      <c r="W83">
        <f>N83*O83*(1-V83)</f>
        <v/>
      </c>
      <c r="X83">
        <f>W83-R83</f>
        <v/>
      </c>
      <c r="Y83">
        <f>IF(W83=0,0,X83/W83)</f>
        <v/>
      </c>
      <c r="Z83">
        <f>C83-B83</f>
        <v/>
      </c>
      <c r="AA83">
        <f>TEXT(B83,"mmmm")</f>
        <v/>
      </c>
      <c r="AB83">
        <f>YEAR(B83)</f>
        <v/>
      </c>
      <c r="AC83">
        <f>IF(OR(P83&lt;0,P83&gt;0.5,C83&lt;B83),"INVALID","CLEAN")</f>
        <v/>
      </c>
    </row>
    <row r="84">
      <c r="A84" s="12" t="inlineStr">
        <is>
          <t>ORD-2024-10083</t>
        </is>
      </c>
      <c r="B84" s="12" t="inlineStr">
        <is>
          <t>2024-08-03</t>
        </is>
      </c>
      <c r="C84" s="12" t="inlineStr">
        <is>
          <t>04-08-2024</t>
        </is>
      </c>
      <c r="D84" s="12" t="inlineStr">
        <is>
          <t>CUST-6516</t>
        </is>
      </c>
      <c r="E84" s="12" t="inlineStr">
        <is>
          <t>Arjun Bose</t>
        </is>
      </c>
      <c r="F84" s="12" t="inlineStr">
        <is>
          <t>Consumer</t>
        </is>
      </c>
      <c r="G84" s="12" t="inlineStr">
        <is>
          <t>North</t>
        </is>
      </c>
      <c r="H84" s="12" t="inlineStr">
        <is>
          <t>Uttar Pradesh</t>
        </is>
      </c>
      <c r="I84" s="12" t="inlineStr">
        <is>
          <t>Noida</t>
        </is>
      </c>
      <c r="J84" s="12" t="inlineStr">
        <is>
          <t>Technology</t>
        </is>
      </c>
      <c r="K84" s="12" t="inlineStr">
        <is>
          <t>Copiers</t>
        </is>
      </c>
      <c r="L84" s="12" t="inlineStr">
        <is>
          <t>Smart Copiers 702</t>
        </is>
      </c>
      <c r="M84" s="12" t="inlineStr">
        <is>
          <t>Second Class</t>
        </is>
      </c>
      <c r="N84" s="12" t="n">
        <v>6</v>
      </c>
      <c r="O84" s="12" t="n">
        <v>1001.73</v>
      </c>
      <c r="P84" s="12" t="n">
        <v>0</v>
      </c>
      <c r="Q84" s="12" t="n">
        <v>6010.38</v>
      </c>
      <c r="R84" s="12" t="n">
        <v>3762.85</v>
      </c>
      <c r="S84" s="12" t="n">
        <v>2247.53</v>
      </c>
      <c r="T84" s="12" t="inlineStr">
        <is>
          <t>Failed</t>
        </is>
      </c>
      <c r="U84" s="12" t="inlineStr">
        <is>
          <t>Returned</t>
        </is>
      </c>
      <c r="V84">
        <f>IF(OR(P84="",P84&lt;0,P84&gt;0.5),0,P84)</f>
        <v/>
      </c>
      <c r="W84">
        <f>N84*O84*(1-V84)</f>
        <v/>
      </c>
      <c r="X84">
        <f>W84-R84</f>
        <v/>
      </c>
      <c r="Y84">
        <f>IF(W84=0,0,X84/W84)</f>
        <v/>
      </c>
      <c r="Z84">
        <f>C84-B84</f>
        <v/>
      </c>
      <c r="AA84">
        <f>TEXT(B84,"mmmm")</f>
        <v/>
      </c>
      <c r="AB84">
        <f>YEAR(B84)</f>
        <v/>
      </c>
      <c r="AC84">
        <f>IF(OR(P84&lt;0,P84&gt;0.5,C84&lt;B84),"INVALID","CLEAN")</f>
        <v/>
      </c>
    </row>
    <row r="85">
      <c r="A85" s="12" t="inlineStr">
        <is>
          <t>ORD-2024-10084</t>
        </is>
      </c>
      <c r="B85" s="12" t="inlineStr">
        <is>
          <t>26-10-2024</t>
        </is>
      </c>
      <c r="C85" s="12" t="inlineStr">
        <is>
          <t>29-10-2024</t>
        </is>
      </c>
      <c r="D85" s="12" t="inlineStr">
        <is>
          <t>CUST-4989</t>
        </is>
      </c>
      <c r="E85" s="12" t="inlineStr">
        <is>
          <t>Aditi Sen</t>
        </is>
      </c>
      <c r="F85" s="12" t="inlineStr">
        <is>
          <t>Home Office</t>
        </is>
      </c>
      <c r="G85" s="12" t="inlineStr">
        <is>
          <t>West</t>
        </is>
      </c>
      <c r="H85" s="12" t="inlineStr">
        <is>
          <t>Maharashtra</t>
        </is>
      </c>
      <c r="I85" s="12" t="inlineStr">
        <is>
          <t>Mumbai</t>
        </is>
      </c>
      <c r="J85" s="12" t="inlineStr">
        <is>
          <t>Furniture</t>
        </is>
      </c>
      <c r="K85" s="12" t="inlineStr">
        <is>
          <t>Tables</t>
        </is>
      </c>
      <c r="L85" s="12" t="inlineStr">
        <is>
          <t>Elite Tables 362</t>
        </is>
      </c>
      <c r="M85" s="12" t="inlineStr">
        <is>
          <t>Second Class</t>
        </is>
      </c>
      <c r="N85" s="12" t="n">
        <v>9</v>
      </c>
      <c r="O85" s="12" t="n">
        <v>131.74</v>
      </c>
      <c r="P85" s="12" t="n">
        <v>0.2</v>
      </c>
      <c r="Q85" s="12" t="n">
        <v>948.53</v>
      </c>
      <c r="R85" s="12" t="n">
        <v>674.62</v>
      </c>
      <c r="S85" s="12" t="n">
        <v>273.91</v>
      </c>
      <c r="T85" s="12" t="inlineStr">
        <is>
          <t>Paid</t>
        </is>
      </c>
      <c r="U85" s="12" t="inlineStr">
        <is>
          <t>Completed</t>
        </is>
      </c>
      <c r="V85">
        <f>IF(OR(P85="",P85&lt;0,P85&gt;0.5),0,P85)</f>
        <v/>
      </c>
      <c r="W85">
        <f>N85*O85*(1-V85)</f>
        <v/>
      </c>
      <c r="X85">
        <f>W85-R85</f>
        <v/>
      </c>
      <c r="Y85">
        <f>IF(W85=0,0,X85/W85)</f>
        <v/>
      </c>
      <c r="Z85">
        <f>C85-B85</f>
        <v/>
      </c>
      <c r="AA85">
        <f>TEXT(B85,"mmmm")</f>
        <v/>
      </c>
      <c r="AB85">
        <f>YEAR(B85)</f>
        <v/>
      </c>
      <c r="AC85">
        <f>IF(OR(P85&lt;0,P85&gt;0.5,C85&lt;B85),"INVALID","CLEAN")</f>
        <v/>
      </c>
    </row>
    <row r="86">
      <c r="A86" s="12" t="inlineStr">
        <is>
          <t>ORD-2024-10085</t>
        </is>
      </c>
      <c r="B86" s="12" t="inlineStr">
        <is>
          <t>01 Oct 2024</t>
        </is>
      </c>
      <c r="C86" s="12" t="inlineStr">
        <is>
          <t>2024-10-03</t>
        </is>
      </c>
      <c r="D86" s="12" t="inlineStr">
        <is>
          <t>CUST-3758</t>
        </is>
      </c>
      <c r="E86" s="12" t="inlineStr">
        <is>
          <t>Rohan Mehta</t>
        </is>
      </c>
      <c r="F86" s="12" t="inlineStr">
        <is>
          <t>Corporate</t>
        </is>
      </c>
      <c r="G86" s="12" t="inlineStr">
        <is>
          <t>South</t>
        </is>
      </c>
      <c r="H86" s="12" t="inlineStr">
        <is>
          <t>Tamil Nadu</t>
        </is>
      </c>
      <c r="I86" s="12" t="inlineStr">
        <is>
          <t>Chennai</t>
        </is>
      </c>
      <c r="J86" s="12" t="inlineStr">
        <is>
          <t xml:space="preserve">Technology </t>
        </is>
      </c>
      <c r="K86" s="12" t="inlineStr">
        <is>
          <t>Phones</t>
        </is>
      </c>
      <c r="L86" s="12" t="inlineStr">
        <is>
          <t>Elite Phones 781</t>
        </is>
      </c>
      <c r="M86" s="12" t="inlineStr">
        <is>
          <t>Second Class</t>
        </is>
      </c>
      <c r="N86" s="12" t="n">
        <v>6</v>
      </c>
      <c r="O86" s="12" t="n">
        <v>570.28</v>
      </c>
      <c r="P86" s="12" t="n">
        <v>0.2</v>
      </c>
      <c r="Q86" s="12" t="n">
        <v>2737.34</v>
      </c>
      <c r="R86" s="12" t="n">
        <v>2085.44</v>
      </c>
      <c r="S86" s="12" t="n">
        <v>651.9</v>
      </c>
      <c r="T86" s="12" t="inlineStr">
        <is>
          <t>Paid</t>
        </is>
      </c>
      <c r="U86" s="12" t="inlineStr">
        <is>
          <t>Completed</t>
        </is>
      </c>
      <c r="V86">
        <f>IF(OR(P86="",P86&lt;0,P86&gt;0.5),0,P86)</f>
        <v/>
      </c>
      <c r="W86">
        <f>N86*O86*(1-V86)</f>
        <v/>
      </c>
      <c r="X86">
        <f>W86-R86</f>
        <v/>
      </c>
      <c r="Y86">
        <f>IF(W86=0,0,X86/W86)</f>
        <v/>
      </c>
      <c r="Z86">
        <f>C86-B86</f>
        <v/>
      </c>
      <c r="AA86">
        <f>TEXT(B86,"mmmm")</f>
        <v/>
      </c>
      <c r="AB86">
        <f>YEAR(B86)</f>
        <v/>
      </c>
      <c r="AC86">
        <f>IF(OR(P86&lt;0,P86&gt;0.5,C86&lt;B86),"INVALID","CLEAN")</f>
        <v/>
      </c>
    </row>
    <row r="87">
      <c r="A87" s="12" t="inlineStr">
        <is>
          <t>ORD-2024-10086</t>
        </is>
      </c>
      <c r="B87" s="12" t="inlineStr">
        <is>
          <t>2024-07-30</t>
        </is>
      </c>
      <c r="C87" s="12" t="inlineStr">
        <is>
          <t>08/05/2024</t>
        </is>
      </c>
      <c r="D87" s="12" t="inlineStr">
        <is>
          <t>CUST-6702</t>
        </is>
      </c>
      <c r="E87" s="12" t="inlineStr">
        <is>
          <t>Kabir Singh</t>
        </is>
      </c>
      <c r="F87" s="12" t="inlineStr">
        <is>
          <t>Corporate</t>
        </is>
      </c>
      <c r="G87" s="12" t="inlineStr">
        <is>
          <t>North</t>
        </is>
      </c>
      <c r="H87" s="12" t="inlineStr">
        <is>
          <t>Delhi</t>
        </is>
      </c>
      <c r="I87" s="12" t="inlineStr">
        <is>
          <t>New Delhi</t>
        </is>
      </c>
      <c r="J87" s="12" t="inlineStr">
        <is>
          <t>Office Supplies</t>
        </is>
      </c>
      <c r="K87" s="12" t="inlineStr">
        <is>
          <t>Binders</t>
        </is>
      </c>
      <c r="L87" s="12" t="inlineStr">
        <is>
          <t>Eco Binders 456</t>
        </is>
      </c>
      <c r="M87" s="12" t="inlineStr">
        <is>
          <t>Standard Class</t>
        </is>
      </c>
      <c r="N87" s="12" t="n">
        <v>1</v>
      </c>
      <c r="O87" s="12" t="n">
        <v>608.64</v>
      </c>
      <c r="P87" s="12" t="n">
        <v>0</v>
      </c>
      <c r="Q87" s="12" t="n">
        <v>608.64</v>
      </c>
      <c r="R87" s="12" t="n">
        <v>343.99</v>
      </c>
      <c r="S87" s="12" t="n">
        <v>264.65</v>
      </c>
      <c r="T87" s="12" t="inlineStr">
        <is>
          <t>Paid</t>
        </is>
      </c>
      <c r="U87" s="12" t="inlineStr">
        <is>
          <t>Cancelled</t>
        </is>
      </c>
      <c r="V87">
        <f>IF(OR(P87="",P87&lt;0,P87&gt;0.5),0,P87)</f>
        <v/>
      </c>
      <c r="W87">
        <f>N87*O87*(1-V87)</f>
        <v/>
      </c>
      <c r="X87">
        <f>W87-R87</f>
        <v/>
      </c>
      <c r="Y87">
        <f>IF(W87=0,0,X87/W87)</f>
        <v/>
      </c>
      <c r="Z87">
        <f>C87-B87</f>
        <v/>
      </c>
      <c r="AA87">
        <f>TEXT(B87,"mmmm")</f>
        <v/>
      </c>
      <c r="AB87">
        <f>YEAR(B87)</f>
        <v/>
      </c>
      <c r="AC87">
        <f>IF(OR(P87&lt;0,P87&gt;0.5,C87&lt;B87),"INVALID","CLEAN")</f>
        <v/>
      </c>
    </row>
    <row r="88">
      <c r="A88" s="12" t="inlineStr">
        <is>
          <t>ORD-2024-10087</t>
        </is>
      </c>
      <c r="B88" s="12" t="inlineStr">
        <is>
          <t>01 Jul 2024</t>
        </is>
      </c>
      <c r="C88" s="12" t="inlineStr">
        <is>
          <t>01 Jul 2024</t>
        </is>
      </c>
      <c r="D88" s="12" t="inlineStr">
        <is>
          <t>CUST-9148</t>
        </is>
      </c>
      <c r="E88" s="12" t="inlineStr">
        <is>
          <t>Ananya Rao</t>
        </is>
      </c>
      <c r="F88" s="12" t="inlineStr">
        <is>
          <t>Small Business</t>
        </is>
      </c>
      <c r="G88" s="12" t="inlineStr">
        <is>
          <t>North</t>
        </is>
      </c>
      <c r="H88" s="12" t="inlineStr">
        <is>
          <t>Delhi</t>
        </is>
      </c>
      <c r="I88" s="12" t="inlineStr">
        <is>
          <t>New Delhi</t>
        </is>
      </c>
      <c r="J88" s="12" t="inlineStr">
        <is>
          <t>Technology</t>
        </is>
      </c>
      <c r="K88" s="12" t="inlineStr">
        <is>
          <t>Copiers</t>
        </is>
      </c>
      <c r="L88" s="12" t="inlineStr">
        <is>
          <t>Basic Copiers 525</t>
        </is>
      </c>
      <c r="M88" s="12" t="inlineStr">
        <is>
          <t>Second Class</t>
        </is>
      </c>
      <c r="N88" s="12" t="n">
        <v>3</v>
      </c>
      <c r="O88" s="12" t="n">
        <v>885.28</v>
      </c>
      <c r="P88" s="12" t="n">
        <v>0.1</v>
      </c>
      <c r="Q88" s="12" t="n">
        <v>2390.26</v>
      </c>
      <c r="R88" s="12" t="n">
        <v>1495.94</v>
      </c>
      <c r="S88" s="12" t="n">
        <v>894.3200000000001</v>
      </c>
      <c r="T88" s="12" t="inlineStr">
        <is>
          <t>Refunded</t>
        </is>
      </c>
      <c r="U88" s="12" t="inlineStr">
        <is>
          <t>Cancelled</t>
        </is>
      </c>
      <c r="V88">
        <f>IF(OR(P88="",P88&lt;0,P88&gt;0.5),0,P88)</f>
        <v/>
      </c>
      <c r="W88">
        <f>N88*O88*(1-V88)</f>
        <v/>
      </c>
      <c r="X88">
        <f>W88-R88</f>
        <v/>
      </c>
      <c r="Y88">
        <f>IF(W88=0,0,X88/W88)</f>
        <v/>
      </c>
      <c r="Z88">
        <f>C88-B88</f>
        <v/>
      </c>
      <c r="AA88">
        <f>TEXT(B88,"mmmm")</f>
        <v/>
      </c>
      <c r="AB88">
        <f>YEAR(B88)</f>
        <v/>
      </c>
      <c r="AC88">
        <f>IF(OR(P88&lt;0,P88&gt;0.5,C88&lt;B88),"INVALID","CLEAN")</f>
        <v/>
      </c>
    </row>
    <row r="89">
      <c r="A89" s="12" t="inlineStr">
        <is>
          <t>ORD-2024-10088</t>
        </is>
      </c>
      <c r="B89" s="12" t="inlineStr">
        <is>
          <t>02-08-2024</t>
        </is>
      </c>
      <c r="C89" s="12" t="inlineStr">
        <is>
          <t>2024-08-03</t>
        </is>
      </c>
      <c r="D89" s="12" t="inlineStr">
        <is>
          <t>CUST-5829</t>
        </is>
      </c>
      <c r="E89" s="12" t="inlineStr">
        <is>
          <t>Vikram Iyer</t>
        </is>
      </c>
      <c r="F89" s="12" t="inlineStr">
        <is>
          <t>Consumer</t>
        </is>
      </c>
      <c r="G89" s="12" t="inlineStr">
        <is>
          <t>East</t>
        </is>
      </c>
      <c r="H89" s="12" t="inlineStr">
        <is>
          <t>Assam</t>
        </is>
      </c>
      <c r="I89" s="12" t="inlineStr">
        <is>
          <t>Guwahati</t>
        </is>
      </c>
      <c r="J89" s="12" t="inlineStr">
        <is>
          <t>Office Supplies</t>
        </is>
      </c>
      <c r="K89" s="12" t="inlineStr">
        <is>
          <t>Binders</t>
        </is>
      </c>
      <c r="L89" s="12" t="inlineStr">
        <is>
          <t>Eco Binders 258</t>
        </is>
      </c>
      <c r="M89" s="12" t="inlineStr">
        <is>
          <t>Standard Class</t>
        </is>
      </c>
      <c r="N89" s="12" t="n">
        <v>7</v>
      </c>
      <c r="O89" s="12" t="n">
        <v>3345.22</v>
      </c>
      <c r="P89" s="12" t="n">
        <v>0</v>
      </c>
      <c r="Q89" s="12" t="n">
        <v>23416.54</v>
      </c>
      <c r="R89" s="12" t="n">
        <v>15490.89</v>
      </c>
      <c r="S89" s="12" t="n">
        <v>7925.65</v>
      </c>
      <c r="T89" s="12" t="inlineStr">
        <is>
          <t>Paid</t>
        </is>
      </c>
      <c r="U89" s="12" t="inlineStr">
        <is>
          <t>Completed</t>
        </is>
      </c>
      <c r="V89">
        <f>IF(OR(P89="",P89&lt;0,P89&gt;0.5),0,P89)</f>
        <v/>
      </c>
      <c r="W89">
        <f>N89*O89*(1-V89)</f>
        <v/>
      </c>
      <c r="X89">
        <f>W89-R89</f>
        <v/>
      </c>
      <c r="Y89">
        <f>IF(W89=0,0,X89/W89)</f>
        <v/>
      </c>
      <c r="Z89">
        <f>C89-B89</f>
        <v/>
      </c>
      <c r="AA89">
        <f>TEXT(B89,"mmmm")</f>
        <v/>
      </c>
      <c r="AB89">
        <f>YEAR(B89)</f>
        <v/>
      </c>
      <c r="AC89">
        <f>IF(OR(P89&lt;0,P89&gt;0.5,C89&lt;B89),"INVALID","CLEAN")</f>
        <v/>
      </c>
    </row>
    <row r="90">
      <c r="A90" s="12" t="inlineStr">
        <is>
          <t>ORD-2024-10089</t>
        </is>
      </c>
      <c r="B90" s="12" t="inlineStr">
        <is>
          <t>03/24/2024</t>
        </is>
      </c>
      <c r="C90" s="12" t="inlineStr">
        <is>
          <t>27 Mar 2024</t>
        </is>
      </c>
      <c r="D90" s="12" t="inlineStr">
        <is>
          <t>CUST-6059</t>
        </is>
      </c>
      <c r="E90" s="12" t="inlineStr">
        <is>
          <t>Rohan Mehta</t>
        </is>
      </c>
      <c r="F90" s="12" t="inlineStr">
        <is>
          <t>Small Business</t>
        </is>
      </c>
      <c r="G90" s="12" t="inlineStr">
        <is>
          <t>West</t>
        </is>
      </c>
      <c r="H90" s="12" t="inlineStr">
        <is>
          <t>Maharashtra</t>
        </is>
      </c>
      <c r="I90" s="12" t="inlineStr">
        <is>
          <t>Mumbai</t>
        </is>
      </c>
      <c r="J90" s="12" t="inlineStr">
        <is>
          <t>Furniture</t>
        </is>
      </c>
      <c r="K90" s="12" t="inlineStr">
        <is>
          <t>Bookcases</t>
        </is>
      </c>
      <c r="L90" s="12" t="inlineStr">
        <is>
          <t>Max Bookcases 398</t>
        </is>
      </c>
      <c r="M90" s="12" t="inlineStr">
        <is>
          <t>Standard Class</t>
        </is>
      </c>
      <c r="N90" s="12" t="n">
        <v>2</v>
      </c>
      <c r="O90" s="12" t="n">
        <v>3284.75</v>
      </c>
      <c r="P90" s="12" t="n">
        <v>0.05</v>
      </c>
      <c r="Q90" s="12" t="n">
        <v>6241.02</v>
      </c>
      <c r="R90" s="12" t="n">
        <v>5345.88</v>
      </c>
      <c r="S90" s="12" t="n">
        <v>895.14</v>
      </c>
      <c r="T90" s="12" t="inlineStr">
        <is>
          <t>Paid</t>
        </is>
      </c>
      <c r="U90" s="12" t="inlineStr">
        <is>
          <t>Completed</t>
        </is>
      </c>
      <c r="V90">
        <f>IF(OR(P90="",P90&lt;0,P90&gt;0.5),0,P90)</f>
        <v/>
      </c>
      <c r="W90">
        <f>N90*O90*(1-V90)</f>
        <v/>
      </c>
      <c r="X90">
        <f>W90-R90</f>
        <v/>
      </c>
      <c r="Y90">
        <f>IF(W90=0,0,X90/W90)</f>
        <v/>
      </c>
      <c r="Z90">
        <f>C90-B90</f>
        <v/>
      </c>
      <c r="AA90">
        <f>TEXT(B90,"mmmm")</f>
        <v/>
      </c>
      <c r="AB90">
        <f>YEAR(B90)</f>
        <v/>
      </c>
      <c r="AC90">
        <f>IF(OR(P90&lt;0,P90&gt;0.5,C90&lt;B90),"INVALID","CLEAN")</f>
        <v/>
      </c>
    </row>
    <row r="91">
      <c r="A91" s="12" t="inlineStr">
        <is>
          <t>ORD-2024-10090</t>
        </is>
      </c>
      <c r="B91" s="12" t="inlineStr">
        <is>
          <t>05 Sep 2024</t>
        </is>
      </c>
      <c r="C91" s="12" t="inlineStr">
        <is>
          <t>05 Sep 2024</t>
        </is>
      </c>
      <c r="D91" s="12" t="inlineStr">
        <is>
          <t>CUST-7744</t>
        </is>
      </c>
      <c r="E91" s="12" t="inlineStr">
        <is>
          <t>Kabir Singh</t>
        </is>
      </c>
      <c r="F91" s="12" t="inlineStr">
        <is>
          <t>Consumer</t>
        </is>
      </c>
      <c r="G91" s="12" t="inlineStr">
        <is>
          <t>South</t>
        </is>
      </c>
      <c r="H91" s="12" t="inlineStr">
        <is>
          <t>Andhra Pradesh</t>
        </is>
      </c>
      <c r="I91" s="12" t="inlineStr">
        <is>
          <t>Vijayawada</t>
        </is>
      </c>
      <c r="J91" s="12" t="inlineStr">
        <is>
          <t>Furniture</t>
        </is>
      </c>
      <c r="K91" s="12" t="inlineStr">
        <is>
          <t>Bookcases</t>
        </is>
      </c>
      <c r="L91" s="12" t="inlineStr">
        <is>
          <t>Smart Bookcases 857</t>
        </is>
      </c>
      <c r="M91" s="12" t="inlineStr">
        <is>
          <t>Standard Class</t>
        </is>
      </c>
      <c r="N91" s="12" t="n">
        <v>7</v>
      </c>
      <c r="O91" s="12" t="n">
        <v>3761.09</v>
      </c>
      <c r="P91" s="12" t="n">
        <v>0.2</v>
      </c>
      <c r="Q91" s="12" t="n">
        <v>21062.1</v>
      </c>
      <c r="R91" s="12" t="n">
        <v>12057.13</v>
      </c>
      <c r="S91" s="12" t="n">
        <v>9004.969999999999</v>
      </c>
      <c r="T91" s="12" t="inlineStr">
        <is>
          <t>Pending</t>
        </is>
      </c>
      <c r="U91" s="12" t="inlineStr">
        <is>
          <t>Cancelled</t>
        </is>
      </c>
      <c r="V91">
        <f>IF(OR(P91="",P91&lt;0,P91&gt;0.5),0,P91)</f>
        <v/>
      </c>
      <c r="W91">
        <f>N91*O91*(1-V91)</f>
        <v/>
      </c>
      <c r="X91">
        <f>W91-R91</f>
        <v/>
      </c>
      <c r="Y91">
        <f>IF(W91=0,0,X91/W91)</f>
        <v/>
      </c>
      <c r="Z91">
        <f>C91-B91</f>
        <v/>
      </c>
      <c r="AA91">
        <f>TEXT(B91,"mmmm")</f>
        <v/>
      </c>
      <c r="AB91">
        <f>YEAR(B91)</f>
        <v/>
      </c>
      <c r="AC91">
        <f>IF(OR(P91&lt;0,P91&gt;0.5,C91&lt;B91),"INVALID","CLEAN")</f>
        <v/>
      </c>
    </row>
    <row r="92">
      <c r="A92" s="12" t="inlineStr">
        <is>
          <t>ORD-2025-10091</t>
        </is>
      </c>
      <c r="B92" s="12" t="inlineStr">
        <is>
          <t>08/24/2025</t>
        </is>
      </c>
      <c r="C92" s="12" t="inlineStr">
        <is>
          <t>29 Aug 2025</t>
        </is>
      </c>
      <c r="D92" s="12" t="inlineStr">
        <is>
          <t>CUST-5909</t>
        </is>
      </c>
      <c r="E92" s="12" t="inlineStr">
        <is>
          <t>Aarav Sharma</t>
        </is>
      </c>
      <c r="F92" s="12" t="inlineStr">
        <is>
          <t>Small Business</t>
        </is>
      </c>
      <c r="G92" s="12" t="inlineStr">
        <is>
          <t>East</t>
        </is>
      </c>
      <c r="H92" s="12" t="inlineStr">
        <is>
          <t>Bihar</t>
        </is>
      </c>
      <c r="I92" s="12" t="inlineStr">
        <is>
          <t>Patna</t>
        </is>
      </c>
      <c r="J92" s="12" t="inlineStr">
        <is>
          <t>Technology</t>
        </is>
      </c>
      <c r="K92" s="12" t="inlineStr">
        <is>
          <t>Copiers</t>
        </is>
      </c>
      <c r="L92" s="12" t="inlineStr">
        <is>
          <t>Smart Copiers 556</t>
        </is>
      </c>
      <c r="M92" s="12" t="inlineStr">
        <is>
          <t>First Class</t>
        </is>
      </c>
      <c r="N92" s="12" t="n">
        <v>3</v>
      </c>
      <c r="O92" s="12" t="n">
        <v>3703.96</v>
      </c>
      <c r="P92" s="12" t="n">
        <v>0.15</v>
      </c>
      <c r="Q92" s="12" t="n">
        <v>9445.1</v>
      </c>
      <c r="R92" s="12" t="n">
        <v>5586.28</v>
      </c>
      <c r="S92" s="12" t="n">
        <v>3858.82</v>
      </c>
      <c r="T92" s="12" t="inlineStr">
        <is>
          <t>Paid</t>
        </is>
      </c>
      <c r="U92" s="12" t="inlineStr">
        <is>
          <t>Completed</t>
        </is>
      </c>
      <c r="V92">
        <f>IF(OR(P92="",P92&lt;0,P92&gt;0.5),0,P92)</f>
        <v/>
      </c>
      <c r="W92">
        <f>N92*O92*(1-V92)</f>
        <v/>
      </c>
      <c r="X92">
        <f>W92-R92</f>
        <v/>
      </c>
      <c r="Y92">
        <f>IF(W92=0,0,X92/W92)</f>
        <v/>
      </c>
      <c r="Z92">
        <f>C92-B92</f>
        <v/>
      </c>
      <c r="AA92">
        <f>TEXT(B92,"mmmm")</f>
        <v/>
      </c>
      <c r="AB92">
        <f>YEAR(B92)</f>
        <v/>
      </c>
      <c r="AC92">
        <f>IF(OR(P92&lt;0,P92&gt;0.5,C92&lt;B92),"INVALID","CLEAN")</f>
        <v/>
      </c>
    </row>
    <row r="93">
      <c r="A93" s="12" t="inlineStr">
        <is>
          <t>ORD-2025-10092</t>
        </is>
      </c>
      <c r="B93" s="12" t="inlineStr">
        <is>
          <t>02-03-2025</t>
        </is>
      </c>
      <c r="C93" s="12" t="inlineStr">
        <is>
          <t>03/08/2025</t>
        </is>
      </c>
      <c r="D93" s="12" t="inlineStr">
        <is>
          <t>CUST-6409</t>
        </is>
      </c>
      <c r="E93" s="12" t="inlineStr">
        <is>
          <t>Sneha Kapoor</t>
        </is>
      </c>
      <c r="F93" s="12" t="inlineStr">
        <is>
          <t>Corporate</t>
        </is>
      </c>
      <c r="G93" s="12" t="inlineStr">
        <is>
          <t>West</t>
        </is>
      </c>
      <c r="H93" s="12" t="inlineStr">
        <is>
          <t>Madhya Pradesh</t>
        </is>
      </c>
      <c r="I93" s="12" t="inlineStr">
        <is>
          <t>Indore</t>
        </is>
      </c>
      <c r="J93" s="12" t="inlineStr">
        <is>
          <t>Technology</t>
        </is>
      </c>
      <c r="K93" s="12" t="inlineStr">
        <is>
          <t>Copiers</t>
        </is>
      </c>
      <c r="L93" s="12" t="inlineStr">
        <is>
          <t>Prime Copiers 575</t>
        </is>
      </c>
      <c r="M93" s="12" t="inlineStr">
        <is>
          <t>Second Class</t>
        </is>
      </c>
      <c r="N93" s="12" t="n">
        <v>9</v>
      </c>
      <c r="O93" s="12" t="n">
        <v>269.68</v>
      </c>
      <c r="P93" s="12" t="n">
        <v>0</v>
      </c>
      <c r="Q93" s="12" t="n">
        <v>2427.12</v>
      </c>
      <c r="R93" s="12" t="n">
        <v>1538.35</v>
      </c>
      <c r="S93" s="12" t="n">
        <v>804.53</v>
      </c>
      <c r="T93" s="12" t="inlineStr">
        <is>
          <t>Paid</t>
        </is>
      </c>
      <c r="U93" s="12" t="inlineStr">
        <is>
          <t>Completed</t>
        </is>
      </c>
      <c r="V93">
        <f>IF(OR(P93="",P93&lt;0,P93&gt;0.5),0,P93)</f>
        <v/>
      </c>
      <c r="W93">
        <f>N93*O93*(1-V93)</f>
        <v/>
      </c>
      <c r="X93">
        <f>W93-R93</f>
        <v/>
      </c>
      <c r="Y93">
        <f>IF(W93=0,0,X93/W93)</f>
        <v/>
      </c>
      <c r="Z93">
        <f>C93-B93</f>
        <v/>
      </c>
      <c r="AA93">
        <f>TEXT(B93,"mmmm")</f>
        <v/>
      </c>
      <c r="AB93">
        <f>YEAR(B93)</f>
        <v/>
      </c>
      <c r="AC93">
        <f>IF(OR(P93&lt;0,P93&gt;0.5,C93&lt;B93),"INVALID","CLEAN")</f>
        <v/>
      </c>
    </row>
    <row r="94">
      <c r="A94" s="12" t="inlineStr">
        <is>
          <t>ORD-2025-10093</t>
        </is>
      </c>
      <c r="B94" s="12" t="inlineStr">
        <is>
          <t>23 Jan 2025</t>
        </is>
      </c>
      <c r="C94" s="12" t="inlineStr">
        <is>
          <t>01/26/2025</t>
        </is>
      </c>
      <c r="D94" s="12" t="inlineStr">
        <is>
          <t>CUST-3014</t>
        </is>
      </c>
      <c r="E94" s="12" t="inlineStr">
        <is>
          <t>Aarav Sharma</t>
        </is>
      </c>
      <c r="F94" s="12" t="inlineStr">
        <is>
          <t>Consumer</t>
        </is>
      </c>
      <c r="G94" s="12" t="inlineStr">
        <is>
          <t>West</t>
        </is>
      </c>
      <c r="H94" s="12" t="inlineStr">
        <is>
          <t>Madhya Pradesh</t>
        </is>
      </c>
      <c r="I94" s="12" t="inlineStr">
        <is>
          <t>Indore</t>
        </is>
      </c>
      <c r="J94" s="12" t="inlineStr">
        <is>
          <t>Office Supplies</t>
        </is>
      </c>
      <c r="K94" s="12" t="inlineStr">
        <is>
          <t>Paper</t>
        </is>
      </c>
      <c r="L94" s="12" t="inlineStr">
        <is>
          <t>Elite Paper 669</t>
        </is>
      </c>
      <c r="M94" s="12" t="inlineStr">
        <is>
          <t>Standard Class</t>
        </is>
      </c>
      <c r="N94" s="12" t="n">
        <v>9</v>
      </c>
      <c r="O94" s="12" t="n">
        <v>4458.26</v>
      </c>
      <c r="P94" s="12" t="n">
        <v>0.1</v>
      </c>
      <c r="Q94" s="12" t="n">
        <v>36111.91</v>
      </c>
      <c r="R94" s="12" t="n">
        <v>29194.5</v>
      </c>
      <c r="S94" s="12" t="n">
        <v>6917.41</v>
      </c>
      <c r="T94" s="12" t="inlineStr">
        <is>
          <t>Paid</t>
        </is>
      </c>
      <c r="U94" s="12" t="inlineStr">
        <is>
          <t>Completed</t>
        </is>
      </c>
      <c r="V94">
        <f>IF(OR(P94="",P94&lt;0,P94&gt;0.5),0,P94)</f>
        <v/>
      </c>
      <c r="W94">
        <f>N94*O94*(1-V94)</f>
        <v/>
      </c>
      <c r="X94">
        <f>W94-R94</f>
        <v/>
      </c>
      <c r="Y94">
        <f>IF(W94=0,0,X94/W94)</f>
        <v/>
      </c>
      <c r="Z94">
        <f>C94-B94</f>
        <v/>
      </c>
      <c r="AA94">
        <f>TEXT(B94,"mmmm")</f>
        <v/>
      </c>
      <c r="AB94">
        <f>YEAR(B94)</f>
        <v/>
      </c>
      <c r="AC94">
        <f>IF(OR(P94&lt;0,P94&gt;0.5,C94&lt;B94),"INVALID","CLEAN")</f>
        <v/>
      </c>
    </row>
    <row r="95">
      <c r="A95" s="12" t="inlineStr">
        <is>
          <t>ORD-2024-10094</t>
        </is>
      </c>
      <c r="B95" s="12" t="inlineStr">
        <is>
          <t>01/07/2024</t>
        </is>
      </c>
      <c r="C95" s="12" t="inlineStr">
        <is>
          <t>13-01-2024</t>
        </is>
      </c>
      <c r="D95" s="12" t="inlineStr">
        <is>
          <t>CUST-6106</t>
        </is>
      </c>
      <c r="E95" s="12" t="inlineStr">
        <is>
          <t>Rohan Mehta</t>
        </is>
      </c>
      <c r="F95" s="12" t="inlineStr">
        <is>
          <t>Corporate</t>
        </is>
      </c>
      <c r="G95" s="12" t="inlineStr">
        <is>
          <t>North</t>
        </is>
      </c>
      <c r="H95" s="12" t="inlineStr">
        <is>
          <t>Uttar Pradesh</t>
        </is>
      </c>
      <c r="I95" s="12" t="inlineStr">
        <is>
          <t>Noida</t>
        </is>
      </c>
      <c r="J95" s="12" t="inlineStr">
        <is>
          <t>Office Supplies</t>
        </is>
      </c>
      <c r="K95" s="12" t="inlineStr">
        <is>
          <t>Binders</t>
        </is>
      </c>
      <c r="L95" s="12" t="inlineStr">
        <is>
          <t>Eco Binders 780</t>
        </is>
      </c>
      <c r="M95" s="12" t="inlineStr">
        <is>
          <t>Standard Class</t>
        </is>
      </c>
      <c r="N95" s="12" t="n">
        <v>7</v>
      </c>
      <c r="O95" s="12" t="n">
        <v>2788.97</v>
      </c>
      <c r="P95" s="12" t="n">
        <v>-0.09</v>
      </c>
      <c r="Q95" s="12" t="n">
        <v>19522.79</v>
      </c>
      <c r="R95" s="12" t="n">
        <v>12455.78</v>
      </c>
      <c r="S95" s="12" t="n">
        <v>7067.01</v>
      </c>
      <c r="T95" s="12" t="inlineStr">
        <is>
          <t>Paid</t>
        </is>
      </c>
      <c r="U95" s="12" t="inlineStr">
        <is>
          <t>Completed</t>
        </is>
      </c>
      <c r="V95">
        <f>IF(OR(P95="",P95&lt;0,P95&gt;0.5),0,P95)</f>
        <v/>
      </c>
      <c r="W95">
        <f>N95*O95*(1-V95)</f>
        <v/>
      </c>
      <c r="X95">
        <f>W95-R95</f>
        <v/>
      </c>
      <c r="Y95">
        <f>IF(W95=0,0,X95/W95)</f>
        <v/>
      </c>
      <c r="Z95">
        <f>C95-B95</f>
        <v/>
      </c>
      <c r="AA95">
        <f>TEXT(B95,"mmmm")</f>
        <v/>
      </c>
      <c r="AB95">
        <f>YEAR(B95)</f>
        <v/>
      </c>
      <c r="AC95">
        <f>IF(OR(P95&lt;0,P95&gt;0.5,C95&lt;B95),"INVALID","CLEAN")</f>
        <v/>
      </c>
    </row>
    <row r="96">
      <c r="A96" s="12" t="inlineStr">
        <is>
          <t>ORD-2024-10095</t>
        </is>
      </c>
      <c r="B96" s="12" t="inlineStr">
        <is>
          <t>09/06/2024</t>
        </is>
      </c>
      <c r="C96" s="12" t="inlineStr">
        <is>
          <t>09 Sep 2024</t>
        </is>
      </c>
      <c r="D96" s="12" t="inlineStr">
        <is>
          <t>CUST-1926</t>
        </is>
      </c>
      <c r="E96" s="12" t="inlineStr">
        <is>
          <t>Diya Patel</t>
        </is>
      </c>
      <c r="F96" s="12" t="inlineStr">
        <is>
          <t>Consumer</t>
        </is>
      </c>
      <c r="G96" s="12" t="inlineStr">
        <is>
          <t>North</t>
        </is>
      </c>
      <c r="H96" s="12" t="inlineStr">
        <is>
          <t>Haryana</t>
        </is>
      </c>
      <c r="I96" s="12" t="inlineStr">
        <is>
          <t>Gurugram</t>
        </is>
      </c>
      <c r="J96" s="12" t="inlineStr">
        <is>
          <t>Technology</t>
        </is>
      </c>
      <c r="K96" s="12" t="inlineStr">
        <is>
          <t>Phones</t>
        </is>
      </c>
      <c r="L96" s="12" t="inlineStr">
        <is>
          <t>Elite Phones 723</t>
        </is>
      </c>
      <c r="M96" s="12" t="inlineStr">
        <is>
          <t>Second Class</t>
        </is>
      </c>
      <c r="N96" s="12" t="n">
        <v>7</v>
      </c>
      <c r="O96" s="12" t="n">
        <v>3781.53</v>
      </c>
      <c r="P96" s="12" t="n">
        <v>0</v>
      </c>
      <c r="Q96" s="12" t="n">
        <v>26470.71</v>
      </c>
      <c r="R96" s="12" t="n">
        <v>21367.6</v>
      </c>
      <c r="S96" s="12" t="n">
        <v>5103.11</v>
      </c>
      <c r="T96" s="12" t="inlineStr">
        <is>
          <t>Pending</t>
        </is>
      </c>
      <c r="U96" s="12" t="inlineStr">
        <is>
          <t>Cancelled</t>
        </is>
      </c>
      <c r="V96">
        <f>IF(OR(P96="",P96&lt;0,P96&gt;0.5),0,P96)</f>
        <v/>
      </c>
      <c r="W96">
        <f>N96*O96*(1-V96)</f>
        <v/>
      </c>
      <c r="X96">
        <f>W96-R96</f>
        <v/>
      </c>
      <c r="Y96">
        <f>IF(W96=0,0,X96/W96)</f>
        <v/>
      </c>
      <c r="Z96">
        <f>C96-B96</f>
        <v/>
      </c>
      <c r="AA96">
        <f>TEXT(B96,"mmmm")</f>
        <v/>
      </c>
      <c r="AB96">
        <f>YEAR(B96)</f>
        <v/>
      </c>
      <c r="AC96">
        <f>IF(OR(P96&lt;0,P96&gt;0.5,C96&lt;B96),"INVALID","CLEAN")</f>
        <v/>
      </c>
    </row>
    <row r="97">
      <c r="A97" s="12" t="inlineStr">
        <is>
          <t>ORD-2025-10096</t>
        </is>
      </c>
      <c r="B97" s="12" t="inlineStr">
        <is>
          <t>05-09-2025</t>
        </is>
      </c>
      <c r="C97" s="12" t="inlineStr">
        <is>
          <t>09/10/2025</t>
        </is>
      </c>
      <c r="D97" s="12" t="inlineStr">
        <is>
          <t>CUST-2687</t>
        </is>
      </c>
      <c r="E97" s="12" t="inlineStr">
        <is>
          <t>Sneha Kapoor</t>
        </is>
      </c>
      <c r="F97" s="12" t="inlineStr">
        <is>
          <t>Corporate</t>
        </is>
      </c>
      <c r="G97" s="12" t="inlineStr">
        <is>
          <t>West</t>
        </is>
      </c>
      <c r="H97" s="12" t="inlineStr">
        <is>
          <t>Goa</t>
        </is>
      </c>
      <c r="I97" s="12" t="inlineStr">
        <is>
          <t>Panaji</t>
        </is>
      </c>
      <c r="J97" s="12" t="inlineStr">
        <is>
          <t>Furniture</t>
        </is>
      </c>
      <c r="K97" s="12" t="inlineStr">
        <is>
          <t>Bookcases</t>
        </is>
      </c>
      <c r="L97" s="12" t="inlineStr">
        <is>
          <t>Classic Bookcases 988</t>
        </is>
      </c>
      <c r="M97" s="12" t="inlineStr">
        <is>
          <t>Same Day</t>
        </is>
      </c>
      <c r="N97" s="12" t="n">
        <v>6</v>
      </c>
      <c r="O97" s="12" t="n">
        <v>1754.13</v>
      </c>
      <c r="P97" s="12" t="n">
        <v>0</v>
      </c>
      <c r="Q97" s="12" t="n">
        <v>10524.78</v>
      </c>
      <c r="R97" s="12" t="n">
        <v>8841.049999999999</v>
      </c>
      <c r="S97" s="12" t="n">
        <v>1683.73</v>
      </c>
      <c r="T97" s="12" t="inlineStr">
        <is>
          <t>Paid</t>
        </is>
      </c>
      <c r="U97" s="12" t="inlineStr">
        <is>
          <t>Completed</t>
        </is>
      </c>
      <c r="V97">
        <f>IF(OR(P97="",P97&lt;0,P97&gt;0.5),0,P97)</f>
        <v/>
      </c>
      <c r="W97">
        <f>N97*O97*(1-V97)</f>
        <v/>
      </c>
      <c r="X97">
        <f>W97-R97</f>
        <v/>
      </c>
      <c r="Y97">
        <f>IF(W97=0,0,X97/W97)</f>
        <v/>
      </c>
      <c r="Z97">
        <f>C97-B97</f>
        <v/>
      </c>
      <c r="AA97">
        <f>TEXT(B97,"mmmm")</f>
        <v/>
      </c>
      <c r="AB97">
        <f>YEAR(B97)</f>
        <v/>
      </c>
      <c r="AC97">
        <f>IF(OR(P97&lt;0,P97&gt;0.5,C97&lt;B97),"INVALID","CLEAN")</f>
        <v/>
      </c>
    </row>
    <row r="98">
      <c r="A98" s="12" t="inlineStr">
        <is>
          <t>ORD-2024-10097</t>
        </is>
      </c>
      <c r="B98" s="12" t="inlineStr">
        <is>
          <t>05 Jun 2024</t>
        </is>
      </c>
      <c r="C98" s="12" t="inlineStr">
        <is>
          <t>07-06-2024</t>
        </is>
      </c>
      <c r="D98" s="12" t="inlineStr">
        <is>
          <t>CUST-7283</t>
        </is>
      </c>
      <c r="E98" s="12" t="inlineStr">
        <is>
          <t>Rahul Verma</t>
        </is>
      </c>
      <c r="F98" s="12" t="inlineStr">
        <is>
          <t>Home Office</t>
        </is>
      </c>
      <c r="G98" s="12" t="inlineStr">
        <is>
          <t>East</t>
        </is>
      </c>
      <c r="H98" s="12" t="inlineStr">
        <is>
          <t>Odisha</t>
        </is>
      </c>
      <c r="I98" s="12" t="inlineStr">
        <is>
          <t>Bhubaneswar</t>
        </is>
      </c>
      <c r="J98" s="12" t="inlineStr">
        <is>
          <t>Technology</t>
        </is>
      </c>
      <c r="K98" s="12" t="inlineStr">
        <is>
          <t>Copiers</t>
        </is>
      </c>
      <c r="L98" s="12" t="inlineStr">
        <is>
          <t>Smart Copiers 547</t>
        </is>
      </c>
      <c r="M98" s="12" t="inlineStr">
        <is>
          <t>Second Class</t>
        </is>
      </c>
      <c r="N98" s="12" t="n">
        <v>2</v>
      </c>
      <c r="O98" s="12" t="n">
        <v>2259.24</v>
      </c>
      <c r="P98" s="12" t="n">
        <v>0.15</v>
      </c>
      <c r="Q98" s="12" t="n">
        <v>3840.71</v>
      </c>
      <c r="R98" s="12" t="n">
        <v>2516.29</v>
      </c>
      <c r="S98" s="12" t="n">
        <v>1324.42</v>
      </c>
      <c r="T98" s="12" t="inlineStr">
        <is>
          <t>Paid</t>
        </is>
      </c>
      <c r="U98" s="12" t="inlineStr">
        <is>
          <t>Completed</t>
        </is>
      </c>
      <c r="V98">
        <f>IF(OR(P98="",P98&lt;0,P98&gt;0.5),0,P98)</f>
        <v/>
      </c>
      <c r="W98">
        <f>N98*O98*(1-V98)</f>
        <v/>
      </c>
      <c r="X98">
        <f>W98-R98</f>
        <v/>
      </c>
      <c r="Y98">
        <f>IF(W98=0,0,X98/W98)</f>
        <v/>
      </c>
      <c r="Z98">
        <f>C98-B98</f>
        <v/>
      </c>
      <c r="AA98">
        <f>TEXT(B98,"mmmm")</f>
        <v/>
      </c>
      <c r="AB98">
        <f>YEAR(B98)</f>
        <v/>
      </c>
      <c r="AC98">
        <f>IF(OR(P98&lt;0,P98&gt;0.5,C98&lt;B98),"INVALID","CLEAN")</f>
        <v/>
      </c>
    </row>
    <row r="99">
      <c r="A99" s="12" t="inlineStr">
        <is>
          <t>ORD-2025-10098</t>
        </is>
      </c>
      <c r="B99" s="12" t="inlineStr">
        <is>
          <t>08 Aug 2025</t>
        </is>
      </c>
      <c r="C99" s="12" t="inlineStr">
        <is>
          <t>2025-08-11</t>
        </is>
      </c>
      <c r="D99" s="12" t="inlineStr">
        <is>
          <t>CUST-8111</t>
        </is>
      </c>
      <c r="E99" s="12" t="inlineStr">
        <is>
          <t>Diya Patel</t>
        </is>
      </c>
      <c r="F99" s="12" t="inlineStr">
        <is>
          <t>Small Business</t>
        </is>
      </c>
      <c r="G99" s="12" t="inlineStr">
        <is>
          <t>West</t>
        </is>
      </c>
      <c r="H99" s="12" t="inlineStr">
        <is>
          <t>Gujarat</t>
        </is>
      </c>
      <c r="I99" s="12" t="inlineStr">
        <is>
          <t>Ahmedabad</t>
        </is>
      </c>
      <c r="J99" s="12" t="inlineStr">
        <is>
          <t>Office Supplies</t>
        </is>
      </c>
      <c r="K99" s="12" t="inlineStr">
        <is>
          <t>Storage</t>
        </is>
      </c>
      <c r="L99" s="12" t="inlineStr">
        <is>
          <t>Basic Storage 656</t>
        </is>
      </c>
      <c r="M99" s="12" t="inlineStr">
        <is>
          <t>Same Day</t>
        </is>
      </c>
      <c r="N99" s="12" t="n">
        <v>5</v>
      </c>
      <c r="O99" s="12" t="n">
        <v>3602.36</v>
      </c>
      <c r="P99" s="12" t="n">
        <v>0.2</v>
      </c>
      <c r="Q99" s="12" t="n">
        <v>14409.44</v>
      </c>
      <c r="R99" s="12" t="n">
        <v>8809.969999999999</v>
      </c>
      <c r="S99" s="12" t="n">
        <v>5599.47</v>
      </c>
      <c r="T99" s="12" t="inlineStr">
        <is>
          <t>Pending</t>
        </is>
      </c>
      <c r="U99" s="12" t="inlineStr">
        <is>
          <t>Returned</t>
        </is>
      </c>
      <c r="V99">
        <f>IF(OR(P99="",P99&lt;0,P99&gt;0.5),0,P99)</f>
        <v/>
      </c>
      <c r="W99">
        <f>N99*O99*(1-V99)</f>
        <v/>
      </c>
      <c r="X99">
        <f>W99-R99</f>
        <v/>
      </c>
      <c r="Y99">
        <f>IF(W99=0,0,X99/W99)</f>
        <v/>
      </c>
      <c r="Z99">
        <f>C99-B99</f>
        <v/>
      </c>
      <c r="AA99">
        <f>TEXT(B99,"mmmm")</f>
        <v/>
      </c>
      <c r="AB99">
        <f>YEAR(B99)</f>
        <v/>
      </c>
      <c r="AC99">
        <f>IF(OR(P99&lt;0,P99&gt;0.5,C99&lt;B99),"INVALID","CLEAN")</f>
        <v/>
      </c>
    </row>
    <row r="100">
      <c r="A100" s="12" t="inlineStr">
        <is>
          <t>ORD-2024-10099</t>
        </is>
      </c>
      <c r="B100" s="12" t="inlineStr">
        <is>
          <t>2024-01-26</t>
        </is>
      </c>
      <c r="C100" s="12" t="inlineStr">
        <is>
          <t>02/01/2024</t>
        </is>
      </c>
      <c r="D100" s="12" t="inlineStr">
        <is>
          <t>CUST-5434</t>
        </is>
      </c>
      <c r="E100" s="12" t="inlineStr">
        <is>
          <t>Rohan Mehta</t>
        </is>
      </c>
      <c r="F100" s="12" t="inlineStr">
        <is>
          <t>Home Office</t>
        </is>
      </c>
      <c r="G100" s="12" t="inlineStr">
        <is>
          <t>South</t>
        </is>
      </c>
      <c r="H100" s="12" t="inlineStr">
        <is>
          <t>Kerala</t>
        </is>
      </c>
      <c r="I100" s="12" t="inlineStr">
        <is>
          <t>Kochi</t>
        </is>
      </c>
      <c r="J100" s="12" t="inlineStr">
        <is>
          <t>Technology</t>
        </is>
      </c>
      <c r="K100" s="12" t="inlineStr">
        <is>
          <t>Copiers</t>
        </is>
      </c>
      <c r="L100" s="12" t="inlineStr">
        <is>
          <t>Elite Copiers 785</t>
        </is>
      </c>
      <c r="M100" s="12" t="n"/>
      <c r="N100" s="12" t="n">
        <v>8</v>
      </c>
      <c r="O100" s="12" t="n">
        <v>2108.93</v>
      </c>
      <c r="P100" s="12" t="n">
        <v>0.1</v>
      </c>
      <c r="Q100" s="12" t="n">
        <v>15184.3</v>
      </c>
      <c r="R100" s="12" t="n">
        <v>11270.74</v>
      </c>
      <c r="S100" s="12" t="n">
        <v>3913.56</v>
      </c>
      <c r="T100" s="12" t="inlineStr">
        <is>
          <t>Paid</t>
        </is>
      </c>
      <c r="U100" s="12" t="inlineStr">
        <is>
          <t>Completed</t>
        </is>
      </c>
      <c r="V100">
        <f>IF(OR(P100="",P100&lt;0,P100&gt;0.5),0,P100)</f>
        <v/>
      </c>
      <c r="W100">
        <f>N100*O100*(1-V100)</f>
        <v/>
      </c>
      <c r="X100">
        <f>W100-R100</f>
        <v/>
      </c>
      <c r="Y100">
        <f>IF(W100=0,0,X100/W100)</f>
        <v/>
      </c>
      <c r="Z100">
        <f>C100-B100</f>
        <v/>
      </c>
      <c r="AA100">
        <f>TEXT(B100,"mmmm")</f>
        <v/>
      </c>
      <c r="AB100">
        <f>YEAR(B100)</f>
        <v/>
      </c>
      <c r="AC100">
        <f>IF(OR(P100&lt;0,P100&gt;0.5,C100&lt;B100),"INVALID","CLEAN")</f>
        <v/>
      </c>
    </row>
    <row r="101">
      <c r="A101" s="12" t="inlineStr">
        <is>
          <t>ORD-2025-10100</t>
        </is>
      </c>
      <c r="B101" s="12" t="inlineStr">
        <is>
          <t>11-01-2025</t>
        </is>
      </c>
      <c r="C101" s="12" t="inlineStr">
        <is>
          <t>11-01-2025</t>
        </is>
      </c>
      <c r="D101" s="12" t="inlineStr">
        <is>
          <t>CUST-3865</t>
        </is>
      </c>
      <c r="E101" s="12" t="inlineStr">
        <is>
          <t>Aditi Sen</t>
        </is>
      </c>
      <c r="F101" s="12" t="inlineStr">
        <is>
          <t>Small Business</t>
        </is>
      </c>
      <c r="G101" s="12" t="inlineStr">
        <is>
          <t>West</t>
        </is>
      </c>
      <c r="H101" s="12" t="inlineStr">
        <is>
          <t>Rajasthan</t>
        </is>
      </c>
      <c r="I101" s="12" t="inlineStr">
        <is>
          <t>Udaipur</t>
        </is>
      </c>
      <c r="J101" s="12" t="inlineStr">
        <is>
          <t>Technology</t>
        </is>
      </c>
      <c r="K101" s="12" t="inlineStr">
        <is>
          <t>Accessories</t>
        </is>
      </c>
      <c r="L101" s="12" t="inlineStr">
        <is>
          <t>Smart Accessories 542</t>
        </is>
      </c>
      <c r="M101" s="12" t="inlineStr">
        <is>
          <t>Same Day</t>
        </is>
      </c>
      <c r="N101" s="12" t="n">
        <v>3</v>
      </c>
      <c r="O101" s="12" t="n">
        <v>2165.29</v>
      </c>
      <c r="P101" s="12" t="n">
        <v>0</v>
      </c>
      <c r="Q101" s="12" t="n">
        <v>6495.87</v>
      </c>
      <c r="R101" s="12" t="n">
        <v>4700.89</v>
      </c>
      <c r="S101" s="12" t="n">
        <v>1794.98</v>
      </c>
      <c r="T101" s="12" t="inlineStr">
        <is>
          <t>Paid</t>
        </is>
      </c>
      <c r="U101" s="12" t="inlineStr">
        <is>
          <t>Completed</t>
        </is>
      </c>
      <c r="V101">
        <f>IF(OR(P101="",P101&lt;0,P101&gt;0.5),0,P101)</f>
        <v/>
      </c>
      <c r="W101">
        <f>N101*O101*(1-V101)</f>
        <v/>
      </c>
      <c r="X101">
        <f>W101-R101</f>
        <v/>
      </c>
      <c r="Y101">
        <f>IF(W101=0,0,X101/W101)</f>
        <v/>
      </c>
      <c r="Z101">
        <f>C101-B101</f>
        <v/>
      </c>
      <c r="AA101">
        <f>TEXT(B101,"mmmm")</f>
        <v/>
      </c>
      <c r="AB101">
        <f>YEAR(B101)</f>
        <v/>
      </c>
      <c r="AC101">
        <f>IF(OR(P101&lt;0,P101&gt;0.5,C101&lt;B101),"INVALID","CLEAN")</f>
        <v/>
      </c>
    </row>
    <row r="102">
      <c r="A102" s="12" t="inlineStr">
        <is>
          <t>ORD-2025-10101</t>
        </is>
      </c>
      <c r="B102" s="12" t="inlineStr">
        <is>
          <t>12 Sep 2025</t>
        </is>
      </c>
      <c r="C102" s="12" t="inlineStr">
        <is>
          <t>18 Sep 2025</t>
        </is>
      </c>
      <c r="D102" s="12" t="inlineStr">
        <is>
          <t>CUST-6015</t>
        </is>
      </c>
      <c r="E102" s="12" t="inlineStr">
        <is>
          <t>Aarav Sharma</t>
        </is>
      </c>
      <c r="F102" s="12" t="inlineStr">
        <is>
          <t>Home Office</t>
        </is>
      </c>
      <c r="G102" s="12" t="inlineStr">
        <is>
          <t>South</t>
        </is>
      </c>
      <c r="H102" s="12" t="inlineStr">
        <is>
          <t>Kerala</t>
        </is>
      </c>
      <c r="I102" s="12" t="inlineStr">
        <is>
          <t>Kochi</t>
        </is>
      </c>
      <c r="J102" s="12" t="inlineStr">
        <is>
          <t>Office Supplies</t>
        </is>
      </c>
      <c r="K102" s="12" t="inlineStr">
        <is>
          <t>Storage</t>
        </is>
      </c>
      <c r="L102" s="12" t="inlineStr">
        <is>
          <t>Eco Storage 936</t>
        </is>
      </c>
      <c r="M102" s="12" t="inlineStr">
        <is>
          <t>Standard Class</t>
        </is>
      </c>
      <c r="N102" s="12" t="n">
        <v>6</v>
      </c>
      <c r="O102" s="12" t="n">
        <v>1673.8</v>
      </c>
      <c r="P102" s="12" t="n">
        <v>0.05</v>
      </c>
      <c r="Q102" s="12" t="n">
        <v>9540.66</v>
      </c>
      <c r="R102" s="12" t="n">
        <v>5561.49</v>
      </c>
      <c r="S102" s="12" t="n">
        <v>3979.17</v>
      </c>
      <c r="T102" s="12" t="inlineStr">
        <is>
          <t>Paid</t>
        </is>
      </c>
      <c r="U102" s="12" t="inlineStr">
        <is>
          <t>Completed</t>
        </is>
      </c>
      <c r="V102">
        <f>IF(OR(P102="",P102&lt;0,P102&gt;0.5),0,P102)</f>
        <v/>
      </c>
      <c r="W102">
        <f>N102*O102*(1-V102)</f>
        <v/>
      </c>
      <c r="X102">
        <f>W102-R102</f>
        <v/>
      </c>
      <c r="Y102">
        <f>IF(W102=0,0,X102/W102)</f>
        <v/>
      </c>
      <c r="Z102">
        <f>C102-B102</f>
        <v/>
      </c>
      <c r="AA102">
        <f>TEXT(B102,"mmmm")</f>
        <v/>
      </c>
      <c r="AB102">
        <f>YEAR(B102)</f>
        <v/>
      </c>
      <c r="AC102">
        <f>IF(OR(P102&lt;0,P102&gt;0.5,C102&lt;B102),"INVALID","CLEAN")</f>
        <v/>
      </c>
    </row>
    <row r="103">
      <c r="A103" s="12" t="inlineStr">
        <is>
          <t>ORD-2024-10102</t>
        </is>
      </c>
      <c r="B103" s="12" t="inlineStr">
        <is>
          <t>06/22/2024</t>
        </is>
      </c>
      <c r="C103" s="12" t="inlineStr">
        <is>
          <t>26-06-2024</t>
        </is>
      </c>
      <c r="D103" s="12" t="inlineStr">
        <is>
          <t>CUST-7909</t>
        </is>
      </c>
      <c r="E103" s="12" t="inlineStr">
        <is>
          <t>Rohan Mehta</t>
        </is>
      </c>
      <c r="F103" s="12" t="inlineStr">
        <is>
          <t xml:space="preserve">  Home Office </t>
        </is>
      </c>
      <c r="G103" s="12" t="inlineStr">
        <is>
          <t>East</t>
        </is>
      </c>
      <c r="H103" s="12" t="inlineStr">
        <is>
          <t>Bihar</t>
        </is>
      </c>
      <c r="I103" s="12" t="inlineStr">
        <is>
          <t>Patna</t>
        </is>
      </c>
      <c r="J103" s="12" t="inlineStr">
        <is>
          <t>Furniture</t>
        </is>
      </c>
      <c r="K103" s="12" t="inlineStr">
        <is>
          <t>Furnishings</t>
        </is>
      </c>
      <c r="L103" s="12" t="inlineStr">
        <is>
          <t>Classic Furnishings 682</t>
        </is>
      </c>
      <c r="M103" s="12" t="inlineStr">
        <is>
          <t>First Class</t>
        </is>
      </c>
      <c r="N103" s="12" t="n">
        <v>5</v>
      </c>
      <c r="O103" s="12" t="n">
        <v>4396.52</v>
      </c>
      <c r="P103" s="12" t="n">
        <v>0.25</v>
      </c>
      <c r="Q103" s="12" t="n">
        <v>16486.95</v>
      </c>
      <c r="R103" s="12" t="n">
        <v>12054.14</v>
      </c>
      <c r="S103" s="12" t="n">
        <v>4432.81</v>
      </c>
      <c r="T103" s="12" t="inlineStr">
        <is>
          <t>Paid</t>
        </is>
      </c>
      <c r="U103" s="12" t="inlineStr">
        <is>
          <t>Completed</t>
        </is>
      </c>
      <c r="V103">
        <f>IF(OR(P103="",P103&lt;0,P103&gt;0.5),0,P103)</f>
        <v/>
      </c>
      <c r="W103">
        <f>N103*O103*(1-V103)</f>
        <v/>
      </c>
      <c r="X103">
        <f>W103-R103</f>
        <v/>
      </c>
      <c r="Y103">
        <f>IF(W103=0,0,X103/W103)</f>
        <v/>
      </c>
      <c r="Z103">
        <f>C103-B103</f>
        <v/>
      </c>
      <c r="AA103">
        <f>TEXT(B103,"mmmm")</f>
        <v/>
      </c>
      <c r="AB103">
        <f>YEAR(B103)</f>
        <v/>
      </c>
      <c r="AC103">
        <f>IF(OR(P103&lt;0,P103&gt;0.5,C103&lt;B103),"INVALID","CLEAN")</f>
        <v/>
      </c>
    </row>
    <row r="104">
      <c r="A104" s="12" t="inlineStr">
        <is>
          <t>ORD-2025-10103</t>
        </is>
      </c>
      <c r="B104" s="12" t="inlineStr">
        <is>
          <t>12 Jul 2025</t>
        </is>
      </c>
      <c r="C104" s="12" t="inlineStr">
        <is>
          <t>2025-07-16</t>
        </is>
      </c>
      <c r="D104" s="12" t="inlineStr">
        <is>
          <t>CUST-9603</t>
        </is>
      </c>
      <c r="E104" s="12" t="inlineStr">
        <is>
          <t>Vikram Iyer</t>
        </is>
      </c>
      <c r="F104" s="12" t="inlineStr">
        <is>
          <t>Consumer</t>
        </is>
      </c>
      <c r="G104" s="12" t="inlineStr">
        <is>
          <t>South</t>
        </is>
      </c>
      <c r="H104" s="12" t="inlineStr">
        <is>
          <t>Karnataka</t>
        </is>
      </c>
      <c r="I104" s="12" t="inlineStr">
        <is>
          <t>Bengaluru</t>
        </is>
      </c>
      <c r="J104" s="12" t="inlineStr">
        <is>
          <t>Furniture</t>
        </is>
      </c>
      <c r="K104" s="12" t="inlineStr">
        <is>
          <t>Chairs</t>
        </is>
      </c>
      <c r="L104" s="12" t="inlineStr">
        <is>
          <t>Classic Chairs 604</t>
        </is>
      </c>
      <c r="M104" s="12" t="inlineStr">
        <is>
          <t>First Class</t>
        </is>
      </c>
      <c r="N104" s="12" t="n">
        <v>4</v>
      </c>
      <c r="O104" s="12" t="n">
        <v>2865.71</v>
      </c>
      <c r="P104" s="12" t="n">
        <v>0</v>
      </c>
      <c r="Q104" s="12" t="n">
        <v>11462.84</v>
      </c>
      <c r="R104" s="12" t="n">
        <v>8979.780000000001</v>
      </c>
      <c r="S104" s="12" t="n">
        <v>2483.06</v>
      </c>
      <c r="T104" s="12" t="inlineStr">
        <is>
          <t>Refunded</t>
        </is>
      </c>
      <c r="U104" s="12" t="inlineStr">
        <is>
          <t>Cancelled</t>
        </is>
      </c>
      <c r="V104">
        <f>IF(OR(P104="",P104&lt;0,P104&gt;0.5),0,P104)</f>
        <v/>
      </c>
      <c r="W104">
        <f>N104*O104*(1-V104)</f>
        <v/>
      </c>
      <c r="X104">
        <f>W104-R104</f>
        <v/>
      </c>
      <c r="Y104">
        <f>IF(W104=0,0,X104/W104)</f>
        <v/>
      </c>
      <c r="Z104">
        <f>C104-B104</f>
        <v/>
      </c>
      <c r="AA104">
        <f>TEXT(B104,"mmmm")</f>
        <v/>
      </c>
      <c r="AB104">
        <f>YEAR(B104)</f>
        <v/>
      </c>
      <c r="AC104">
        <f>IF(OR(P104&lt;0,P104&gt;0.5,C104&lt;B104),"INVALID","CLEAN")</f>
        <v/>
      </c>
    </row>
    <row r="105">
      <c r="A105" s="12" t="inlineStr">
        <is>
          <t>ORD-2025-10104</t>
        </is>
      </c>
      <c r="B105" s="12" t="inlineStr">
        <is>
          <t>05/02/2025</t>
        </is>
      </c>
      <c r="C105" s="12" t="inlineStr">
        <is>
          <t>05/10/2025</t>
        </is>
      </c>
      <c r="D105" s="12" t="inlineStr">
        <is>
          <t>CUST-6263</t>
        </is>
      </c>
      <c r="E105" s="12" t="inlineStr">
        <is>
          <t>Kabir Singh</t>
        </is>
      </c>
      <c r="F105" s="12" t="inlineStr">
        <is>
          <t>Corporate</t>
        </is>
      </c>
      <c r="G105" s="12" t="inlineStr">
        <is>
          <t>West</t>
        </is>
      </c>
      <c r="H105" s="12" t="inlineStr">
        <is>
          <t>Maharashtra</t>
        </is>
      </c>
      <c r="I105" s="12" t="inlineStr">
        <is>
          <t>Mumbai</t>
        </is>
      </c>
      <c r="J105" s="12" t="inlineStr">
        <is>
          <t>Furniture</t>
        </is>
      </c>
      <c r="K105" s="12" t="inlineStr">
        <is>
          <t>Tables</t>
        </is>
      </c>
      <c r="L105" s="12" t="inlineStr">
        <is>
          <t>Prime Tables 377</t>
        </is>
      </c>
      <c r="M105" s="12" t="inlineStr">
        <is>
          <t>First Class</t>
        </is>
      </c>
      <c r="N105" s="12" t="n">
        <v>4</v>
      </c>
      <c r="O105" s="12" t="n">
        <v>2440.34</v>
      </c>
      <c r="P105" s="12" t="n">
        <v>0.2</v>
      </c>
      <c r="Q105" s="12" t="n">
        <v>7809.09</v>
      </c>
      <c r="R105" s="12" t="n">
        <v>6657.75</v>
      </c>
      <c r="S105" s="12" t="n">
        <v>1151.34</v>
      </c>
      <c r="T105" s="12" t="inlineStr">
        <is>
          <t>Paid</t>
        </is>
      </c>
      <c r="U105" s="12" t="inlineStr">
        <is>
          <t>Completed</t>
        </is>
      </c>
      <c r="V105">
        <f>IF(OR(P105="",P105&lt;0,P105&gt;0.5),0,P105)</f>
        <v/>
      </c>
      <c r="W105">
        <f>N105*O105*(1-V105)</f>
        <v/>
      </c>
      <c r="X105">
        <f>W105-R105</f>
        <v/>
      </c>
      <c r="Y105">
        <f>IF(W105=0,0,X105/W105)</f>
        <v/>
      </c>
      <c r="Z105">
        <f>C105-B105</f>
        <v/>
      </c>
      <c r="AA105">
        <f>TEXT(B105,"mmmm")</f>
        <v/>
      </c>
      <c r="AB105">
        <f>YEAR(B105)</f>
        <v/>
      </c>
      <c r="AC105">
        <f>IF(OR(P105&lt;0,P105&gt;0.5,C105&lt;B105),"INVALID","CLEAN")</f>
        <v/>
      </c>
    </row>
    <row r="106">
      <c r="A106" s="12" t="inlineStr">
        <is>
          <t>ORD-2025-10105</t>
        </is>
      </c>
      <c r="B106" s="12" t="inlineStr">
        <is>
          <t>2025-02-01</t>
        </is>
      </c>
      <c r="C106" s="12" t="inlineStr">
        <is>
          <t>02/08/2025</t>
        </is>
      </c>
      <c r="D106" s="12" t="inlineStr">
        <is>
          <t>CUST-1576</t>
        </is>
      </c>
      <c r="E106" s="12" t="inlineStr">
        <is>
          <t>Ananya Rao</t>
        </is>
      </c>
      <c r="F106" s="12" t="inlineStr">
        <is>
          <t>Consumer</t>
        </is>
      </c>
      <c r="G106" s="12" t="inlineStr">
        <is>
          <t>South</t>
        </is>
      </c>
      <c r="H106" s="12" t="inlineStr">
        <is>
          <t>Karnataka</t>
        </is>
      </c>
      <c r="I106" s="12" t="inlineStr">
        <is>
          <t>Bengaluru</t>
        </is>
      </c>
      <c r="J106" s="12" t="inlineStr">
        <is>
          <t>Office Supplies</t>
        </is>
      </c>
      <c r="K106" s="12" t="inlineStr">
        <is>
          <t>Labels</t>
        </is>
      </c>
      <c r="L106" s="12" t="inlineStr">
        <is>
          <t>Prime Labels 807</t>
        </is>
      </c>
      <c r="M106" s="12" t="inlineStr">
        <is>
          <t>Same Day</t>
        </is>
      </c>
      <c r="N106" s="12" t="n">
        <v>5</v>
      </c>
      <c r="O106" s="12" t="n">
        <v>2112.54</v>
      </c>
      <c r="P106" s="12" t="n">
        <v>0.25</v>
      </c>
      <c r="Q106" s="12" t="n">
        <v>8260.459999999999</v>
      </c>
      <c r="R106" s="12" t="n">
        <v>5619.95</v>
      </c>
      <c r="S106" s="12" t="n">
        <v>2302.08</v>
      </c>
      <c r="T106" s="12" t="inlineStr">
        <is>
          <t>Paid</t>
        </is>
      </c>
      <c r="U106" s="12" t="inlineStr">
        <is>
          <t>Cancelled</t>
        </is>
      </c>
      <c r="V106">
        <f>IF(OR(P106="",P106&lt;0,P106&gt;0.5),0,P106)</f>
        <v/>
      </c>
      <c r="W106">
        <f>N106*O106*(1-V106)</f>
        <v/>
      </c>
      <c r="X106">
        <f>W106-R106</f>
        <v/>
      </c>
      <c r="Y106">
        <f>IF(W106=0,0,X106/W106)</f>
        <v/>
      </c>
      <c r="Z106">
        <f>C106-B106</f>
        <v/>
      </c>
      <c r="AA106">
        <f>TEXT(B106,"mmmm")</f>
        <v/>
      </c>
      <c r="AB106">
        <f>YEAR(B106)</f>
        <v/>
      </c>
      <c r="AC106">
        <f>IF(OR(P106&lt;0,P106&gt;0.5,C106&lt;B106),"INVALID","CLEAN")</f>
        <v/>
      </c>
    </row>
    <row r="107">
      <c r="A107" s="12" t="inlineStr">
        <is>
          <t>ORD-2024-10106</t>
        </is>
      </c>
      <c r="B107" s="12" t="inlineStr">
        <is>
          <t>06/24/2024</t>
        </is>
      </c>
      <c r="C107" s="12" t="inlineStr">
        <is>
          <t>29-06-2024</t>
        </is>
      </c>
      <c r="D107" s="12" t="inlineStr">
        <is>
          <t>CUST-6540</t>
        </is>
      </c>
      <c r="E107" s="12" t="inlineStr">
        <is>
          <t>Mira Das</t>
        </is>
      </c>
      <c r="F107" s="12" t="inlineStr">
        <is>
          <t>Home Office</t>
        </is>
      </c>
      <c r="G107" s="12" t="inlineStr">
        <is>
          <t>East</t>
        </is>
      </c>
      <c r="H107" s="12" t="inlineStr">
        <is>
          <t>West Bengal</t>
        </is>
      </c>
      <c r="I107" s="12" t="inlineStr">
        <is>
          <t>Kolkata</t>
        </is>
      </c>
      <c r="J107" s="12" t="inlineStr">
        <is>
          <t>Furniture</t>
        </is>
      </c>
      <c r="K107" s="12" t="inlineStr">
        <is>
          <t>Tables</t>
        </is>
      </c>
      <c r="L107" s="12" t="inlineStr">
        <is>
          <t>Eco Tables 575</t>
        </is>
      </c>
      <c r="M107" s="12" t="inlineStr">
        <is>
          <t>Second Class</t>
        </is>
      </c>
      <c r="N107" s="12" t="n">
        <v>2</v>
      </c>
      <c r="O107" s="12" t="n">
        <v>685</v>
      </c>
      <c r="P107" s="12" t="n">
        <v>0.1</v>
      </c>
      <c r="Q107" s="12" t="n">
        <v>1233</v>
      </c>
      <c r="R107" s="12" t="n">
        <v>1006.9</v>
      </c>
      <c r="S107" s="12" t="n">
        <v>226.1</v>
      </c>
      <c r="T107" s="12" t="inlineStr">
        <is>
          <t>Paid</t>
        </is>
      </c>
      <c r="U107" s="12" t="inlineStr">
        <is>
          <t>Completed</t>
        </is>
      </c>
      <c r="V107">
        <f>IF(OR(P107="",P107&lt;0,P107&gt;0.5),0,P107)</f>
        <v/>
      </c>
      <c r="W107">
        <f>N107*O107*(1-V107)</f>
        <v/>
      </c>
      <c r="X107">
        <f>W107-R107</f>
        <v/>
      </c>
      <c r="Y107">
        <f>IF(W107=0,0,X107/W107)</f>
        <v/>
      </c>
      <c r="Z107">
        <f>C107-B107</f>
        <v/>
      </c>
      <c r="AA107">
        <f>TEXT(B107,"mmmm")</f>
        <v/>
      </c>
      <c r="AB107">
        <f>YEAR(B107)</f>
        <v/>
      </c>
      <c r="AC107">
        <f>IF(OR(P107&lt;0,P107&gt;0.5,C107&lt;B107),"INVALID","CLEAN")</f>
        <v/>
      </c>
    </row>
    <row r="108">
      <c r="A108" s="12" t="inlineStr">
        <is>
          <t>ORD-2024-10107</t>
        </is>
      </c>
      <c r="B108" s="12" t="inlineStr">
        <is>
          <t>20-02-2024</t>
        </is>
      </c>
      <c r="C108" s="12" t="inlineStr">
        <is>
          <t>28 Feb 2024</t>
        </is>
      </c>
      <c r="D108" s="12" t="inlineStr">
        <is>
          <t>CUST-4008</t>
        </is>
      </c>
      <c r="E108" s="12" t="inlineStr">
        <is>
          <t>Arjun Bose</t>
        </is>
      </c>
      <c r="F108" s="12" t="inlineStr">
        <is>
          <t>Home Office</t>
        </is>
      </c>
      <c r="G108" s="12" t="inlineStr">
        <is>
          <t>East</t>
        </is>
      </c>
      <c r="H108" s="12" t="inlineStr">
        <is>
          <t>West Bengal</t>
        </is>
      </c>
      <c r="I108" s="12" t="inlineStr">
        <is>
          <t>Kolkata</t>
        </is>
      </c>
      <c r="J108" s="12" t="inlineStr">
        <is>
          <t>Office Supplies</t>
        </is>
      </c>
      <c r="K108" s="12" t="inlineStr">
        <is>
          <t>Paper</t>
        </is>
      </c>
      <c r="L108" s="12" t="inlineStr">
        <is>
          <t>Eco Paper 918</t>
        </is>
      </c>
      <c r="M108" s="12" t="inlineStr">
        <is>
          <t>Standard Class</t>
        </is>
      </c>
      <c r="N108" s="12" t="n">
        <v>2</v>
      </c>
      <c r="O108" s="12" t="n">
        <v>4004.04</v>
      </c>
      <c r="P108" s="12" t="n"/>
      <c r="Q108" s="12" t="n">
        <v>7207.27</v>
      </c>
      <c r="R108" s="12" t="n">
        <v>5709.39</v>
      </c>
      <c r="S108" s="12" t="n">
        <v>1497.88</v>
      </c>
      <c r="T108" s="12" t="inlineStr">
        <is>
          <t>Paid</t>
        </is>
      </c>
      <c r="U108" s="12" t="inlineStr">
        <is>
          <t>Cancelled</t>
        </is>
      </c>
      <c r="V108">
        <f>IF(OR(P108="",P108&lt;0,P108&gt;0.5),0,P108)</f>
        <v/>
      </c>
      <c r="W108">
        <f>N108*O108*(1-V108)</f>
        <v/>
      </c>
      <c r="X108">
        <f>W108-R108</f>
        <v/>
      </c>
      <c r="Y108">
        <f>IF(W108=0,0,X108/W108)</f>
        <v/>
      </c>
      <c r="Z108">
        <f>C108-B108</f>
        <v/>
      </c>
      <c r="AA108">
        <f>TEXT(B108,"mmmm")</f>
        <v/>
      </c>
      <c r="AB108">
        <f>YEAR(B108)</f>
        <v/>
      </c>
      <c r="AC108">
        <f>IF(OR(P108&lt;0,P108&gt;0.5,C108&lt;B108),"INVALID","CLEAN")</f>
        <v/>
      </c>
    </row>
    <row r="109">
      <c r="A109" s="12" t="inlineStr">
        <is>
          <t>ORD-2024-10108</t>
        </is>
      </c>
      <c r="B109" s="12" t="inlineStr">
        <is>
          <t>29 Oct 2024</t>
        </is>
      </c>
      <c r="C109" s="12" t="inlineStr">
        <is>
          <t>2024-11-04</t>
        </is>
      </c>
      <c r="D109" s="12" t="inlineStr">
        <is>
          <t>CUST-6604</t>
        </is>
      </c>
      <c r="E109" s="12" t="inlineStr">
        <is>
          <t>Rohan Mehta</t>
        </is>
      </c>
      <c r="F109" s="12" t="inlineStr">
        <is>
          <t>Home Office</t>
        </is>
      </c>
      <c r="G109" s="12" t="inlineStr">
        <is>
          <t>East</t>
        </is>
      </c>
      <c r="H109" s="12" t="inlineStr">
        <is>
          <t>West Bengal</t>
        </is>
      </c>
      <c r="I109" s="12" t="inlineStr">
        <is>
          <t>Kolkata</t>
        </is>
      </c>
      <c r="J109" s="12" t="inlineStr">
        <is>
          <t>Furniture</t>
        </is>
      </c>
      <c r="K109" s="12" t="inlineStr">
        <is>
          <t>Furnishings</t>
        </is>
      </c>
      <c r="L109" s="12" t="inlineStr">
        <is>
          <t>Prime Furnishings 952</t>
        </is>
      </c>
      <c r="M109" s="12" t="inlineStr">
        <is>
          <t>First Class</t>
        </is>
      </c>
      <c r="N109" s="12" t="n">
        <v>3</v>
      </c>
      <c r="O109" s="12" t="n">
        <v>4302.89</v>
      </c>
      <c r="P109" s="12" t="n">
        <v>0.05</v>
      </c>
      <c r="Q109" s="12" t="n">
        <v>12263.24</v>
      </c>
      <c r="R109" s="12" t="n">
        <v>8925.57</v>
      </c>
      <c r="S109" s="12" t="n">
        <v>3337.67</v>
      </c>
      <c r="T109" s="12" t="inlineStr">
        <is>
          <t>Paid</t>
        </is>
      </c>
      <c r="U109" s="12" t="inlineStr">
        <is>
          <t>Completed</t>
        </is>
      </c>
      <c r="V109">
        <f>IF(OR(P109="",P109&lt;0,P109&gt;0.5),0,P109)</f>
        <v/>
      </c>
      <c r="W109">
        <f>N109*O109*(1-V109)</f>
        <v/>
      </c>
      <c r="X109">
        <f>W109-R109</f>
        <v/>
      </c>
      <c r="Y109">
        <f>IF(W109=0,0,X109/W109)</f>
        <v/>
      </c>
      <c r="Z109">
        <f>C109-B109</f>
        <v/>
      </c>
      <c r="AA109">
        <f>TEXT(B109,"mmmm")</f>
        <v/>
      </c>
      <c r="AB109">
        <f>YEAR(B109)</f>
        <v/>
      </c>
      <c r="AC109">
        <f>IF(OR(P109&lt;0,P109&gt;0.5,C109&lt;B109),"INVALID","CLEAN")</f>
        <v/>
      </c>
    </row>
    <row r="110">
      <c r="A110" s="12" t="inlineStr">
        <is>
          <t>ORD-2024-10109</t>
        </is>
      </c>
      <c r="B110" s="12" t="inlineStr">
        <is>
          <t>15 Aug 2024</t>
        </is>
      </c>
      <c r="C110" s="12" t="inlineStr">
        <is>
          <t>08/23/2024</t>
        </is>
      </c>
      <c r="D110" s="12" t="inlineStr">
        <is>
          <t>CUST-4337</t>
        </is>
      </c>
      <c r="E110" s="12" t="inlineStr">
        <is>
          <t>Aditi Sen</t>
        </is>
      </c>
      <c r="F110" s="12" t="inlineStr">
        <is>
          <t>Small Business</t>
        </is>
      </c>
      <c r="G110" s="12" t="inlineStr">
        <is>
          <t>East</t>
        </is>
      </c>
      <c r="H110" s="12" t="inlineStr">
        <is>
          <t>Odisha</t>
        </is>
      </c>
      <c r="I110" s="12" t="inlineStr">
        <is>
          <t>Bhubaneswar</t>
        </is>
      </c>
      <c r="J110" s="12" t="inlineStr">
        <is>
          <t>Furniture</t>
        </is>
      </c>
      <c r="K110" s="12" t="inlineStr">
        <is>
          <t>Bookcases</t>
        </is>
      </c>
      <c r="L110" s="12" t="inlineStr">
        <is>
          <t>Prime Bookcases 631</t>
        </is>
      </c>
      <c r="M110" s="12" t="inlineStr">
        <is>
          <t>Same Day</t>
        </is>
      </c>
      <c r="N110" s="12" t="n">
        <v>2</v>
      </c>
      <c r="O110" s="12" t="n">
        <v>537.54</v>
      </c>
      <c r="P110" s="12" t="n">
        <v>0.25</v>
      </c>
      <c r="Q110" s="12" t="n">
        <v>806.3099999999999</v>
      </c>
      <c r="R110" s="12" t="n">
        <v>498.5</v>
      </c>
      <c r="S110" s="12" t="n">
        <v>307.81</v>
      </c>
      <c r="T110" s="12" t="inlineStr">
        <is>
          <t>Paid</t>
        </is>
      </c>
      <c r="U110" s="12" t="inlineStr">
        <is>
          <t>Completed</t>
        </is>
      </c>
      <c r="V110">
        <f>IF(OR(P110="",P110&lt;0,P110&gt;0.5),0,P110)</f>
        <v/>
      </c>
      <c r="W110">
        <f>N110*O110*(1-V110)</f>
        <v/>
      </c>
      <c r="X110">
        <f>W110-R110</f>
        <v/>
      </c>
      <c r="Y110">
        <f>IF(W110=0,0,X110/W110)</f>
        <v/>
      </c>
      <c r="Z110">
        <f>C110-B110</f>
        <v/>
      </c>
      <c r="AA110">
        <f>TEXT(B110,"mmmm")</f>
        <v/>
      </c>
      <c r="AB110">
        <f>YEAR(B110)</f>
        <v/>
      </c>
      <c r="AC110">
        <f>IF(OR(P110&lt;0,P110&gt;0.5,C110&lt;B110),"INVALID","CLEAN")</f>
        <v/>
      </c>
    </row>
    <row r="111">
      <c r="A111" s="12" t="inlineStr">
        <is>
          <t>ORD-2025-10110</t>
        </is>
      </c>
      <c r="B111" s="12" t="inlineStr">
        <is>
          <t>23-08-2025</t>
        </is>
      </c>
      <c r="C111" s="12" t="inlineStr">
        <is>
          <t>08/27/2025</t>
        </is>
      </c>
      <c r="D111" s="12" t="inlineStr">
        <is>
          <t>CUST-3740</t>
        </is>
      </c>
      <c r="E111" s="12" t="inlineStr">
        <is>
          <t>Sneha Kapoor</t>
        </is>
      </c>
      <c r="F111" s="12" t="inlineStr">
        <is>
          <t>Consumer</t>
        </is>
      </c>
      <c r="G111" s="12" t="inlineStr">
        <is>
          <t>North</t>
        </is>
      </c>
      <c r="H111" s="12" t="inlineStr">
        <is>
          <t>Delhi</t>
        </is>
      </c>
      <c r="I111" s="12" t="inlineStr">
        <is>
          <t>New Delhi</t>
        </is>
      </c>
      <c r="J111" s="12" t="inlineStr">
        <is>
          <t>Office Supplies</t>
        </is>
      </c>
      <c r="K111" s="12" t="inlineStr">
        <is>
          <t>Binders</t>
        </is>
      </c>
      <c r="L111" s="12" t="inlineStr">
        <is>
          <t>Classic Binders 660</t>
        </is>
      </c>
      <c r="M111" s="12" t="inlineStr">
        <is>
          <t>Second Class</t>
        </is>
      </c>
      <c r="N111" s="12" t="n">
        <v>1</v>
      </c>
      <c r="O111" s="12" t="n">
        <v>2788.62</v>
      </c>
      <c r="P111" s="12" t="n">
        <v>0.25</v>
      </c>
      <c r="Q111" s="12" t="n">
        <v>2091.47</v>
      </c>
      <c r="R111" s="12" t="n">
        <v>1317.22</v>
      </c>
      <c r="S111" s="12" t="n">
        <v>774.25</v>
      </c>
      <c r="T111" s="12" t="inlineStr">
        <is>
          <t>Paid</t>
        </is>
      </c>
      <c r="U111" s="12" t="inlineStr">
        <is>
          <t>Completed</t>
        </is>
      </c>
      <c r="V111">
        <f>IF(OR(P111="",P111&lt;0,P111&gt;0.5),0,P111)</f>
        <v/>
      </c>
      <c r="W111">
        <f>N111*O111*(1-V111)</f>
        <v/>
      </c>
      <c r="X111">
        <f>W111-R111</f>
        <v/>
      </c>
      <c r="Y111">
        <f>IF(W111=0,0,X111/W111)</f>
        <v/>
      </c>
      <c r="Z111">
        <f>C111-B111</f>
        <v/>
      </c>
      <c r="AA111">
        <f>TEXT(B111,"mmmm")</f>
        <v/>
      </c>
      <c r="AB111">
        <f>YEAR(B111)</f>
        <v/>
      </c>
      <c r="AC111">
        <f>IF(OR(P111&lt;0,P111&gt;0.5,C111&lt;B111),"INVALID","CLEAN")</f>
        <v/>
      </c>
    </row>
    <row r="112">
      <c r="A112" s="12" t="inlineStr">
        <is>
          <t>ORD-2024-10111</t>
        </is>
      </c>
      <c r="B112" s="12" t="inlineStr">
        <is>
          <t>10/18/2024</t>
        </is>
      </c>
      <c r="C112" s="12" t="inlineStr">
        <is>
          <t>2024-10-24</t>
        </is>
      </c>
      <c r="D112" s="12" t="inlineStr">
        <is>
          <t>CUST-7128</t>
        </is>
      </c>
      <c r="E112" s="12" t="inlineStr">
        <is>
          <t>Vikram Iyer</t>
        </is>
      </c>
      <c r="F112" s="12" t="inlineStr">
        <is>
          <t>Corporate</t>
        </is>
      </c>
      <c r="G112" s="12" t="inlineStr">
        <is>
          <t>South</t>
        </is>
      </c>
      <c r="H112" s="12" t="inlineStr">
        <is>
          <t>Kerala</t>
        </is>
      </c>
      <c r="I112" s="12" t="inlineStr">
        <is>
          <t>Kochi</t>
        </is>
      </c>
      <c r="J112" s="12" t="inlineStr">
        <is>
          <t>Office Supplies</t>
        </is>
      </c>
      <c r="K112" s="12" t="inlineStr">
        <is>
          <t>Labels</t>
        </is>
      </c>
      <c r="L112" s="12" t="inlineStr">
        <is>
          <t>Pro Labels 255</t>
        </is>
      </c>
      <c r="M112" s="12" t="inlineStr">
        <is>
          <t>First Class</t>
        </is>
      </c>
      <c r="N112" s="12" t="n">
        <v>2</v>
      </c>
      <c r="O112" s="12" t="n">
        <v>2250.47</v>
      </c>
      <c r="P112" s="12" t="n">
        <v>0</v>
      </c>
      <c r="Q112" s="12" t="n">
        <v>4500.94</v>
      </c>
      <c r="R112" s="12" t="n">
        <v>2607.73</v>
      </c>
      <c r="S112" s="12" t="n">
        <v>1893.21</v>
      </c>
      <c r="T112" s="12" t="inlineStr">
        <is>
          <t>Refunded</t>
        </is>
      </c>
      <c r="U112" s="12" t="inlineStr">
        <is>
          <t>Cancelled</t>
        </is>
      </c>
      <c r="V112">
        <f>IF(OR(P112="",P112&lt;0,P112&gt;0.5),0,P112)</f>
        <v/>
      </c>
      <c r="W112">
        <f>N112*O112*(1-V112)</f>
        <v/>
      </c>
      <c r="X112">
        <f>W112-R112</f>
        <v/>
      </c>
      <c r="Y112">
        <f>IF(W112=0,0,X112/W112)</f>
        <v/>
      </c>
      <c r="Z112">
        <f>C112-B112</f>
        <v/>
      </c>
      <c r="AA112">
        <f>TEXT(B112,"mmmm")</f>
        <v/>
      </c>
      <c r="AB112">
        <f>YEAR(B112)</f>
        <v/>
      </c>
      <c r="AC112">
        <f>IF(OR(P112&lt;0,P112&gt;0.5,C112&lt;B112),"INVALID","CLEAN")</f>
        <v/>
      </c>
    </row>
    <row r="113">
      <c r="A113" s="12" t="inlineStr">
        <is>
          <t>ORD-2025-10112</t>
        </is>
      </c>
      <c r="B113" s="12" t="inlineStr">
        <is>
          <t>06/27/2025</t>
        </is>
      </c>
      <c r="C113" s="12" t="inlineStr">
        <is>
          <t>2025-06-30</t>
        </is>
      </c>
      <c r="D113" s="12" t="inlineStr">
        <is>
          <t>CUST-4743</t>
        </is>
      </c>
      <c r="E113" s="12" t="inlineStr">
        <is>
          <t>Neha Gupta</t>
        </is>
      </c>
      <c r="F113" s="12" t="inlineStr">
        <is>
          <t>Corporate</t>
        </is>
      </c>
      <c r="G113" s="12" t="inlineStr">
        <is>
          <t>East</t>
        </is>
      </c>
      <c r="H113" s="12" t="inlineStr">
        <is>
          <t>Bihar</t>
        </is>
      </c>
      <c r="I113" s="12" t="inlineStr">
        <is>
          <t>Patna</t>
        </is>
      </c>
      <c r="J113" s="12" t="inlineStr">
        <is>
          <t>Technology</t>
        </is>
      </c>
      <c r="K113" s="12" t="inlineStr">
        <is>
          <t>Accessories</t>
        </is>
      </c>
      <c r="L113" s="12" t="inlineStr">
        <is>
          <t>Basic Accessories 187</t>
        </is>
      </c>
      <c r="M113" s="12" t="inlineStr">
        <is>
          <t>First Class</t>
        </is>
      </c>
      <c r="N113" s="12" t="n">
        <v>1</v>
      </c>
      <c r="O113" s="12" t="n">
        <v>1708.44</v>
      </c>
      <c r="P113" s="12" t="n">
        <v>0.05</v>
      </c>
      <c r="Q113" s="12" t="n">
        <v>1623.02</v>
      </c>
      <c r="R113" s="12" t="n">
        <v>1077.46</v>
      </c>
      <c r="S113" s="12" t="n">
        <v>545.5599999999999</v>
      </c>
      <c r="T113" s="12" t="inlineStr">
        <is>
          <t>Pending</t>
        </is>
      </c>
      <c r="U113" s="12" t="inlineStr">
        <is>
          <t>Cancelled</t>
        </is>
      </c>
      <c r="V113">
        <f>IF(OR(P113="",P113&lt;0,P113&gt;0.5),0,P113)</f>
        <v/>
      </c>
      <c r="W113">
        <f>N113*O113*(1-V113)</f>
        <v/>
      </c>
      <c r="X113">
        <f>W113-R113</f>
        <v/>
      </c>
      <c r="Y113">
        <f>IF(W113=0,0,X113/W113)</f>
        <v/>
      </c>
      <c r="Z113">
        <f>C113-B113</f>
        <v/>
      </c>
      <c r="AA113">
        <f>TEXT(B113,"mmmm")</f>
        <v/>
      </c>
      <c r="AB113">
        <f>YEAR(B113)</f>
        <v/>
      </c>
      <c r="AC113">
        <f>IF(OR(P113&lt;0,P113&gt;0.5,C113&lt;B113),"INVALID","CLEAN")</f>
        <v/>
      </c>
    </row>
    <row r="114">
      <c r="A114" s="12" t="inlineStr">
        <is>
          <t>ORD-2024-10113</t>
        </is>
      </c>
      <c r="B114" s="12" t="inlineStr">
        <is>
          <t>10 Jan 2024</t>
        </is>
      </c>
      <c r="C114" s="12" t="inlineStr">
        <is>
          <t>14-01-2024</t>
        </is>
      </c>
      <c r="D114" s="12" t="inlineStr">
        <is>
          <t>CUST-5213</t>
        </is>
      </c>
      <c r="E114" s="12" t="inlineStr">
        <is>
          <t>Sneha Kapoor</t>
        </is>
      </c>
      <c r="F114" s="12" t="inlineStr">
        <is>
          <t xml:space="preserve">  Consumer </t>
        </is>
      </c>
      <c r="G114" s="12" t="n"/>
      <c r="H114" s="12" t="inlineStr">
        <is>
          <t>Gujarat</t>
        </is>
      </c>
      <c r="I114" s="12" t="inlineStr">
        <is>
          <t>Ahmedabad</t>
        </is>
      </c>
      <c r="J114" s="12" t="inlineStr">
        <is>
          <t>Technology</t>
        </is>
      </c>
      <c r="K114" s="12" t="inlineStr">
        <is>
          <t>Accessories</t>
        </is>
      </c>
      <c r="L114" s="12" t="inlineStr">
        <is>
          <t>Max Accessories 451</t>
        </is>
      </c>
      <c r="M114" s="12" t="inlineStr">
        <is>
          <t>Standard Class</t>
        </is>
      </c>
      <c r="N114" s="12" t="n">
        <v>3</v>
      </c>
      <c r="O114" s="12" t="n">
        <v>3829.48</v>
      </c>
      <c r="P114" s="12" t="n">
        <v>0.05</v>
      </c>
      <c r="Q114" s="12" t="n">
        <v>10914.02</v>
      </c>
      <c r="R114" s="12" t="n">
        <v>6548.74</v>
      </c>
      <c r="S114" s="12" t="n">
        <v>4365.28</v>
      </c>
      <c r="T114" s="12" t="inlineStr">
        <is>
          <t>Paid</t>
        </is>
      </c>
      <c r="U114" s="12" t="inlineStr">
        <is>
          <t>Completed</t>
        </is>
      </c>
      <c r="V114">
        <f>IF(OR(P114="",P114&lt;0,P114&gt;0.5),0,P114)</f>
        <v/>
      </c>
      <c r="W114">
        <f>N114*O114*(1-V114)</f>
        <v/>
      </c>
      <c r="X114">
        <f>W114-R114</f>
        <v/>
      </c>
      <c r="Y114">
        <f>IF(W114=0,0,X114/W114)</f>
        <v/>
      </c>
      <c r="Z114">
        <f>C114-B114</f>
        <v/>
      </c>
      <c r="AA114">
        <f>TEXT(B114,"mmmm")</f>
        <v/>
      </c>
      <c r="AB114">
        <f>YEAR(B114)</f>
        <v/>
      </c>
      <c r="AC114">
        <f>IF(OR(P114&lt;0,P114&gt;0.5,C114&lt;B114),"INVALID","CLEAN")</f>
        <v/>
      </c>
    </row>
    <row r="115">
      <c r="A115" s="12" t="inlineStr">
        <is>
          <t>ORD-2024-10114</t>
        </is>
      </c>
      <c r="B115" s="12" t="inlineStr">
        <is>
          <t>12-02-2024</t>
        </is>
      </c>
      <c r="C115" s="12" t="inlineStr">
        <is>
          <t>12-02-2024</t>
        </is>
      </c>
      <c r="D115" s="12" t="inlineStr">
        <is>
          <t>CUST-4989</t>
        </is>
      </c>
      <c r="E115" s="12" t="inlineStr">
        <is>
          <t>Isha Nair</t>
        </is>
      </c>
      <c r="F115" s="12" t="inlineStr">
        <is>
          <t>Home Office</t>
        </is>
      </c>
      <c r="G115" s="12" t="inlineStr">
        <is>
          <t>South</t>
        </is>
      </c>
      <c r="H115" s="12" t="inlineStr">
        <is>
          <t>Tamil Nadu</t>
        </is>
      </c>
      <c r="I115" s="12" t="inlineStr">
        <is>
          <t>Chennai</t>
        </is>
      </c>
      <c r="J115" s="12" t="inlineStr">
        <is>
          <t>Furniture</t>
        </is>
      </c>
      <c r="K115" s="12" t="inlineStr">
        <is>
          <t>Tables</t>
        </is>
      </c>
      <c r="L115" s="12" t="inlineStr">
        <is>
          <t>Classic Tables 752</t>
        </is>
      </c>
      <c r="M115" s="12" t="inlineStr">
        <is>
          <t>Standard Class</t>
        </is>
      </c>
      <c r="N115" s="12" t="n">
        <v>3</v>
      </c>
      <c r="O115" s="12" t="n">
        <v>1089.15</v>
      </c>
      <c r="P115" s="12" t="n">
        <v>0.25</v>
      </c>
      <c r="Q115" s="12" t="n">
        <v>2450.59</v>
      </c>
      <c r="R115" s="12" t="n">
        <v>1639.89</v>
      </c>
      <c r="S115" s="12" t="n">
        <v>810.7</v>
      </c>
      <c r="T115" s="12" t="inlineStr">
        <is>
          <t>Paid</t>
        </is>
      </c>
      <c r="U115" s="12" t="inlineStr">
        <is>
          <t>Completed</t>
        </is>
      </c>
      <c r="V115">
        <f>IF(OR(P115="",P115&lt;0,P115&gt;0.5),0,P115)</f>
        <v/>
      </c>
      <c r="W115">
        <f>N115*O115*(1-V115)</f>
        <v/>
      </c>
      <c r="X115">
        <f>W115-R115</f>
        <v/>
      </c>
      <c r="Y115">
        <f>IF(W115=0,0,X115/W115)</f>
        <v/>
      </c>
      <c r="Z115">
        <f>C115-B115</f>
        <v/>
      </c>
      <c r="AA115">
        <f>TEXT(B115,"mmmm")</f>
        <v/>
      </c>
      <c r="AB115">
        <f>YEAR(B115)</f>
        <v/>
      </c>
      <c r="AC115">
        <f>IF(OR(P115&lt;0,P115&gt;0.5,C115&lt;B115),"INVALID","CLEAN")</f>
        <v/>
      </c>
    </row>
    <row r="116">
      <c r="A116" s="12" t="inlineStr">
        <is>
          <t>ORD-2024-10115</t>
        </is>
      </c>
      <c r="B116" s="12" t="inlineStr">
        <is>
          <t>2024-09-25</t>
        </is>
      </c>
      <c r="C116" s="12" t="inlineStr">
        <is>
          <t>30 Sep 2024</t>
        </is>
      </c>
      <c r="D116" s="12" t="inlineStr">
        <is>
          <t>CUST-2927</t>
        </is>
      </c>
      <c r="E116" s="12" t="inlineStr">
        <is>
          <t>Neha Gupta</t>
        </is>
      </c>
      <c r="F116" s="12" t="inlineStr">
        <is>
          <t>Small Business</t>
        </is>
      </c>
      <c r="G116" s="12" t="inlineStr">
        <is>
          <t>North</t>
        </is>
      </c>
      <c r="H116" s="12" t="inlineStr">
        <is>
          <t>Rajasthan</t>
        </is>
      </c>
      <c r="I116" s="12" t="inlineStr">
        <is>
          <t>Jaipur</t>
        </is>
      </c>
      <c r="J116" s="12" t="inlineStr">
        <is>
          <t>Technology</t>
        </is>
      </c>
      <c r="K116" s="12" t="inlineStr">
        <is>
          <t>Accessories</t>
        </is>
      </c>
      <c r="L116" s="12" t="inlineStr">
        <is>
          <t>Eco Accessories 452</t>
        </is>
      </c>
      <c r="M116" s="12" t="inlineStr">
        <is>
          <t>Second Class</t>
        </is>
      </c>
      <c r="N116" s="12" t="n">
        <v>1</v>
      </c>
      <c r="O116" s="12" t="n">
        <v>4388.4</v>
      </c>
      <c r="P116" s="12" t="n">
        <v>0.1</v>
      </c>
      <c r="Q116" s="12" t="n">
        <v>3949.56</v>
      </c>
      <c r="R116" s="12" t="n">
        <v>3186.73</v>
      </c>
      <c r="S116" s="12" t="n">
        <v>762.83</v>
      </c>
      <c r="T116" s="12" t="inlineStr">
        <is>
          <t>Pending</t>
        </is>
      </c>
      <c r="U116" s="12" t="inlineStr">
        <is>
          <t>Cancelled</t>
        </is>
      </c>
      <c r="V116">
        <f>IF(OR(P116="",P116&lt;0,P116&gt;0.5),0,P116)</f>
        <v/>
      </c>
      <c r="W116">
        <f>N116*O116*(1-V116)</f>
        <v/>
      </c>
      <c r="X116">
        <f>W116-R116</f>
        <v/>
      </c>
      <c r="Y116">
        <f>IF(W116=0,0,X116/W116)</f>
        <v/>
      </c>
      <c r="Z116">
        <f>C116-B116</f>
        <v/>
      </c>
      <c r="AA116">
        <f>TEXT(B116,"mmmm")</f>
        <v/>
      </c>
      <c r="AB116">
        <f>YEAR(B116)</f>
        <v/>
      </c>
      <c r="AC116">
        <f>IF(OR(P116&lt;0,P116&gt;0.5,C116&lt;B116),"INVALID","CLEAN")</f>
        <v/>
      </c>
    </row>
    <row r="117">
      <c r="A117" s="12" t="inlineStr">
        <is>
          <t>ORD-2024-10116</t>
        </is>
      </c>
      <c r="B117" s="12" t="inlineStr">
        <is>
          <t>2024-12-27</t>
        </is>
      </c>
      <c r="C117" s="12" t="inlineStr">
        <is>
          <t>01-01-2025</t>
        </is>
      </c>
      <c r="D117" s="12" t="inlineStr">
        <is>
          <t>CUST-7764</t>
        </is>
      </c>
      <c r="E117" s="12" t="inlineStr">
        <is>
          <t>Kabir Singh</t>
        </is>
      </c>
      <c r="F117" s="12" t="inlineStr">
        <is>
          <t>Corporate</t>
        </is>
      </c>
      <c r="G117" s="12" t="inlineStr">
        <is>
          <t>South</t>
        </is>
      </c>
      <c r="H117" s="12" t="inlineStr">
        <is>
          <t>Tamil Nadu</t>
        </is>
      </c>
      <c r="I117" s="12" t="inlineStr">
        <is>
          <t>Chennai</t>
        </is>
      </c>
      <c r="J117" s="12" t="inlineStr">
        <is>
          <t>Office Supplies</t>
        </is>
      </c>
      <c r="K117" s="12" t="inlineStr">
        <is>
          <t>Binders</t>
        </is>
      </c>
      <c r="L117" s="12" t="inlineStr">
        <is>
          <t>Classic Binders 203</t>
        </is>
      </c>
      <c r="M117" s="12" t="inlineStr">
        <is>
          <t>Same Day</t>
        </is>
      </c>
      <c r="N117" s="12" t="n">
        <v>2</v>
      </c>
      <c r="O117" s="12" t="n">
        <v>446.34</v>
      </c>
      <c r="P117" s="12" t="n">
        <v>0.15</v>
      </c>
      <c r="Q117" s="12" t="n">
        <v>758.78</v>
      </c>
      <c r="R117" s="12" t="n">
        <v>490.74</v>
      </c>
      <c r="S117" s="12" t="n">
        <v>268.04</v>
      </c>
      <c r="T117" s="12" t="inlineStr">
        <is>
          <t>Paid</t>
        </is>
      </c>
      <c r="U117" s="12" t="inlineStr">
        <is>
          <t>Cancelled</t>
        </is>
      </c>
      <c r="V117">
        <f>IF(OR(P117="",P117&lt;0,P117&gt;0.5),0,P117)</f>
        <v/>
      </c>
      <c r="W117">
        <f>N117*O117*(1-V117)</f>
        <v/>
      </c>
      <c r="X117">
        <f>W117-R117</f>
        <v/>
      </c>
      <c r="Y117">
        <f>IF(W117=0,0,X117/W117)</f>
        <v/>
      </c>
      <c r="Z117">
        <f>C117-B117</f>
        <v/>
      </c>
      <c r="AA117">
        <f>TEXT(B117,"mmmm")</f>
        <v/>
      </c>
      <c r="AB117">
        <f>YEAR(B117)</f>
        <v/>
      </c>
      <c r="AC117">
        <f>IF(OR(P117&lt;0,P117&gt;0.5,C117&lt;B117),"INVALID","CLEAN")</f>
        <v/>
      </c>
    </row>
    <row r="118">
      <c r="A118" s="12" t="inlineStr">
        <is>
          <t>ORD-2025-10117</t>
        </is>
      </c>
      <c r="B118" s="12" t="inlineStr">
        <is>
          <t>2025-02-15</t>
        </is>
      </c>
      <c r="C118" s="12" t="inlineStr">
        <is>
          <t>19 Feb 2025</t>
        </is>
      </c>
      <c r="D118" s="12" t="inlineStr">
        <is>
          <t>CUST-3632</t>
        </is>
      </c>
      <c r="E118" s="12" t="inlineStr">
        <is>
          <t>Ananya Rao</t>
        </is>
      </c>
      <c r="F118" s="12" t="inlineStr">
        <is>
          <t>Small Business</t>
        </is>
      </c>
      <c r="G118" s="12" t="n"/>
      <c r="H118" s="12" t="inlineStr">
        <is>
          <t>Madhya Pradesh</t>
        </is>
      </c>
      <c r="I118" s="12" t="inlineStr">
        <is>
          <t>Indore</t>
        </is>
      </c>
      <c r="J118" s="12" t="inlineStr">
        <is>
          <t>Office Supplies</t>
        </is>
      </c>
      <c r="K118" s="12" t="inlineStr">
        <is>
          <t>Binders</t>
        </is>
      </c>
      <c r="L118" s="12" t="inlineStr">
        <is>
          <t>Basic Binders 859</t>
        </is>
      </c>
      <c r="M118" s="12" t="inlineStr">
        <is>
          <t>First Class</t>
        </is>
      </c>
      <c r="N118" s="12" t="n">
        <v>9</v>
      </c>
      <c r="O118" s="12" t="n">
        <v>531.99</v>
      </c>
      <c r="P118" s="12" t="n">
        <v>0.25</v>
      </c>
      <c r="Q118" s="12" t="n">
        <v>3590.93</v>
      </c>
      <c r="R118" s="12" t="n">
        <v>3061.39</v>
      </c>
      <c r="S118" s="12" t="n">
        <v>529.54</v>
      </c>
      <c r="T118" s="12" t="inlineStr">
        <is>
          <t>Failed</t>
        </is>
      </c>
      <c r="U118" s="12" t="inlineStr">
        <is>
          <t>Cancelled</t>
        </is>
      </c>
      <c r="V118">
        <f>IF(OR(P118="",P118&lt;0,P118&gt;0.5),0,P118)</f>
        <v/>
      </c>
      <c r="W118">
        <f>N118*O118*(1-V118)</f>
        <v/>
      </c>
      <c r="X118">
        <f>W118-R118</f>
        <v/>
      </c>
      <c r="Y118">
        <f>IF(W118=0,0,X118/W118)</f>
        <v/>
      </c>
      <c r="Z118">
        <f>C118-B118</f>
        <v/>
      </c>
      <c r="AA118">
        <f>TEXT(B118,"mmmm")</f>
        <v/>
      </c>
      <c r="AB118">
        <f>YEAR(B118)</f>
        <v/>
      </c>
      <c r="AC118">
        <f>IF(OR(P118&lt;0,P118&gt;0.5,C118&lt;B118),"INVALID","CLEAN")</f>
        <v/>
      </c>
    </row>
    <row r="119">
      <c r="A119" s="12" t="inlineStr">
        <is>
          <t>ORD-2024-10118</t>
        </is>
      </c>
      <c r="B119" s="12" t="inlineStr">
        <is>
          <t>2024-02-15</t>
        </is>
      </c>
      <c r="C119" s="12" t="inlineStr">
        <is>
          <t>17 Feb 2024</t>
        </is>
      </c>
      <c r="D119" s="12" t="inlineStr">
        <is>
          <t>CUST-9608</t>
        </is>
      </c>
      <c r="E119" s="12" t="inlineStr">
        <is>
          <t>Mira Das</t>
        </is>
      </c>
      <c r="F119" s="12" t="inlineStr">
        <is>
          <t>Home Office</t>
        </is>
      </c>
      <c r="G119" s="12" t="inlineStr">
        <is>
          <t>South</t>
        </is>
      </c>
      <c r="H119" s="12" t="inlineStr">
        <is>
          <t>Tamil Nadu</t>
        </is>
      </c>
      <c r="I119" s="12" t="inlineStr">
        <is>
          <t>Chennai</t>
        </is>
      </c>
      <c r="J119" s="12" t="inlineStr">
        <is>
          <t>Technology</t>
        </is>
      </c>
      <c r="K119" s="12" t="inlineStr">
        <is>
          <t>Machines</t>
        </is>
      </c>
      <c r="L119" s="12" t="inlineStr">
        <is>
          <t>Elite Machines 705</t>
        </is>
      </c>
      <c r="M119" s="12" t="inlineStr">
        <is>
          <t>Standard Class</t>
        </is>
      </c>
      <c r="N119" s="12" t="n">
        <v>9</v>
      </c>
      <c r="O119" s="12" t="n">
        <v>3324.55</v>
      </c>
      <c r="P119" s="12" t="inlineStr">
        <is>
          <t>70%</t>
        </is>
      </c>
      <c r="Q119" s="12" t="n">
        <v>25432.81</v>
      </c>
      <c r="R119" s="12" t="n">
        <v>20370.16</v>
      </c>
      <c r="S119" s="12" t="n">
        <v>5062.65</v>
      </c>
      <c r="T119" s="12" t="inlineStr">
        <is>
          <t>Paid</t>
        </is>
      </c>
      <c r="U119" s="12" t="inlineStr">
        <is>
          <t>Completed</t>
        </is>
      </c>
      <c r="V119">
        <f>IF(OR(P119="",P119&lt;0,P119&gt;0.5),0,P119)</f>
        <v/>
      </c>
      <c r="W119">
        <f>N119*O119*(1-V119)</f>
        <v/>
      </c>
      <c r="X119">
        <f>W119-R119</f>
        <v/>
      </c>
      <c r="Y119">
        <f>IF(W119=0,0,X119/W119)</f>
        <v/>
      </c>
      <c r="Z119">
        <f>C119-B119</f>
        <v/>
      </c>
      <c r="AA119">
        <f>TEXT(B119,"mmmm")</f>
        <v/>
      </c>
      <c r="AB119">
        <f>YEAR(B119)</f>
        <v/>
      </c>
      <c r="AC119">
        <f>IF(OR(P119&lt;0,P119&gt;0.5,C119&lt;B119),"INVALID","CLEAN")</f>
        <v/>
      </c>
    </row>
    <row r="120">
      <c r="A120" s="12" t="inlineStr">
        <is>
          <t>ORD-2024-10119</t>
        </is>
      </c>
      <c r="B120" s="12" t="inlineStr">
        <is>
          <t>06/10/2024</t>
        </is>
      </c>
      <c r="C120" s="12" t="inlineStr">
        <is>
          <t>2024-06-18</t>
        </is>
      </c>
      <c r="D120" s="12" t="inlineStr">
        <is>
          <t>CUST-9135</t>
        </is>
      </c>
      <c r="E120" s="12" t="inlineStr">
        <is>
          <t>Vikram  Iyer</t>
        </is>
      </c>
      <c r="F120" s="12" t="inlineStr">
        <is>
          <t>Home Office</t>
        </is>
      </c>
      <c r="G120" s="12" t="inlineStr">
        <is>
          <t>South</t>
        </is>
      </c>
      <c r="H120" s="12" t="inlineStr">
        <is>
          <t>Andhra Pradesh</t>
        </is>
      </c>
      <c r="I120" s="12" t="inlineStr">
        <is>
          <t>Vijayawada</t>
        </is>
      </c>
      <c r="J120" s="12" t="inlineStr">
        <is>
          <t>Technology</t>
        </is>
      </c>
      <c r="K120" s="12" t="inlineStr">
        <is>
          <t>Copiers</t>
        </is>
      </c>
      <c r="L120" s="12" t="inlineStr">
        <is>
          <t>Pro Copiers 208</t>
        </is>
      </c>
      <c r="M120" s="12" t="inlineStr">
        <is>
          <t>Same Day</t>
        </is>
      </c>
      <c r="N120" s="12" t="n">
        <v>5</v>
      </c>
      <c r="O120" s="12" t="n">
        <v>1580.27</v>
      </c>
      <c r="P120" s="12" t="n">
        <v>0.2</v>
      </c>
      <c r="Q120" s="12" t="n">
        <v>6321.08</v>
      </c>
      <c r="R120" s="12" t="n">
        <v>4407.22</v>
      </c>
      <c r="S120" s="12" t="n">
        <v>1913.86</v>
      </c>
      <c r="T120" s="12" t="inlineStr">
        <is>
          <t>Paid</t>
        </is>
      </c>
      <c r="U120" s="12" t="inlineStr">
        <is>
          <t>Completed</t>
        </is>
      </c>
      <c r="V120">
        <f>IF(OR(P120="",P120&lt;0,P120&gt;0.5),0,P120)</f>
        <v/>
      </c>
      <c r="W120">
        <f>N120*O120*(1-V120)</f>
        <v/>
      </c>
      <c r="X120">
        <f>W120-R120</f>
        <v/>
      </c>
      <c r="Y120">
        <f>IF(W120=0,0,X120/W120)</f>
        <v/>
      </c>
      <c r="Z120">
        <f>C120-B120</f>
        <v/>
      </c>
      <c r="AA120">
        <f>TEXT(B120,"mmmm")</f>
        <v/>
      </c>
      <c r="AB120">
        <f>YEAR(B120)</f>
        <v/>
      </c>
      <c r="AC120">
        <f>IF(OR(P120&lt;0,P120&gt;0.5,C120&lt;B120),"INVALID","CLEAN")</f>
        <v/>
      </c>
    </row>
    <row r="121">
      <c r="A121" s="12" t="inlineStr">
        <is>
          <t>ORD-2024-10120</t>
        </is>
      </c>
      <c r="B121" s="12" t="inlineStr">
        <is>
          <t>12 Jun 2024</t>
        </is>
      </c>
      <c r="C121" s="12" t="inlineStr">
        <is>
          <t>19 Jun 2024</t>
        </is>
      </c>
      <c r="D121" s="12" t="inlineStr">
        <is>
          <t>CUST-7861</t>
        </is>
      </c>
      <c r="E121" s="12" t="inlineStr">
        <is>
          <t>Aditi Sen</t>
        </is>
      </c>
      <c r="F121" s="12" t="inlineStr">
        <is>
          <t xml:space="preserve">Small Business </t>
        </is>
      </c>
      <c r="G121" s="12" t="inlineStr">
        <is>
          <t>South</t>
        </is>
      </c>
      <c r="H121" s="12" t="inlineStr">
        <is>
          <t>Kerala</t>
        </is>
      </c>
      <c r="I121" s="12" t="inlineStr">
        <is>
          <t>Kochi</t>
        </is>
      </c>
      <c r="J121" s="12" t="inlineStr">
        <is>
          <t>Furniture</t>
        </is>
      </c>
      <c r="K121" s="12" t="inlineStr">
        <is>
          <t>Chairs</t>
        </is>
      </c>
      <c r="L121" s="12" t="inlineStr">
        <is>
          <t>Elite Chairs 921</t>
        </is>
      </c>
      <c r="M121" s="12" t="inlineStr">
        <is>
          <t>Standard Class</t>
        </is>
      </c>
      <c r="N121" s="12" t="n">
        <v>8</v>
      </c>
      <c r="O121" s="12" t="n">
        <v>314.05</v>
      </c>
      <c r="P121" s="12" t="n">
        <v>0.25</v>
      </c>
      <c r="Q121" s="12" t="n">
        <v>1884.3</v>
      </c>
      <c r="R121" s="12" t="n">
        <v>1517.69</v>
      </c>
      <c r="S121" s="12" t="n">
        <v>366.61</v>
      </c>
      <c r="T121" s="12" t="inlineStr">
        <is>
          <t>Refunded</t>
        </is>
      </c>
      <c r="U121" s="12" t="inlineStr">
        <is>
          <t>Returned</t>
        </is>
      </c>
      <c r="V121">
        <f>IF(OR(P121="",P121&lt;0,P121&gt;0.5),0,P121)</f>
        <v/>
      </c>
      <c r="W121">
        <f>N121*O121*(1-V121)</f>
        <v/>
      </c>
      <c r="X121">
        <f>W121-R121</f>
        <v/>
      </c>
      <c r="Y121">
        <f>IF(W121=0,0,X121/W121)</f>
        <v/>
      </c>
      <c r="Z121">
        <f>C121-B121</f>
        <v/>
      </c>
      <c r="AA121">
        <f>TEXT(B121,"mmmm")</f>
        <v/>
      </c>
      <c r="AB121">
        <f>YEAR(B121)</f>
        <v/>
      </c>
      <c r="AC121">
        <f>IF(OR(P121&lt;0,P121&gt;0.5,C121&lt;B121),"INVALID","CLEAN")</f>
        <v/>
      </c>
    </row>
    <row r="122">
      <c r="A122" s="12" t="inlineStr">
        <is>
          <t>ORD-2024-10121</t>
        </is>
      </c>
      <c r="B122" s="12" t="inlineStr">
        <is>
          <t>2024-08-10</t>
        </is>
      </c>
      <c r="C122" s="12" t="inlineStr">
        <is>
          <t>2024-08-18</t>
        </is>
      </c>
      <c r="D122" s="12" t="inlineStr">
        <is>
          <t>CUST-6096</t>
        </is>
      </c>
      <c r="E122" s="12" t="inlineStr">
        <is>
          <t>Sneha Kapoor</t>
        </is>
      </c>
      <c r="F122" s="12" t="inlineStr">
        <is>
          <t>Small Business</t>
        </is>
      </c>
      <c r="G122" s="12" t="inlineStr">
        <is>
          <t>East</t>
        </is>
      </c>
      <c r="H122" s="12" t="inlineStr">
        <is>
          <t>Bihar</t>
        </is>
      </c>
      <c r="I122" s="12" t="inlineStr">
        <is>
          <t>Patna</t>
        </is>
      </c>
      <c r="J122" s="12" t="inlineStr">
        <is>
          <t>Technology</t>
        </is>
      </c>
      <c r="K122" s="12" t="inlineStr">
        <is>
          <t>Phones</t>
        </is>
      </c>
      <c r="L122" s="12" t="inlineStr">
        <is>
          <t>Prime Phones 540</t>
        </is>
      </c>
      <c r="M122" s="12" t="inlineStr">
        <is>
          <t>Standard Class</t>
        </is>
      </c>
      <c r="N122" s="12" t="n">
        <v>1</v>
      </c>
      <c r="O122" s="12" t="n">
        <v>1823.67</v>
      </c>
      <c r="P122" s="12" t="n">
        <v>0.2</v>
      </c>
      <c r="Q122" s="12" t="n">
        <v>1458.94</v>
      </c>
      <c r="R122" s="12" t="n">
        <v>893.2</v>
      </c>
      <c r="S122" s="12" t="n">
        <v>565.74</v>
      </c>
      <c r="T122" s="12" t="inlineStr">
        <is>
          <t>Paid</t>
        </is>
      </c>
      <c r="U122" s="12" t="inlineStr">
        <is>
          <t>Returned</t>
        </is>
      </c>
      <c r="V122">
        <f>IF(OR(P122="",P122&lt;0,P122&gt;0.5),0,P122)</f>
        <v/>
      </c>
      <c r="W122">
        <f>N122*O122*(1-V122)</f>
        <v/>
      </c>
      <c r="X122">
        <f>W122-R122</f>
        <v/>
      </c>
      <c r="Y122">
        <f>IF(W122=0,0,X122/W122)</f>
        <v/>
      </c>
      <c r="Z122">
        <f>C122-B122</f>
        <v/>
      </c>
      <c r="AA122">
        <f>TEXT(B122,"mmmm")</f>
        <v/>
      </c>
      <c r="AB122">
        <f>YEAR(B122)</f>
        <v/>
      </c>
      <c r="AC122">
        <f>IF(OR(P122&lt;0,P122&gt;0.5,C122&lt;B122),"INVALID","CLEAN")</f>
        <v/>
      </c>
    </row>
    <row r="123">
      <c r="A123" s="12" t="inlineStr">
        <is>
          <t>ORD-2025-10122</t>
        </is>
      </c>
      <c r="B123" s="12" t="inlineStr">
        <is>
          <t>08/22/2025</t>
        </is>
      </c>
      <c r="C123" s="12" t="inlineStr">
        <is>
          <t>08/26/2025</t>
        </is>
      </c>
      <c r="D123" s="12" t="inlineStr">
        <is>
          <t>CUST-2044</t>
        </is>
      </c>
      <c r="E123" s="12" t="inlineStr">
        <is>
          <t>Kabir Singh</t>
        </is>
      </c>
      <c r="F123" s="12" t="inlineStr">
        <is>
          <t>Small  Business</t>
        </is>
      </c>
      <c r="G123" s="12" t="inlineStr">
        <is>
          <t>South</t>
        </is>
      </c>
      <c r="H123" s="12" t="inlineStr">
        <is>
          <t>Andhra Pradesh</t>
        </is>
      </c>
      <c r="I123" s="12" t="inlineStr">
        <is>
          <t>Vijayawada</t>
        </is>
      </c>
      <c r="J123" s="12" t="inlineStr">
        <is>
          <t>Technology</t>
        </is>
      </c>
      <c r="K123" s="12" t="inlineStr">
        <is>
          <t>Machines</t>
        </is>
      </c>
      <c r="L123" s="12" t="inlineStr">
        <is>
          <t>Max Machines 948</t>
        </is>
      </c>
      <c r="M123" s="12" t="inlineStr">
        <is>
          <t>Second Class</t>
        </is>
      </c>
      <c r="N123" s="12" t="n">
        <v>5</v>
      </c>
      <c r="O123" s="12" t="n">
        <v>3482.92</v>
      </c>
      <c r="P123" s="12" t="n">
        <v>0</v>
      </c>
      <c r="Q123" s="12" t="n">
        <v>17414.6</v>
      </c>
      <c r="R123" s="12" t="n">
        <v>11760.91</v>
      </c>
      <c r="S123" s="12" t="n">
        <v>5653.69</v>
      </c>
      <c r="T123" s="12" t="inlineStr">
        <is>
          <t>Refunded</t>
        </is>
      </c>
      <c r="U123" s="12" t="inlineStr">
        <is>
          <t>Cancelled</t>
        </is>
      </c>
      <c r="V123">
        <f>IF(OR(P123="",P123&lt;0,P123&gt;0.5),0,P123)</f>
        <v/>
      </c>
      <c r="W123">
        <f>N123*O123*(1-V123)</f>
        <v/>
      </c>
      <c r="X123">
        <f>W123-R123</f>
        <v/>
      </c>
      <c r="Y123">
        <f>IF(W123=0,0,X123/W123)</f>
        <v/>
      </c>
      <c r="Z123">
        <f>C123-B123</f>
        <v/>
      </c>
      <c r="AA123">
        <f>TEXT(B123,"mmmm")</f>
        <v/>
      </c>
      <c r="AB123">
        <f>YEAR(B123)</f>
        <v/>
      </c>
      <c r="AC123">
        <f>IF(OR(P123&lt;0,P123&gt;0.5,C123&lt;B123),"INVALID","CLEAN")</f>
        <v/>
      </c>
    </row>
    <row r="124">
      <c r="A124" s="12" t="inlineStr">
        <is>
          <t>ORD-2024-10123</t>
        </is>
      </c>
      <c r="B124" s="12" t="inlineStr">
        <is>
          <t>11/30/2024</t>
        </is>
      </c>
      <c r="C124" s="12" t="inlineStr">
        <is>
          <t>04-12-2024</t>
        </is>
      </c>
      <c r="D124" s="12" t="inlineStr">
        <is>
          <t>CUST-1721</t>
        </is>
      </c>
      <c r="E124" s="12" t="inlineStr">
        <is>
          <t>Ananya Rao</t>
        </is>
      </c>
      <c r="F124" s="12" t="inlineStr">
        <is>
          <t>Small Business</t>
        </is>
      </c>
      <c r="G124" s="12" t="inlineStr">
        <is>
          <t>East</t>
        </is>
      </c>
      <c r="H124" s="12" t="inlineStr">
        <is>
          <t>Assam</t>
        </is>
      </c>
      <c r="I124" s="12" t="inlineStr">
        <is>
          <t>Guwahati</t>
        </is>
      </c>
      <c r="J124" s="12" t="inlineStr">
        <is>
          <t>Furniture</t>
        </is>
      </c>
      <c r="K124" s="12" t="inlineStr">
        <is>
          <t>Chairs</t>
        </is>
      </c>
      <c r="L124" s="12" t="inlineStr">
        <is>
          <t>Max Chairs 786</t>
        </is>
      </c>
      <c r="M124" s="12" t="inlineStr">
        <is>
          <t>Second Class</t>
        </is>
      </c>
      <c r="N124" s="12" t="n">
        <v>3</v>
      </c>
      <c r="O124" s="12" t="n">
        <v>170.35</v>
      </c>
      <c r="P124" s="12" t="n">
        <v>0</v>
      </c>
      <c r="Q124" s="12" t="n">
        <v>511.05</v>
      </c>
      <c r="R124" s="12" t="n">
        <v>367.18</v>
      </c>
      <c r="S124" s="12" t="n">
        <v>143.87</v>
      </c>
      <c r="T124" s="12" t="inlineStr">
        <is>
          <t>Paid</t>
        </is>
      </c>
      <c r="U124" s="12" t="inlineStr">
        <is>
          <t>Completed</t>
        </is>
      </c>
      <c r="V124">
        <f>IF(OR(P124="",P124&lt;0,P124&gt;0.5),0,P124)</f>
        <v/>
      </c>
      <c r="W124">
        <f>N124*O124*(1-V124)</f>
        <v/>
      </c>
      <c r="X124">
        <f>W124-R124</f>
        <v/>
      </c>
      <c r="Y124">
        <f>IF(W124=0,0,X124/W124)</f>
        <v/>
      </c>
      <c r="Z124">
        <f>C124-B124</f>
        <v/>
      </c>
      <c r="AA124">
        <f>TEXT(B124,"mmmm")</f>
        <v/>
      </c>
      <c r="AB124">
        <f>YEAR(B124)</f>
        <v/>
      </c>
      <c r="AC124">
        <f>IF(OR(P124&lt;0,P124&gt;0.5,C124&lt;B124),"INVALID","CLEAN")</f>
        <v/>
      </c>
    </row>
    <row r="125">
      <c r="A125" s="12" t="inlineStr">
        <is>
          <t>ORD-2024-10124</t>
        </is>
      </c>
      <c r="B125" s="12" t="inlineStr">
        <is>
          <t>05/24/2024</t>
        </is>
      </c>
      <c r="C125" s="12" t="inlineStr">
        <is>
          <t>25 May 2024</t>
        </is>
      </c>
      <c r="D125" s="12" t="inlineStr">
        <is>
          <t>CUST-1007</t>
        </is>
      </c>
      <c r="E125" s="12" t="inlineStr">
        <is>
          <t>Sneha Kapoor</t>
        </is>
      </c>
      <c r="F125" s="12" t="inlineStr">
        <is>
          <t>Small Business</t>
        </is>
      </c>
      <c r="G125" s="12" t="inlineStr">
        <is>
          <t>NORTH</t>
        </is>
      </c>
      <c r="H125" s="12" t="inlineStr">
        <is>
          <t>Punjab</t>
        </is>
      </c>
      <c r="I125" s="12" t="inlineStr">
        <is>
          <t>Ludhiana</t>
        </is>
      </c>
      <c r="J125" s="12" t="inlineStr">
        <is>
          <t>Technology</t>
        </is>
      </c>
      <c r="K125" s="12" t="inlineStr">
        <is>
          <t>Copiers</t>
        </is>
      </c>
      <c r="L125" s="12" t="inlineStr">
        <is>
          <t>Max Copiers 970</t>
        </is>
      </c>
      <c r="M125" s="12" t="inlineStr">
        <is>
          <t>Same Day</t>
        </is>
      </c>
      <c r="N125" s="12" t="n">
        <v>1</v>
      </c>
      <c r="O125" s="12" t="n">
        <v>634.13</v>
      </c>
      <c r="P125" s="12" t="n">
        <v>0</v>
      </c>
      <c r="Q125" s="12" t="n">
        <v>634.13</v>
      </c>
      <c r="R125" s="12" t="n">
        <v>453.35</v>
      </c>
      <c r="S125" s="12" t="n">
        <v>180.78</v>
      </c>
      <c r="T125" s="12" t="inlineStr">
        <is>
          <t>Refunded</t>
        </is>
      </c>
      <c r="U125" s="12" t="inlineStr">
        <is>
          <t>Cancelled</t>
        </is>
      </c>
      <c r="V125">
        <f>IF(OR(P125="",P125&lt;0,P125&gt;0.5),0,P125)</f>
        <v/>
      </c>
      <c r="W125">
        <f>N125*O125*(1-V125)</f>
        <v/>
      </c>
      <c r="X125">
        <f>W125-R125</f>
        <v/>
      </c>
      <c r="Y125">
        <f>IF(W125=0,0,X125/W125)</f>
        <v/>
      </c>
      <c r="Z125">
        <f>C125-B125</f>
        <v/>
      </c>
      <c r="AA125">
        <f>TEXT(B125,"mmmm")</f>
        <v/>
      </c>
      <c r="AB125">
        <f>YEAR(B125)</f>
        <v/>
      </c>
      <c r="AC125">
        <f>IF(OR(P125&lt;0,P125&gt;0.5,C125&lt;B125),"INVALID","CLEAN")</f>
        <v/>
      </c>
    </row>
    <row r="126">
      <c r="A126" s="12" t="inlineStr">
        <is>
          <t>ORD-2024-10125</t>
        </is>
      </c>
      <c r="B126" s="12" t="inlineStr">
        <is>
          <t>21 Jul 2024</t>
        </is>
      </c>
      <c r="C126" s="12" t="inlineStr">
        <is>
          <t>07/24/2024</t>
        </is>
      </c>
      <c r="D126" s="12" t="inlineStr">
        <is>
          <t>CUST-4450</t>
        </is>
      </c>
      <c r="E126" s="12" t="inlineStr">
        <is>
          <t>Isha Nair</t>
        </is>
      </c>
      <c r="F126" s="12" t="inlineStr">
        <is>
          <t>Corporate</t>
        </is>
      </c>
      <c r="G126" s="12" t="inlineStr">
        <is>
          <t>South</t>
        </is>
      </c>
      <c r="H126" s="12" t="inlineStr">
        <is>
          <t>Karnataka</t>
        </is>
      </c>
      <c r="I126" s="12" t="inlineStr">
        <is>
          <t>Bengaluru</t>
        </is>
      </c>
      <c r="J126" s="12" t="inlineStr">
        <is>
          <t>Technology</t>
        </is>
      </c>
      <c r="K126" s="12" t="inlineStr">
        <is>
          <t>Copiers</t>
        </is>
      </c>
      <c r="L126" s="12" t="inlineStr">
        <is>
          <t>Pro Copiers 769</t>
        </is>
      </c>
      <c r="M126" s="12" t="inlineStr">
        <is>
          <t>Standard Class</t>
        </is>
      </c>
      <c r="N126" s="12" t="n">
        <v>9</v>
      </c>
      <c r="O126" s="12" t="n">
        <v>465.06</v>
      </c>
      <c r="P126" s="12" t="n">
        <v>-0.15</v>
      </c>
      <c r="Q126" s="12" t="n">
        <v>4185.54</v>
      </c>
      <c r="R126" s="12" t="n">
        <v>3443.74</v>
      </c>
      <c r="S126" s="12" t="n">
        <v>741.8</v>
      </c>
      <c r="T126" s="12" t="inlineStr">
        <is>
          <t>Paid</t>
        </is>
      </c>
      <c r="U126" s="12" t="inlineStr">
        <is>
          <t xml:space="preserve">Completed </t>
        </is>
      </c>
      <c r="V126">
        <f>IF(OR(P126="",P126&lt;0,P126&gt;0.5),0,P126)</f>
        <v/>
      </c>
      <c r="W126">
        <f>N126*O126*(1-V126)</f>
        <v/>
      </c>
      <c r="X126">
        <f>W126-R126</f>
        <v/>
      </c>
      <c r="Y126">
        <f>IF(W126=0,0,X126/W126)</f>
        <v/>
      </c>
      <c r="Z126">
        <f>C126-B126</f>
        <v/>
      </c>
      <c r="AA126">
        <f>TEXT(B126,"mmmm")</f>
        <v/>
      </c>
      <c r="AB126">
        <f>YEAR(B126)</f>
        <v/>
      </c>
      <c r="AC126">
        <f>IF(OR(P126&lt;0,P126&gt;0.5,C126&lt;B126),"INVALID","CLEAN")</f>
        <v/>
      </c>
    </row>
    <row r="127">
      <c r="A127" s="12" t="inlineStr">
        <is>
          <t>ORD-2025-10126</t>
        </is>
      </c>
      <c r="B127" s="12" t="inlineStr">
        <is>
          <t>2025-07-17</t>
        </is>
      </c>
      <c r="C127" s="12" t="inlineStr">
        <is>
          <t>18-07-2025</t>
        </is>
      </c>
      <c r="D127" s="12" t="inlineStr">
        <is>
          <t>CUST-7924</t>
        </is>
      </c>
      <c r="E127" s="12" t="inlineStr">
        <is>
          <t>Neha Gupta</t>
        </is>
      </c>
      <c r="F127" s="12" t="inlineStr">
        <is>
          <t>Small Business</t>
        </is>
      </c>
      <c r="G127" s="12" t="inlineStr">
        <is>
          <t>West</t>
        </is>
      </c>
      <c r="H127" s="12" t="inlineStr">
        <is>
          <t>Rajasthan</t>
        </is>
      </c>
      <c r="I127" s="12" t="inlineStr">
        <is>
          <t>Udaipur</t>
        </is>
      </c>
      <c r="J127" s="12" t="inlineStr">
        <is>
          <t>Furniture</t>
        </is>
      </c>
      <c r="K127" s="12" t="inlineStr">
        <is>
          <t>Tables</t>
        </is>
      </c>
      <c r="L127" s="12" t="inlineStr">
        <is>
          <t>Basic Tables 753</t>
        </is>
      </c>
      <c r="M127" s="12" t="inlineStr">
        <is>
          <t>Same Day</t>
        </is>
      </c>
      <c r="N127" s="12" t="n">
        <v>6</v>
      </c>
      <c r="O127" s="12" t="n">
        <v>3235.27</v>
      </c>
      <c r="P127" s="12" t="n">
        <v>0.25</v>
      </c>
      <c r="Q127" s="12" t="n">
        <v>14558.72</v>
      </c>
      <c r="R127" s="12" t="n">
        <v>9591.48</v>
      </c>
      <c r="S127" s="12" t="n">
        <v>4967.24</v>
      </c>
      <c r="T127" s="12" t="inlineStr">
        <is>
          <t>Refunded</t>
        </is>
      </c>
      <c r="U127" s="12" t="inlineStr">
        <is>
          <t>Returned</t>
        </is>
      </c>
      <c r="V127">
        <f>IF(OR(P127="",P127&lt;0,P127&gt;0.5),0,P127)</f>
        <v/>
      </c>
      <c r="W127">
        <f>N127*O127*(1-V127)</f>
        <v/>
      </c>
      <c r="X127">
        <f>W127-R127</f>
        <v/>
      </c>
      <c r="Y127">
        <f>IF(W127=0,0,X127/W127)</f>
        <v/>
      </c>
      <c r="Z127">
        <f>C127-B127</f>
        <v/>
      </c>
      <c r="AA127">
        <f>TEXT(B127,"mmmm")</f>
        <v/>
      </c>
      <c r="AB127">
        <f>YEAR(B127)</f>
        <v/>
      </c>
      <c r="AC127">
        <f>IF(OR(P127&lt;0,P127&gt;0.5,C127&lt;B127),"INVALID","CLEAN")</f>
        <v/>
      </c>
    </row>
    <row r="128">
      <c r="A128" s="12" t="inlineStr">
        <is>
          <t>ORD-2025-10127</t>
        </is>
      </c>
      <c r="B128" s="12" t="inlineStr">
        <is>
          <t>24-09-2025</t>
        </is>
      </c>
      <c r="C128" s="12" t="inlineStr">
        <is>
          <t>26 Sep 2025</t>
        </is>
      </c>
      <c r="D128" s="12" t="inlineStr">
        <is>
          <t>CUST-1715</t>
        </is>
      </c>
      <c r="E128" s="12" t="inlineStr">
        <is>
          <t>Priya Menon</t>
        </is>
      </c>
      <c r="F128" s="12" t="inlineStr">
        <is>
          <t>Corporate</t>
        </is>
      </c>
      <c r="G128" s="12" t="inlineStr">
        <is>
          <t>North</t>
        </is>
      </c>
      <c r="H128" s="12" t="inlineStr">
        <is>
          <t>Delhi</t>
        </is>
      </c>
      <c r="I128" s="12" t="inlineStr">
        <is>
          <t>New Delhi</t>
        </is>
      </c>
      <c r="J128" s="12" t="inlineStr">
        <is>
          <t>Technology</t>
        </is>
      </c>
      <c r="K128" s="12" t="inlineStr">
        <is>
          <t>Copiers</t>
        </is>
      </c>
      <c r="L128" s="12" t="inlineStr">
        <is>
          <t>Prime Copiers 651</t>
        </is>
      </c>
      <c r="M128" s="12" t="inlineStr">
        <is>
          <t>Standard Class</t>
        </is>
      </c>
      <c r="N128" s="12" t="n">
        <v>3</v>
      </c>
      <c r="O128" s="12" t="n">
        <v>1593.86</v>
      </c>
      <c r="P128" s="12" t="n">
        <v>0.1</v>
      </c>
      <c r="Q128" s="12" t="n">
        <v>4303.42</v>
      </c>
      <c r="R128" s="12" t="n">
        <v>2568.57</v>
      </c>
      <c r="S128" s="12" t="n">
        <v>1734.85</v>
      </c>
      <c r="T128" s="12" t="inlineStr">
        <is>
          <t>Paid</t>
        </is>
      </c>
      <c r="U128" s="12" t="inlineStr">
        <is>
          <t>Completed</t>
        </is>
      </c>
      <c r="V128">
        <f>IF(OR(P128="",P128&lt;0,P128&gt;0.5),0,P128)</f>
        <v/>
      </c>
      <c r="W128">
        <f>N128*O128*(1-V128)</f>
        <v/>
      </c>
      <c r="X128">
        <f>W128-R128</f>
        <v/>
      </c>
      <c r="Y128">
        <f>IF(W128=0,0,X128/W128)</f>
        <v/>
      </c>
      <c r="Z128">
        <f>C128-B128</f>
        <v/>
      </c>
      <c r="AA128">
        <f>TEXT(B128,"mmmm")</f>
        <v/>
      </c>
      <c r="AB128">
        <f>YEAR(B128)</f>
        <v/>
      </c>
      <c r="AC128">
        <f>IF(OR(P128&lt;0,P128&gt;0.5,C128&lt;B128),"INVALID","CLEAN")</f>
        <v/>
      </c>
    </row>
    <row r="129">
      <c r="A129" s="12" t="inlineStr">
        <is>
          <t>ORD-2025-10128</t>
        </is>
      </c>
      <c r="B129" s="12" t="inlineStr">
        <is>
          <t>01/30/2025</t>
        </is>
      </c>
      <c r="C129" s="12" t="inlineStr">
        <is>
          <t>26-01-2025</t>
        </is>
      </c>
      <c r="D129" s="12" t="inlineStr">
        <is>
          <t>CUST-6802</t>
        </is>
      </c>
      <c r="E129" s="12" t="inlineStr">
        <is>
          <t>Priya Menon</t>
        </is>
      </c>
      <c r="F129" s="12" t="inlineStr">
        <is>
          <t>Corporate</t>
        </is>
      </c>
      <c r="G129" s="12" t="inlineStr">
        <is>
          <t>West</t>
        </is>
      </c>
      <c r="H129" s="12" t="inlineStr">
        <is>
          <t>Madhya Pradesh</t>
        </is>
      </c>
      <c r="I129" s="12" t="inlineStr">
        <is>
          <t>Indore</t>
        </is>
      </c>
      <c r="J129" s="12" t="inlineStr">
        <is>
          <t>Office Supplies</t>
        </is>
      </c>
      <c r="K129" s="12" t="inlineStr">
        <is>
          <t>Storage</t>
        </is>
      </c>
      <c r="L129" s="12" t="inlineStr">
        <is>
          <t>Basic Storage 321</t>
        </is>
      </c>
      <c r="M129" s="12" t="inlineStr">
        <is>
          <t>Second Class</t>
        </is>
      </c>
      <c r="N129" s="12" t="n">
        <v>2</v>
      </c>
      <c r="O129" s="12" t="n">
        <v>3039.3</v>
      </c>
      <c r="P129" s="12" t="n">
        <v>0.05</v>
      </c>
      <c r="Q129" s="12" t="n">
        <v>5774.67</v>
      </c>
      <c r="R129" s="12" t="n">
        <v>3518.36</v>
      </c>
      <c r="S129" s="12" t="n">
        <v>2256.31</v>
      </c>
      <c r="T129" s="12" t="inlineStr">
        <is>
          <t>Paid</t>
        </is>
      </c>
      <c r="U129" s="12" t="inlineStr">
        <is>
          <t>Completed</t>
        </is>
      </c>
      <c r="V129">
        <f>IF(OR(P129="",P129&lt;0,P129&gt;0.5),0,P129)</f>
        <v/>
      </c>
      <c r="W129">
        <f>N129*O129*(1-V129)</f>
        <v/>
      </c>
      <c r="X129">
        <f>W129-R129</f>
        <v/>
      </c>
      <c r="Y129">
        <f>IF(W129=0,0,X129/W129)</f>
        <v/>
      </c>
      <c r="Z129">
        <f>C129-B129</f>
        <v/>
      </c>
      <c r="AA129">
        <f>TEXT(B129,"mmmm")</f>
        <v/>
      </c>
      <c r="AB129">
        <f>YEAR(B129)</f>
        <v/>
      </c>
      <c r="AC129">
        <f>IF(OR(P129&lt;0,P129&gt;0.5,C129&lt;B129),"INVALID","CLEAN")</f>
        <v/>
      </c>
    </row>
    <row r="130">
      <c r="A130" s="12" t="inlineStr">
        <is>
          <t>ORD-2024-10129</t>
        </is>
      </c>
      <c r="B130" s="12" t="inlineStr">
        <is>
          <t>13 Dec 2024</t>
        </is>
      </c>
      <c r="C130" s="12" t="inlineStr">
        <is>
          <t>16 Dec 2024</t>
        </is>
      </c>
      <c r="D130" s="12" t="inlineStr">
        <is>
          <t>CUST-9328</t>
        </is>
      </c>
      <c r="E130" s="12" t="inlineStr">
        <is>
          <t>Neha Gupta</t>
        </is>
      </c>
      <c r="F130" s="12" t="inlineStr">
        <is>
          <t>Small Business</t>
        </is>
      </c>
      <c r="G130" s="12" t="inlineStr">
        <is>
          <t>East</t>
        </is>
      </c>
      <c r="H130" s="12" t="inlineStr">
        <is>
          <t>Odisha</t>
        </is>
      </c>
      <c r="I130" s="12" t="inlineStr">
        <is>
          <t>Bhubaneswar</t>
        </is>
      </c>
      <c r="J130" s="12" t="inlineStr">
        <is>
          <t>Furniture</t>
        </is>
      </c>
      <c r="K130" s="12" t="inlineStr">
        <is>
          <t>Furnishings</t>
        </is>
      </c>
      <c r="L130" s="12" t="inlineStr">
        <is>
          <t>Prime Furnishings 710</t>
        </is>
      </c>
      <c r="M130" s="12" t="inlineStr">
        <is>
          <t>Standard Class</t>
        </is>
      </c>
      <c r="N130" s="12" t="n">
        <v>5</v>
      </c>
      <c r="O130" s="12" t="n">
        <v>923.45</v>
      </c>
      <c r="P130" s="12" t="n">
        <v>0.05</v>
      </c>
      <c r="Q130" s="12" t="n">
        <v>4386.39</v>
      </c>
      <c r="R130" s="12" t="n">
        <v>3366.88</v>
      </c>
      <c r="S130" s="12" t="n">
        <v>1019.51</v>
      </c>
      <c r="T130" s="12" t="inlineStr">
        <is>
          <t>Paid</t>
        </is>
      </c>
      <c r="U130" s="12" t="inlineStr">
        <is>
          <t>Returned</t>
        </is>
      </c>
      <c r="V130">
        <f>IF(OR(P130="",P130&lt;0,P130&gt;0.5),0,P130)</f>
        <v/>
      </c>
      <c r="W130">
        <f>N130*O130*(1-V130)</f>
        <v/>
      </c>
      <c r="X130">
        <f>W130-R130</f>
        <v/>
      </c>
      <c r="Y130">
        <f>IF(W130=0,0,X130/W130)</f>
        <v/>
      </c>
      <c r="Z130">
        <f>C130-B130</f>
        <v/>
      </c>
      <c r="AA130">
        <f>TEXT(B130,"mmmm")</f>
        <v/>
      </c>
      <c r="AB130">
        <f>YEAR(B130)</f>
        <v/>
      </c>
      <c r="AC130">
        <f>IF(OR(P130&lt;0,P130&gt;0.5,C130&lt;B130),"INVALID","CLEAN")</f>
        <v/>
      </c>
    </row>
    <row r="131">
      <c r="A131" s="12" t="inlineStr">
        <is>
          <t>ORD-2024-10130</t>
        </is>
      </c>
      <c r="B131" s="12" t="inlineStr">
        <is>
          <t>2024-07-19</t>
        </is>
      </c>
      <c r="C131" s="12" t="inlineStr">
        <is>
          <t>25-07-2024</t>
        </is>
      </c>
      <c r="D131" s="12" t="inlineStr">
        <is>
          <t>CUST-2588</t>
        </is>
      </c>
      <c r="E131" s="12" t="inlineStr">
        <is>
          <t>Isha Nair</t>
        </is>
      </c>
      <c r="F131" s="12" t="inlineStr">
        <is>
          <t>Small Business</t>
        </is>
      </c>
      <c r="G131" s="12" t="inlineStr">
        <is>
          <t>West</t>
        </is>
      </c>
      <c r="H131" s="12" t="inlineStr">
        <is>
          <t>Goa</t>
        </is>
      </c>
      <c r="I131" s="12" t="inlineStr">
        <is>
          <t>Panaji</t>
        </is>
      </c>
      <c r="J131" s="12" t="inlineStr">
        <is>
          <t>Office Supplies</t>
        </is>
      </c>
      <c r="K131" s="12" t="inlineStr">
        <is>
          <t>Binders</t>
        </is>
      </c>
      <c r="L131" s="12" t="inlineStr">
        <is>
          <t>Elite Binders 723</t>
        </is>
      </c>
      <c r="M131" s="12" t="inlineStr">
        <is>
          <t>Standard Class</t>
        </is>
      </c>
      <c r="N131" s="12" t="n">
        <v>7</v>
      </c>
      <c r="O131" s="12" t="n">
        <v>2741.29</v>
      </c>
      <c r="P131" s="12" t="n">
        <v>0.05</v>
      </c>
      <c r="Q131" s="12" t="n">
        <v>18229.58</v>
      </c>
      <c r="R131" s="12" t="n">
        <v>15139.15</v>
      </c>
      <c r="S131" s="12" t="n">
        <v>3090.43</v>
      </c>
      <c r="T131" s="12" t="inlineStr">
        <is>
          <t>Paid</t>
        </is>
      </c>
      <c r="U131" s="12" t="inlineStr">
        <is>
          <t>Completed</t>
        </is>
      </c>
      <c r="V131">
        <f>IF(OR(P131="",P131&lt;0,P131&gt;0.5),0,P131)</f>
        <v/>
      </c>
      <c r="W131">
        <f>N131*O131*(1-V131)</f>
        <v/>
      </c>
      <c r="X131">
        <f>W131-R131</f>
        <v/>
      </c>
      <c r="Y131">
        <f>IF(W131=0,0,X131/W131)</f>
        <v/>
      </c>
      <c r="Z131">
        <f>C131-B131</f>
        <v/>
      </c>
      <c r="AA131">
        <f>TEXT(B131,"mmmm")</f>
        <v/>
      </c>
      <c r="AB131">
        <f>YEAR(B131)</f>
        <v/>
      </c>
      <c r="AC131">
        <f>IF(OR(P131&lt;0,P131&gt;0.5,C131&lt;B131),"INVALID","CLEAN")</f>
        <v/>
      </c>
    </row>
    <row r="132">
      <c r="A132" s="12" t="inlineStr">
        <is>
          <t>ORD-2024-10131</t>
        </is>
      </c>
      <c r="B132" s="12" t="inlineStr">
        <is>
          <t>2024-01-27</t>
        </is>
      </c>
      <c r="C132" s="12" t="inlineStr">
        <is>
          <t>02 Feb 2024</t>
        </is>
      </c>
      <c r="D132" s="12" t="inlineStr">
        <is>
          <t>CUST-5435</t>
        </is>
      </c>
      <c r="E132" s="12" t="inlineStr">
        <is>
          <t>Arjun Bose</t>
        </is>
      </c>
      <c r="F132" s="12" t="inlineStr">
        <is>
          <t>Consumer</t>
        </is>
      </c>
      <c r="G132" s="12" t="inlineStr">
        <is>
          <t>West</t>
        </is>
      </c>
      <c r="H132" s="12" t="inlineStr">
        <is>
          <t>Gujarat</t>
        </is>
      </c>
      <c r="I132" s="12" t="inlineStr">
        <is>
          <t>Ahmedabad</t>
        </is>
      </c>
      <c r="J132" s="12" t="inlineStr">
        <is>
          <t>Office Supplies</t>
        </is>
      </c>
      <c r="K132" s="12" t="inlineStr">
        <is>
          <t>Labels</t>
        </is>
      </c>
      <c r="L132" s="12" t="inlineStr">
        <is>
          <t>Smart Labels 878</t>
        </is>
      </c>
      <c r="M132" s="12" t="inlineStr">
        <is>
          <t>Same Day</t>
        </is>
      </c>
      <c r="N132" s="12" t="n">
        <v>5</v>
      </c>
      <c r="O132" s="12" t="n">
        <v>218.42</v>
      </c>
      <c r="P132" s="12" t="n">
        <v>0.2</v>
      </c>
      <c r="Q132" s="12" t="n">
        <v>873.6799999999999</v>
      </c>
      <c r="R132" s="12" t="n">
        <v>661.72</v>
      </c>
      <c r="S132" s="12" t="n">
        <v>211.96</v>
      </c>
      <c r="T132" s="12" t="inlineStr">
        <is>
          <t>Pending</t>
        </is>
      </c>
      <c r="U132" s="12" t="inlineStr">
        <is>
          <t>Cancelled</t>
        </is>
      </c>
      <c r="V132">
        <f>IF(OR(P132="",P132&lt;0,P132&gt;0.5),0,P132)</f>
        <v/>
      </c>
      <c r="W132">
        <f>N132*O132*(1-V132)</f>
        <v/>
      </c>
      <c r="X132">
        <f>W132-R132</f>
        <v/>
      </c>
      <c r="Y132">
        <f>IF(W132=0,0,X132/W132)</f>
        <v/>
      </c>
      <c r="Z132">
        <f>C132-B132</f>
        <v/>
      </c>
      <c r="AA132">
        <f>TEXT(B132,"mmmm")</f>
        <v/>
      </c>
      <c r="AB132">
        <f>YEAR(B132)</f>
        <v/>
      </c>
      <c r="AC132">
        <f>IF(OR(P132&lt;0,P132&gt;0.5,C132&lt;B132),"INVALID","CLEAN")</f>
        <v/>
      </c>
    </row>
    <row r="133">
      <c r="A133" s="12" t="inlineStr">
        <is>
          <t>ORD-2025-10132</t>
        </is>
      </c>
      <c r="B133" s="12" t="inlineStr">
        <is>
          <t>09/29/2025</t>
        </is>
      </c>
      <c r="C133" s="12" t="inlineStr">
        <is>
          <t>2025-10-04</t>
        </is>
      </c>
      <c r="D133" s="12" t="inlineStr">
        <is>
          <t>CUST-7637</t>
        </is>
      </c>
      <c r="E133" s="12" t="inlineStr">
        <is>
          <t>Ananya Rao</t>
        </is>
      </c>
      <c r="F133" s="12" t="inlineStr">
        <is>
          <t>Home Office</t>
        </is>
      </c>
      <c r="G133" s="12" t="inlineStr">
        <is>
          <t>East</t>
        </is>
      </c>
      <c r="H133" s="12" t="inlineStr">
        <is>
          <t>Jharkhand</t>
        </is>
      </c>
      <c r="I133" s="12" t="inlineStr">
        <is>
          <t>Ranchi</t>
        </is>
      </c>
      <c r="J133" s="12" t="inlineStr">
        <is>
          <t>Office Supplies</t>
        </is>
      </c>
      <c r="K133" s="12" t="inlineStr">
        <is>
          <t>Paper</t>
        </is>
      </c>
      <c r="L133" s="12" t="inlineStr">
        <is>
          <t>Pro Paper 934</t>
        </is>
      </c>
      <c r="M133" s="12" t="inlineStr">
        <is>
          <t>Same Day</t>
        </is>
      </c>
      <c r="N133" s="12" t="n">
        <v>9</v>
      </c>
      <c r="O133" s="12" t="n">
        <v>373.91</v>
      </c>
      <c r="P133" s="12" t="n">
        <v>0.2</v>
      </c>
      <c r="Q133" s="12" t="n">
        <v>2692.15</v>
      </c>
      <c r="R133" s="12" t="n">
        <v>2044.49</v>
      </c>
      <c r="S133" s="12" t="n">
        <v>647.66</v>
      </c>
      <c r="T133" s="12" t="inlineStr">
        <is>
          <t>Paid</t>
        </is>
      </c>
      <c r="U133" s="12" t="inlineStr">
        <is>
          <t>Completed</t>
        </is>
      </c>
      <c r="V133">
        <f>IF(OR(P133="",P133&lt;0,P133&gt;0.5),0,P133)</f>
        <v/>
      </c>
      <c r="W133">
        <f>N133*O133*(1-V133)</f>
        <v/>
      </c>
      <c r="X133">
        <f>W133-R133</f>
        <v/>
      </c>
      <c r="Y133">
        <f>IF(W133=0,0,X133/W133)</f>
        <v/>
      </c>
      <c r="Z133">
        <f>C133-B133</f>
        <v/>
      </c>
      <c r="AA133">
        <f>TEXT(B133,"mmmm")</f>
        <v/>
      </c>
      <c r="AB133">
        <f>YEAR(B133)</f>
        <v/>
      </c>
      <c r="AC133">
        <f>IF(OR(P133&lt;0,P133&gt;0.5,C133&lt;B133),"INVALID","CLEAN")</f>
        <v/>
      </c>
    </row>
    <row r="134">
      <c r="A134" s="12" t="inlineStr">
        <is>
          <t>ORD-2024-10133</t>
        </is>
      </c>
      <c r="B134" s="12" t="inlineStr">
        <is>
          <t>04 Nov 2024</t>
        </is>
      </c>
      <c r="C134" s="12" t="inlineStr">
        <is>
          <t>04 Nov 2024</t>
        </is>
      </c>
      <c r="D134" s="12" t="inlineStr">
        <is>
          <t>CUST-3602</t>
        </is>
      </c>
      <c r="E134" s="12" t="inlineStr">
        <is>
          <t>Kabir Singh</t>
        </is>
      </c>
      <c r="F134" s="12" t="inlineStr">
        <is>
          <t>Corporate</t>
        </is>
      </c>
      <c r="G134" s="12" t="inlineStr">
        <is>
          <t>East</t>
        </is>
      </c>
      <c r="H134" s="12" t="inlineStr">
        <is>
          <t>Assam</t>
        </is>
      </c>
      <c r="I134" s="12" t="inlineStr">
        <is>
          <t>Guwahati</t>
        </is>
      </c>
      <c r="J134" s="12" t="inlineStr">
        <is>
          <t>Technology</t>
        </is>
      </c>
      <c r="K134" s="12" t="inlineStr">
        <is>
          <t>Machines</t>
        </is>
      </c>
      <c r="L134" s="12" t="inlineStr">
        <is>
          <t>Classic Machines 886</t>
        </is>
      </c>
      <c r="M134" s="12" t="inlineStr">
        <is>
          <t>First Class</t>
        </is>
      </c>
      <c r="N134" s="12" t="n">
        <v>2</v>
      </c>
      <c r="O134" s="12" t="n">
        <v>533.08</v>
      </c>
      <c r="P134" s="12" t="n">
        <v>0</v>
      </c>
      <c r="Q134" s="12" t="n">
        <v>1066.16</v>
      </c>
      <c r="R134" s="12" t="n">
        <v>656.3</v>
      </c>
      <c r="S134" s="12" t="n">
        <v>409.86</v>
      </c>
      <c r="T134" s="12" t="inlineStr">
        <is>
          <t>Failed</t>
        </is>
      </c>
      <c r="U134" s="12" t="inlineStr">
        <is>
          <t>Cancelled</t>
        </is>
      </c>
      <c r="V134">
        <f>IF(OR(P134="",P134&lt;0,P134&gt;0.5),0,P134)</f>
        <v/>
      </c>
      <c r="W134">
        <f>N134*O134*(1-V134)</f>
        <v/>
      </c>
      <c r="X134">
        <f>W134-R134</f>
        <v/>
      </c>
      <c r="Y134">
        <f>IF(W134=0,0,X134/W134)</f>
        <v/>
      </c>
      <c r="Z134">
        <f>C134-B134</f>
        <v/>
      </c>
      <c r="AA134">
        <f>TEXT(B134,"mmmm")</f>
        <v/>
      </c>
      <c r="AB134">
        <f>YEAR(B134)</f>
        <v/>
      </c>
      <c r="AC134">
        <f>IF(OR(P134&lt;0,P134&gt;0.5,C134&lt;B134),"INVALID","CLEAN")</f>
        <v/>
      </c>
    </row>
    <row r="135">
      <c r="A135" s="12" t="inlineStr">
        <is>
          <t>ORD-2024-10134</t>
        </is>
      </c>
      <c r="B135" s="12" t="inlineStr">
        <is>
          <t>2024-12-13</t>
        </is>
      </c>
      <c r="C135" s="12" t="inlineStr">
        <is>
          <t>12/18/2024</t>
        </is>
      </c>
      <c r="D135" s="12" t="inlineStr">
        <is>
          <t>CUST-9441</t>
        </is>
      </c>
      <c r="E135" s="12" t="inlineStr">
        <is>
          <t>Karan Malhotra</t>
        </is>
      </c>
      <c r="F135" s="12" t="inlineStr">
        <is>
          <t>Consumer</t>
        </is>
      </c>
      <c r="G135" s="12" t="inlineStr">
        <is>
          <t>West</t>
        </is>
      </c>
      <c r="H135" s="12" t="inlineStr">
        <is>
          <t>Goa</t>
        </is>
      </c>
      <c r="I135" s="12" t="inlineStr">
        <is>
          <t>Panaji</t>
        </is>
      </c>
      <c r="J135" s="12" t="inlineStr">
        <is>
          <t>Technology</t>
        </is>
      </c>
      <c r="K135" s="12" t="inlineStr">
        <is>
          <t>Phones</t>
        </is>
      </c>
      <c r="L135" s="12" t="inlineStr">
        <is>
          <t>Prime Phones 419</t>
        </is>
      </c>
      <c r="M135" s="12" t="inlineStr">
        <is>
          <t>Second Class</t>
        </is>
      </c>
      <c r="N135" s="12" t="n">
        <v>8</v>
      </c>
      <c r="O135" s="12" t="n">
        <v>3372.15</v>
      </c>
      <c r="P135" s="12" t="n">
        <v>0.15</v>
      </c>
      <c r="Q135" s="12" t="n">
        <v>22930.62</v>
      </c>
      <c r="R135" s="12" t="n">
        <v>16875.55</v>
      </c>
      <c r="S135" s="12" t="n">
        <v>6055.07</v>
      </c>
      <c r="T135" s="12" t="inlineStr">
        <is>
          <t>Paid</t>
        </is>
      </c>
      <c r="U135" s="12" t="inlineStr">
        <is>
          <t>Completed</t>
        </is>
      </c>
      <c r="V135">
        <f>IF(OR(P135="",P135&lt;0,P135&gt;0.5),0,P135)</f>
        <v/>
      </c>
      <c r="W135">
        <f>N135*O135*(1-V135)</f>
        <v/>
      </c>
      <c r="X135">
        <f>W135-R135</f>
        <v/>
      </c>
      <c r="Y135">
        <f>IF(W135=0,0,X135/W135)</f>
        <v/>
      </c>
      <c r="Z135">
        <f>C135-B135</f>
        <v/>
      </c>
      <c r="AA135">
        <f>TEXT(B135,"mmmm")</f>
        <v/>
      </c>
      <c r="AB135">
        <f>YEAR(B135)</f>
        <v/>
      </c>
      <c r="AC135">
        <f>IF(OR(P135&lt;0,P135&gt;0.5,C135&lt;B135),"INVALID","CLEAN")</f>
        <v/>
      </c>
    </row>
    <row r="136">
      <c r="A136" s="12" t="inlineStr">
        <is>
          <t>ORD-2025-10135</t>
        </is>
      </c>
      <c r="B136" s="12" t="inlineStr">
        <is>
          <t>07/14/2025</t>
        </is>
      </c>
      <c r="C136" s="12" t="inlineStr">
        <is>
          <t>2025-07-14</t>
        </is>
      </c>
      <c r="D136" s="12" t="inlineStr">
        <is>
          <t>CUST-7361</t>
        </is>
      </c>
      <c r="E136" s="12" t="inlineStr">
        <is>
          <t>Vikram Iyer</t>
        </is>
      </c>
      <c r="F136" s="12" t="inlineStr">
        <is>
          <t>Home Office</t>
        </is>
      </c>
      <c r="G136" s="12" t="inlineStr">
        <is>
          <t>East</t>
        </is>
      </c>
      <c r="H136" s="12" t="inlineStr">
        <is>
          <t>West Bengal</t>
        </is>
      </c>
      <c r="I136" s="12" t="inlineStr">
        <is>
          <t>Kolkata</t>
        </is>
      </c>
      <c r="J136" s="12" t="inlineStr">
        <is>
          <t>Furniture</t>
        </is>
      </c>
      <c r="K136" s="12" t="inlineStr">
        <is>
          <t>Bookcases</t>
        </is>
      </c>
      <c r="L136" s="12" t="inlineStr">
        <is>
          <t>Elite Bookcases 266</t>
        </is>
      </c>
      <c r="M136" s="12" t="n"/>
      <c r="N136" s="12" t="n">
        <v>5</v>
      </c>
      <c r="O136" s="12" t="n">
        <v>383.1</v>
      </c>
      <c r="P136" s="12" t="n">
        <v>0.25</v>
      </c>
      <c r="Q136" s="12" t="n">
        <v>1436.62</v>
      </c>
      <c r="R136" s="12" t="n">
        <v>912.52</v>
      </c>
      <c r="S136" s="12" t="n">
        <v>524.1</v>
      </c>
      <c r="T136" s="12" t="inlineStr">
        <is>
          <t>Pending</t>
        </is>
      </c>
      <c r="U136" s="12" t="inlineStr">
        <is>
          <t>Cancelled</t>
        </is>
      </c>
      <c r="V136">
        <f>IF(OR(P136="",P136&lt;0,P136&gt;0.5),0,P136)</f>
        <v/>
      </c>
      <c r="W136">
        <f>N136*O136*(1-V136)</f>
        <v/>
      </c>
      <c r="X136">
        <f>W136-R136</f>
        <v/>
      </c>
      <c r="Y136">
        <f>IF(W136=0,0,X136/W136)</f>
        <v/>
      </c>
      <c r="Z136">
        <f>C136-B136</f>
        <v/>
      </c>
      <c r="AA136">
        <f>TEXT(B136,"mmmm")</f>
        <v/>
      </c>
      <c r="AB136">
        <f>YEAR(B136)</f>
        <v/>
      </c>
      <c r="AC136">
        <f>IF(OR(P136&lt;0,P136&gt;0.5,C136&lt;B136),"INVALID","CLEAN")</f>
        <v/>
      </c>
    </row>
    <row r="137">
      <c r="A137" s="12" t="inlineStr">
        <is>
          <t>ORD-2025-10136</t>
        </is>
      </c>
      <c r="B137" s="12" t="inlineStr">
        <is>
          <t>2025-08-24</t>
        </is>
      </c>
      <c r="C137" s="12" t="inlineStr">
        <is>
          <t>2025-08-24</t>
        </is>
      </c>
      <c r="D137" s="12" t="inlineStr">
        <is>
          <t>CUST-1148</t>
        </is>
      </c>
      <c r="E137" s="12" t="inlineStr">
        <is>
          <t>Diya Patel</t>
        </is>
      </c>
      <c r="F137" s="12" t="inlineStr">
        <is>
          <t>Small Business</t>
        </is>
      </c>
      <c r="G137" s="12" t="inlineStr">
        <is>
          <t>South</t>
        </is>
      </c>
      <c r="H137" s="12" t="inlineStr">
        <is>
          <t>Kerala</t>
        </is>
      </c>
      <c r="I137" s="12" t="inlineStr">
        <is>
          <t>Kochi</t>
        </is>
      </c>
      <c r="J137" s="12" t="inlineStr">
        <is>
          <t xml:space="preserve">Furniture </t>
        </is>
      </c>
      <c r="K137" s="12" t="inlineStr">
        <is>
          <t>Bookcases</t>
        </is>
      </c>
      <c r="L137" s="12" t="inlineStr">
        <is>
          <t>Prime Bookcases 954</t>
        </is>
      </c>
      <c r="M137" s="12" t="inlineStr">
        <is>
          <t>Standard Class</t>
        </is>
      </c>
      <c r="N137" s="12" t="n">
        <v>1</v>
      </c>
      <c r="O137" s="12" t="n">
        <v>3424.78</v>
      </c>
      <c r="P137" s="12" t="n">
        <v>0</v>
      </c>
      <c r="Q137" s="12" t="n">
        <v>3424.78</v>
      </c>
      <c r="R137" s="12" t="n">
        <v>1951.45</v>
      </c>
      <c r="S137" s="12" t="n">
        <v>1473.33</v>
      </c>
      <c r="T137" s="12" t="inlineStr">
        <is>
          <t>Paid</t>
        </is>
      </c>
      <c r="U137" s="12" t="inlineStr">
        <is>
          <t>Completed</t>
        </is>
      </c>
      <c r="V137">
        <f>IF(OR(P137="",P137&lt;0,P137&gt;0.5),0,P137)</f>
        <v/>
      </c>
      <c r="W137">
        <f>N137*O137*(1-V137)</f>
        <v/>
      </c>
      <c r="X137">
        <f>W137-R137</f>
        <v/>
      </c>
      <c r="Y137">
        <f>IF(W137=0,0,X137/W137)</f>
        <v/>
      </c>
      <c r="Z137">
        <f>C137-B137</f>
        <v/>
      </c>
      <c r="AA137">
        <f>TEXT(B137,"mmmm")</f>
        <v/>
      </c>
      <c r="AB137">
        <f>YEAR(B137)</f>
        <v/>
      </c>
      <c r="AC137">
        <f>IF(OR(P137&lt;0,P137&gt;0.5,C137&lt;B137),"INVALID","CLEAN")</f>
        <v/>
      </c>
    </row>
    <row r="138">
      <c r="A138" s="12" t="inlineStr">
        <is>
          <t>ORD-2025-10137</t>
        </is>
      </c>
      <c r="B138" s="12" t="inlineStr">
        <is>
          <t>09-02-2025</t>
        </is>
      </c>
      <c r="C138" s="12" t="inlineStr">
        <is>
          <t>15-02-2025</t>
        </is>
      </c>
      <c r="D138" s="12" t="inlineStr">
        <is>
          <t>CUST-3350</t>
        </is>
      </c>
      <c r="E138" s="12" t="inlineStr">
        <is>
          <t>Mira Das</t>
        </is>
      </c>
      <c r="F138" s="12" t="inlineStr">
        <is>
          <t>Home Office</t>
        </is>
      </c>
      <c r="G138" s="12" t="inlineStr">
        <is>
          <t>East</t>
        </is>
      </c>
      <c r="H138" s="12" t="inlineStr">
        <is>
          <t>Jharkhand</t>
        </is>
      </c>
      <c r="I138" s="12" t="inlineStr">
        <is>
          <t>Ranchi</t>
        </is>
      </c>
      <c r="J138" s="12" t="inlineStr">
        <is>
          <t>Office Supplies</t>
        </is>
      </c>
      <c r="K138" s="12" t="inlineStr">
        <is>
          <t>Binders</t>
        </is>
      </c>
      <c r="L138" s="12" t="inlineStr">
        <is>
          <t>Max Binders 362</t>
        </is>
      </c>
      <c r="M138" s="12" t="inlineStr">
        <is>
          <t>Standard  Class</t>
        </is>
      </c>
      <c r="N138" s="12" t="n">
        <v>9</v>
      </c>
      <c r="O138" s="12" t="n">
        <v>4330.33</v>
      </c>
      <c r="P138" s="12" t="n">
        <v>0.2</v>
      </c>
      <c r="Q138" s="12" t="n">
        <v>31178.38</v>
      </c>
      <c r="R138" s="12" t="n">
        <v>21421.09</v>
      </c>
      <c r="S138" s="12" t="n">
        <v>9757.290000000001</v>
      </c>
      <c r="T138" s="12" t="inlineStr">
        <is>
          <t>Paid</t>
        </is>
      </c>
      <c r="U138" s="12" t="inlineStr">
        <is>
          <t>Completed</t>
        </is>
      </c>
      <c r="V138">
        <f>IF(OR(P138="",P138&lt;0,P138&gt;0.5),0,P138)</f>
        <v/>
      </c>
      <c r="W138">
        <f>N138*O138*(1-V138)</f>
        <v/>
      </c>
      <c r="X138">
        <f>W138-R138</f>
        <v/>
      </c>
      <c r="Y138">
        <f>IF(W138=0,0,X138/W138)</f>
        <v/>
      </c>
      <c r="Z138">
        <f>C138-B138</f>
        <v/>
      </c>
      <c r="AA138">
        <f>TEXT(B138,"mmmm")</f>
        <v/>
      </c>
      <c r="AB138">
        <f>YEAR(B138)</f>
        <v/>
      </c>
      <c r="AC138">
        <f>IF(OR(P138&lt;0,P138&gt;0.5,C138&lt;B138),"INVALID","CLEAN")</f>
        <v/>
      </c>
    </row>
    <row r="139">
      <c r="A139" s="12" t="inlineStr">
        <is>
          <t>ORD-2025-10138</t>
        </is>
      </c>
      <c r="B139" s="12" t="inlineStr">
        <is>
          <t>01/09/2025</t>
        </is>
      </c>
      <c r="C139" s="12" t="inlineStr">
        <is>
          <t>2025-01-09</t>
        </is>
      </c>
      <c r="D139" s="12" t="inlineStr">
        <is>
          <t>CUST-7932</t>
        </is>
      </c>
      <c r="E139" s="12" t="inlineStr">
        <is>
          <t>Sneha Kapoor</t>
        </is>
      </c>
      <c r="F139" s="12" t="inlineStr">
        <is>
          <t>Small Business</t>
        </is>
      </c>
      <c r="G139" s="12" t="inlineStr">
        <is>
          <t>North</t>
        </is>
      </c>
      <c r="H139" s="12" t="inlineStr">
        <is>
          <t>Rajasthan</t>
        </is>
      </c>
      <c r="I139" s="12" t="inlineStr">
        <is>
          <t>Jaipur</t>
        </is>
      </c>
      <c r="J139" s="12" t="inlineStr">
        <is>
          <t>Furniture</t>
        </is>
      </c>
      <c r="K139" s="12" t="inlineStr">
        <is>
          <t>Chairs</t>
        </is>
      </c>
      <c r="L139" s="12" t="inlineStr">
        <is>
          <t>Prime Chairs 261</t>
        </is>
      </c>
      <c r="M139" s="12" t="inlineStr">
        <is>
          <t>Same Day</t>
        </is>
      </c>
      <c r="N139" s="12" t="n">
        <v>8</v>
      </c>
      <c r="O139" s="12" t="n">
        <v>2667.07</v>
      </c>
      <c r="P139" s="12" t="n">
        <v>0.1</v>
      </c>
      <c r="Q139" s="12" t="n">
        <v>19202.9</v>
      </c>
      <c r="R139" s="12" t="n">
        <v>15526.62</v>
      </c>
      <c r="S139" s="12" t="n">
        <v>3676.28</v>
      </c>
      <c r="T139" s="12" t="inlineStr">
        <is>
          <t>Paid</t>
        </is>
      </c>
      <c r="U139" s="12" t="inlineStr">
        <is>
          <t>Completed</t>
        </is>
      </c>
      <c r="V139">
        <f>IF(OR(P139="",P139&lt;0,P139&gt;0.5),0,P139)</f>
        <v/>
      </c>
      <c r="W139">
        <f>N139*O139*(1-V139)</f>
        <v/>
      </c>
      <c r="X139">
        <f>W139-R139</f>
        <v/>
      </c>
      <c r="Y139">
        <f>IF(W139=0,0,X139/W139)</f>
        <v/>
      </c>
      <c r="Z139">
        <f>C139-B139</f>
        <v/>
      </c>
      <c r="AA139">
        <f>TEXT(B139,"mmmm")</f>
        <v/>
      </c>
      <c r="AB139">
        <f>YEAR(B139)</f>
        <v/>
      </c>
      <c r="AC139">
        <f>IF(OR(P139&lt;0,P139&gt;0.5,C139&lt;B139),"INVALID","CLEAN")</f>
        <v/>
      </c>
    </row>
    <row r="140">
      <c r="A140" s="12" t="inlineStr">
        <is>
          <t>ORD-2024-10139</t>
        </is>
      </c>
      <c r="B140" s="12" t="inlineStr">
        <is>
          <t>2024-01-20</t>
        </is>
      </c>
      <c r="C140" s="12" t="inlineStr">
        <is>
          <t>26-01-2024</t>
        </is>
      </c>
      <c r="D140" s="12" t="inlineStr">
        <is>
          <t>CUST-7173</t>
        </is>
      </c>
      <c r="E140" s="12" t="inlineStr">
        <is>
          <t>Diya Patel</t>
        </is>
      </c>
      <c r="F140" s="12" t="inlineStr">
        <is>
          <t>Home Office</t>
        </is>
      </c>
      <c r="G140" s="12" t="inlineStr">
        <is>
          <t>East</t>
        </is>
      </c>
      <c r="H140" s="12" t="inlineStr">
        <is>
          <t>Jharkhand</t>
        </is>
      </c>
      <c r="I140" s="12" t="inlineStr">
        <is>
          <t>Ranchi</t>
        </is>
      </c>
      <c r="J140" s="12" t="inlineStr">
        <is>
          <t>Technology</t>
        </is>
      </c>
      <c r="K140" s="12" t="inlineStr">
        <is>
          <t>Machines</t>
        </is>
      </c>
      <c r="L140" s="12" t="inlineStr">
        <is>
          <t>Basic Machines 185</t>
        </is>
      </c>
      <c r="M140" s="12" t="inlineStr">
        <is>
          <t>Standard Class</t>
        </is>
      </c>
      <c r="N140" s="12" t="n">
        <v>8</v>
      </c>
      <c r="O140" s="12" t="n">
        <v>4003.05</v>
      </c>
      <c r="P140" s="12" t="n">
        <v>0.25</v>
      </c>
      <c r="Q140" s="12" t="n">
        <v>24018.3</v>
      </c>
      <c r="R140" s="12" t="n">
        <v>14070.78</v>
      </c>
      <c r="S140" s="12" t="n">
        <v>9947.52</v>
      </c>
      <c r="T140" s="12" t="inlineStr">
        <is>
          <t>Paid</t>
        </is>
      </c>
      <c r="U140" s="12" t="inlineStr">
        <is>
          <t>Completed</t>
        </is>
      </c>
      <c r="V140">
        <f>IF(OR(P140="",P140&lt;0,P140&gt;0.5),0,P140)</f>
        <v/>
      </c>
      <c r="W140">
        <f>N140*O140*(1-V140)</f>
        <v/>
      </c>
      <c r="X140">
        <f>W140-R140</f>
        <v/>
      </c>
      <c r="Y140">
        <f>IF(W140=0,0,X140/W140)</f>
        <v/>
      </c>
      <c r="Z140">
        <f>C140-B140</f>
        <v/>
      </c>
      <c r="AA140">
        <f>TEXT(B140,"mmmm")</f>
        <v/>
      </c>
      <c r="AB140">
        <f>YEAR(B140)</f>
        <v/>
      </c>
      <c r="AC140">
        <f>IF(OR(P140&lt;0,P140&gt;0.5,C140&lt;B140),"INVALID","CLEAN")</f>
        <v/>
      </c>
    </row>
    <row r="141">
      <c r="A141" s="12" t="inlineStr">
        <is>
          <t>ORD-2025-10140</t>
        </is>
      </c>
      <c r="B141" s="12" t="inlineStr">
        <is>
          <t>03/02/2025</t>
        </is>
      </c>
      <c r="C141" s="12" t="inlineStr">
        <is>
          <t>07-03-2025</t>
        </is>
      </c>
      <c r="D141" s="12" t="inlineStr">
        <is>
          <t>CUST-4225</t>
        </is>
      </c>
      <c r="E141" s="12" t="inlineStr">
        <is>
          <t>Neha Gupta</t>
        </is>
      </c>
      <c r="F141" s="12" t="inlineStr">
        <is>
          <t>Home Office</t>
        </is>
      </c>
      <c r="G141" s="12" t="inlineStr">
        <is>
          <t>South</t>
        </is>
      </c>
      <c r="H141" s="12" t="inlineStr">
        <is>
          <t>Karnataka</t>
        </is>
      </c>
      <c r="I141" s="12" t="inlineStr">
        <is>
          <t>Bengaluru</t>
        </is>
      </c>
      <c r="J141" s="12" t="inlineStr">
        <is>
          <t>Office Supplies</t>
        </is>
      </c>
      <c r="K141" s="12" t="inlineStr">
        <is>
          <t>Labels</t>
        </is>
      </c>
      <c r="L141" s="12" t="inlineStr">
        <is>
          <t>Basic Labels 509</t>
        </is>
      </c>
      <c r="M141" s="12" t="inlineStr">
        <is>
          <t>Standard Class</t>
        </is>
      </c>
      <c r="N141" s="12" t="n">
        <v>8</v>
      </c>
      <c r="O141" s="12" t="n">
        <v>1287.63</v>
      </c>
      <c r="P141" s="12" t="n">
        <v>0</v>
      </c>
      <c r="Q141" s="12" t="n">
        <v>10301.04</v>
      </c>
      <c r="R141" s="12" t="n">
        <v>6564.06</v>
      </c>
      <c r="S141" s="12" t="n">
        <v>3736.98</v>
      </c>
      <c r="T141" s="12" t="inlineStr">
        <is>
          <t>Paid</t>
        </is>
      </c>
      <c r="U141" s="12" t="inlineStr">
        <is>
          <t>Completed</t>
        </is>
      </c>
      <c r="V141">
        <f>IF(OR(P141="",P141&lt;0,P141&gt;0.5),0,P141)</f>
        <v/>
      </c>
      <c r="W141">
        <f>N141*O141*(1-V141)</f>
        <v/>
      </c>
      <c r="X141">
        <f>W141-R141</f>
        <v/>
      </c>
      <c r="Y141">
        <f>IF(W141=0,0,X141/W141)</f>
        <v/>
      </c>
      <c r="Z141">
        <f>C141-B141</f>
        <v/>
      </c>
      <c r="AA141">
        <f>TEXT(B141,"mmmm")</f>
        <v/>
      </c>
      <c r="AB141">
        <f>YEAR(B141)</f>
        <v/>
      </c>
      <c r="AC141">
        <f>IF(OR(P141&lt;0,P141&gt;0.5,C141&lt;B141),"INVALID","CLEAN")</f>
        <v/>
      </c>
    </row>
    <row r="142">
      <c r="A142" s="12" t="inlineStr">
        <is>
          <t>ORD-2024-10141</t>
        </is>
      </c>
      <c r="B142" s="12" t="inlineStr">
        <is>
          <t>31-05-2024</t>
        </is>
      </c>
      <c r="C142" s="12" t="inlineStr">
        <is>
          <t>01 Jun 2024</t>
        </is>
      </c>
      <c r="D142" s="12" t="inlineStr">
        <is>
          <t>CUST-2149</t>
        </is>
      </c>
      <c r="E142" s="12" t="inlineStr">
        <is>
          <t>Mira Das</t>
        </is>
      </c>
      <c r="F142" s="12" t="inlineStr">
        <is>
          <t>Corporate</t>
        </is>
      </c>
      <c r="G142" s="12" t="inlineStr">
        <is>
          <t>South</t>
        </is>
      </c>
      <c r="H142" s="12" t="inlineStr">
        <is>
          <t>Karnataka</t>
        </is>
      </c>
      <c r="I142" s="12" t="inlineStr">
        <is>
          <t>Bengaluru</t>
        </is>
      </c>
      <c r="J142" s="12" t="inlineStr">
        <is>
          <t>Furniture</t>
        </is>
      </c>
      <c r="K142" s="12" t="inlineStr">
        <is>
          <t>Bookcases</t>
        </is>
      </c>
      <c r="L142" s="12" t="inlineStr">
        <is>
          <t>Elite Bookcases 696</t>
        </is>
      </c>
      <c r="M142" s="12" t="inlineStr">
        <is>
          <t>Same Day</t>
        </is>
      </c>
      <c r="N142" s="12" t="n">
        <v>3</v>
      </c>
      <c r="O142" s="12" t="n">
        <v>2914.55</v>
      </c>
      <c r="P142" s="12" t="n">
        <v>0</v>
      </c>
      <c r="Q142" s="12" t="n">
        <v>8743.65</v>
      </c>
      <c r="R142" s="12" t="n">
        <v>6603.76</v>
      </c>
      <c r="S142" s="12" t="n">
        <v>2139.89</v>
      </c>
      <c r="T142" s="12" t="inlineStr">
        <is>
          <t>Paid</t>
        </is>
      </c>
      <c r="U142" s="12" t="inlineStr">
        <is>
          <t>Completed</t>
        </is>
      </c>
      <c r="V142">
        <f>IF(OR(P142="",P142&lt;0,P142&gt;0.5),0,P142)</f>
        <v/>
      </c>
      <c r="W142">
        <f>N142*O142*(1-V142)</f>
        <v/>
      </c>
      <c r="X142">
        <f>W142-R142</f>
        <v/>
      </c>
      <c r="Y142">
        <f>IF(W142=0,0,X142/W142)</f>
        <v/>
      </c>
      <c r="Z142">
        <f>C142-B142</f>
        <v/>
      </c>
      <c r="AA142">
        <f>TEXT(B142,"mmmm")</f>
        <v/>
      </c>
      <c r="AB142">
        <f>YEAR(B142)</f>
        <v/>
      </c>
      <c r="AC142">
        <f>IF(OR(P142&lt;0,P142&gt;0.5,C142&lt;B142),"INVALID","CLEAN")</f>
        <v/>
      </c>
    </row>
    <row r="143">
      <c r="A143" s="12" t="inlineStr">
        <is>
          <t>ORD-2024-10142</t>
        </is>
      </c>
      <c r="B143" s="12" t="inlineStr">
        <is>
          <t>03/23/2024</t>
        </is>
      </c>
      <c r="C143" s="12" t="inlineStr">
        <is>
          <t>2024-03-29</t>
        </is>
      </c>
      <c r="D143" s="12" t="inlineStr">
        <is>
          <t>CUST-3314</t>
        </is>
      </c>
      <c r="E143" s="12" t="inlineStr">
        <is>
          <t>Priya Menon</t>
        </is>
      </c>
      <c r="F143" s="12" t="inlineStr">
        <is>
          <t>Corporate</t>
        </is>
      </c>
      <c r="G143" s="12" t="inlineStr">
        <is>
          <t>North</t>
        </is>
      </c>
      <c r="H143" s="12" t="inlineStr">
        <is>
          <t>Delhi</t>
        </is>
      </c>
      <c r="I143" s="12" t="inlineStr">
        <is>
          <t>New Delhi</t>
        </is>
      </c>
      <c r="J143" s="12" t="inlineStr">
        <is>
          <t>Furniture</t>
        </is>
      </c>
      <c r="K143" s="12" t="inlineStr">
        <is>
          <t>Bookcases</t>
        </is>
      </c>
      <c r="L143" s="12" t="inlineStr">
        <is>
          <t>Elite Bookcases 772</t>
        </is>
      </c>
      <c r="M143" s="12" t="inlineStr">
        <is>
          <t>Same Day</t>
        </is>
      </c>
      <c r="N143" s="12" t="n">
        <v>7</v>
      </c>
      <c r="O143" s="12" t="n">
        <v>634.29</v>
      </c>
      <c r="P143" s="12" t="n">
        <v>0.1</v>
      </c>
      <c r="Q143" s="12" t="n">
        <v>3996.03</v>
      </c>
      <c r="R143" s="12" t="n">
        <v>2859.51</v>
      </c>
      <c r="S143" s="12" t="n">
        <v>1136.52</v>
      </c>
      <c r="T143" s="12" t="inlineStr">
        <is>
          <t>Paid</t>
        </is>
      </c>
      <c r="U143" s="12" t="inlineStr">
        <is>
          <t>Returned</t>
        </is>
      </c>
      <c r="V143">
        <f>IF(OR(P143="",P143&lt;0,P143&gt;0.5),0,P143)</f>
        <v/>
      </c>
      <c r="W143">
        <f>N143*O143*(1-V143)</f>
        <v/>
      </c>
      <c r="X143">
        <f>W143-R143</f>
        <v/>
      </c>
      <c r="Y143">
        <f>IF(W143=0,0,X143/W143)</f>
        <v/>
      </c>
      <c r="Z143">
        <f>C143-B143</f>
        <v/>
      </c>
      <c r="AA143">
        <f>TEXT(B143,"mmmm")</f>
        <v/>
      </c>
      <c r="AB143">
        <f>YEAR(B143)</f>
        <v/>
      </c>
      <c r="AC143">
        <f>IF(OR(P143&lt;0,P143&gt;0.5,C143&lt;B143),"INVALID","CLEAN")</f>
        <v/>
      </c>
    </row>
    <row r="144">
      <c r="A144" s="12" t="inlineStr">
        <is>
          <t>ORD-2024-10143</t>
        </is>
      </c>
      <c r="B144" s="12" t="inlineStr">
        <is>
          <t>30 Mar 2024</t>
        </is>
      </c>
      <c r="C144" s="12" t="inlineStr">
        <is>
          <t>26 Mar 2024</t>
        </is>
      </c>
      <c r="D144" s="12" t="inlineStr">
        <is>
          <t>CUST-8944</t>
        </is>
      </c>
      <c r="E144" s="12" t="inlineStr">
        <is>
          <t>Aditi Sen</t>
        </is>
      </c>
      <c r="F144" s="12" t="inlineStr">
        <is>
          <t>Home Office</t>
        </is>
      </c>
      <c r="G144" s="12" t="inlineStr">
        <is>
          <t>North</t>
        </is>
      </c>
      <c r="H144" s="12" t="inlineStr">
        <is>
          <t>Rajasthan</t>
        </is>
      </c>
      <c r="I144" s="12" t="inlineStr">
        <is>
          <t>Jaipur</t>
        </is>
      </c>
      <c r="J144" s="12" t="inlineStr">
        <is>
          <t>Technology</t>
        </is>
      </c>
      <c r="K144" s="12" t="inlineStr">
        <is>
          <t>Phones</t>
        </is>
      </c>
      <c r="L144" s="12" t="inlineStr">
        <is>
          <t>Classic Phones 142</t>
        </is>
      </c>
      <c r="M144" s="12" t="inlineStr">
        <is>
          <t>Second Class</t>
        </is>
      </c>
      <c r="N144" s="12" t="n">
        <v>5</v>
      </c>
      <c r="O144" s="12" t="n">
        <v>907.54</v>
      </c>
      <c r="P144" s="12" t="n">
        <v>0.15</v>
      </c>
      <c r="Q144" s="12" t="n">
        <v>3857.04</v>
      </c>
      <c r="R144" s="12" t="n">
        <v>2769.26</v>
      </c>
      <c r="S144" s="12" t="n">
        <v>1087.78</v>
      </c>
      <c r="T144" s="12" t="inlineStr">
        <is>
          <t>Paid</t>
        </is>
      </c>
      <c r="U144" s="12" t="inlineStr">
        <is>
          <t>Completed</t>
        </is>
      </c>
      <c r="V144">
        <f>IF(OR(P144="",P144&lt;0,P144&gt;0.5),0,P144)</f>
        <v/>
      </c>
      <c r="W144">
        <f>N144*O144*(1-V144)</f>
        <v/>
      </c>
      <c r="X144">
        <f>W144-R144</f>
        <v/>
      </c>
      <c r="Y144">
        <f>IF(W144=0,0,X144/W144)</f>
        <v/>
      </c>
      <c r="Z144">
        <f>C144-B144</f>
        <v/>
      </c>
      <c r="AA144">
        <f>TEXT(B144,"mmmm")</f>
        <v/>
      </c>
      <c r="AB144">
        <f>YEAR(B144)</f>
        <v/>
      </c>
      <c r="AC144">
        <f>IF(OR(P144&lt;0,P144&gt;0.5,C144&lt;B144),"INVALID","CLEAN")</f>
        <v/>
      </c>
    </row>
    <row r="145">
      <c r="A145" s="12" t="inlineStr">
        <is>
          <t>ORD-2024-10144</t>
        </is>
      </c>
      <c r="B145" s="12" t="inlineStr">
        <is>
          <t>03/24/2024</t>
        </is>
      </c>
      <c r="C145" s="12" t="inlineStr">
        <is>
          <t>2024-03-26</t>
        </is>
      </c>
      <c r="D145" s="12" t="inlineStr">
        <is>
          <t>CUST-3144</t>
        </is>
      </c>
      <c r="E145" s="12" t="inlineStr">
        <is>
          <t>Priya Menon</t>
        </is>
      </c>
      <c r="F145" s="12" t="inlineStr">
        <is>
          <t>Consumer</t>
        </is>
      </c>
      <c r="G145" s="12" t="inlineStr">
        <is>
          <t>West</t>
        </is>
      </c>
      <c r="H145" s="12" t="inlineStr">
        <is>
          <t>Gujarat</t>
        </is>
      </c>
      <c r="I145" s="12" t="inlineStr">
        <is>
          <t>Ahmedabad</t>
        </is>
      </c>
      <c r="J145" s="12" t="inlineStr">
        <is>
          <t>Office Supplies</t>
        </is>
      </c>
      <c r="K145" s="12" t="inlineStr">
        <is>
          <t>Paper</t>
        </is>
      </c>
      <c r="L145" s="12" t="inlineStr">
        <is>
          <t>Pro Paper 575</t>
        </is>
      </c>
      <c r="M145" s="12" t="inlineStr">
        <is>
          <t>Second Class</t>
        </is>
      </c>
      <c r="N145" s="12" t="n">
        <v>1</v>
      </c>
      <c r="O145" s="12" t="n">
        <v>3409.5</v>
      </c>
      <c r="P145" s="12" t="n">
        <v>0.1</v>
      </c>
      <c r="Q145" s="12" t="n">
        <v>3068.55</v>
      </c>
      <c r="R145" s="12" t="n">
        <v>1916.16</v>
      </c>
      <c r="S145" s="12" t="n">
        <v>1152.39</v>
      </c>
      <c r="T145" s="12" t="inlineStr">
        <is>
          <t>Paid</t>
        </is>
      </c>
      <c r="U145" s="12" t="inlineStr">
        <is>
          <t>Returned</t>
        </is>
      </c>
      <c r="V145">
        <f>IF(OR(P145="",P145&lt;0,P145&gt;0.5),0,P145)</f>
        <v/>
      </c>
      <c r="W145">
        <f>N145*O145*(1-V145)</f>
        <v/>
      </c>
      <c r="X145">
        <f>W145-R145</f>
        <v/>
      </c>
      <c r="Y145">
        <f>IF(W145=0,0,X145/W145)</f>
        <v/>
      </c>
      <c r="Z145">
        <f>C145-B145</f>
        <v/>
      </c>
      <c r="AA145">
        <f>TEXT(B145,"mmmm")</f>
        <v/>
      </c>
      <c r="AB145">
        <f>YEAR(B145)</f>
        <v/>
      </c>
      <c r="AC145">
        <f>IF(OR(P145&lt;0,P145&gt;0.5,C145&lt;B145),"INVALID","CLEAN")</f>
        <v/>
      </c>
    </row>
    <row r="146">
      <c r="A146" s="12" t="inlineStr">
        <is>
          <t>ORD-2024-10145</t>
        </is>
      </c>
      <c r="B146" s="12" t="inlineStr">
        <is>
          <t>07-06-2024</t>
        </is>
      </c>
      <c r="C146" s="12" t="inlineStr">
        <is>
          <t>2024-06-15</t>
        </is>
      </c>
      <c r="D146" s="12" t="inlineStr">
        <is>
          <t>CUST-6747</t>
        </is>
      </c>
      <c r="E146" s="12" t="inlineStr">
        <is>
          <t>Kabir Singh</t>
        </is>
      </c>
      <c r="F146" s="12" t="inlineStr">
        <is>
          <t>Small Business</t>
        </is>
      </c>
      <c r="G146" s="12" t="inlineStr">
        <is>
          <t>South</t>
        </is>
      </c>
      <c r="H146" s="12" t="inlineStr">
        <is>
          <t>Telangana</t>
        </is>
      </c>
      <c r="I146" s="12" t="inlineStr">
        <is>
          <t>Hyderabad</t>
        </is>
      </c>
      <c r="J146" s="12" t="inlineStr">
        <is>
          <t>Technology</t>
        </is>
      </c>
      <c r="K146" s="12" t="inlineStr">
        <is>
          <t>Accessories</t>
        </is>
      </c>
      <c r="L146" s="12" t="inlineStr">
        <is>
          <t>Elite Accessories 905</t>
        </is>
      </c>
      <c r="M146" s="12" t="inlineStr">
        <is>
          <t>First Class</t>
        </is>
      </c>
      <c r="N146" s="12" t="n">
        <v>7</v>
      </c>
      <c r="O146" s="12" t="n">
        <v>2147.99</v>
      </c>
      <c r="P146" s="12" t="n">
        <v>0.25</v>
      </c>
      <c r="Q146" s="12" t="n">
        <v>11276.95</v>
      </c>
      <c r="R146" s="12" t="n">
        <v>6908.76</v>
      </c>
      <c r="S146" s="12" t="n">
        <v>4368.19</v>
      </c>
      <c r="T146" s="12" t="inlineStr">
        <is>
          <t>Refunded</t>
        </is>
      </c>
      <c r="U146" s="12" t="inlineStr">
        <is>
          <t>Returned</t>
        </is>
      </c>
      <c r="V146">
        <f>IF(OR(P146="",P146&lt;0,P146&gt;0.5),0,P146)</f>
        <v/>
      </c>
      <c r="W146">
        <f>N146*O146*(1-V146)</f>
        <v/>
      </c>
      <c r="X146">
        <f>W146-R146</f>
        <v/>
      </c>
      <c r="Y146">
        <f>IF(W146=0,0,X146/W146)</f>
        <v/>
      </c>
      <c r="Z146">
        <f>C146-B146</f>
        <v/>
      </c>
      <c r="AA146">
        <f>TEXT(B146,"mmmm")</f>
        <v/>
      </c>
      <c r="AB146">
        <f>YEAR(B146)</f>
        <v/>
      </c>
      <c r="AC146">
        <f>IF(OR(P146&lt;0,P146&gt;0.5,C146&lt;B146),"INVALID","CLEAN")</f>
        <v/>
      </c>
    </row>
    <row r="147">
      <c r="A147" s="12" t="inlineStr">
        <is>
          <t>ORD-2025-10146</t>
        </is>
      </c>
      <c r="B147" s="12" t="inlineStr">
        <is>
          <t>11-04-2025</t>
        </is>
      </c>
      <c r="C147" s="12" t="inlineStr">
        <is>
          <t>04/13/2025</t>
        </is>
      </c>
      <c r="D147" s="12" t="inlineStr">
        <is>
          <t>CUST-6161</t>
        </is>
      </c>
      <c r="E147" s="12" t="inlineStr">
        <is>
          <t>Mira Das</t>
        </is>
      </c>
      <c r="F147" s="12" t="inlineStr">
        <is>
          <t>Small Business</t>
        </is>
      </c>
      <c r="G147" s="12" t="inlineStr">
        <is>
          <t>West</t>
        </is>
      </c>
      <c r="H147" s="12" t="inlineStr">
        <is>
          <t>Goa</t>
        </is>
      </c>
      <c r="I147" s="12" t="inlineStr">
        <is>
          <t>Panaji</t>
        </is>
      </c>
      <c r="J147" s="12" t="inlineStr">
        <is>
          <t>Office Supplies</t>
        </is>
      </c>
      <c r="K147" s="12" t="inlineStr">
        <is>
          <t>Paper</t>
        </is>
      </c>
      <c r="L147" s="12" t="inlineStr">
        <is>
          <t>Smart Paper 899</t>
        </is>
      </c>
      <c r="M147" s="12" t="inlineStr">
        <is>
          <t>Standard Class</t>
        </is>
      </c>
      <c r="N147" s="12" t="n">
        <v>4</v>
      </c>
      <c r="O147" s="12" t="n">
        <v>4182.15</v>
      </c>
      <c r="P147" s="12" t="n">
        <v>0.1</v>
      </c>
      <c r="Q147" s="12" t="n">
        <v>15055.74</v>
      </c>
      <c r="R147" s="12" t="n">
        <v>9808.83</v>
      </c>
      <c r="S147" s="12" t="n">
        <v>5246.91</v>
      </c>
      <c r="T147" s="12" t="inlineStr">
        <is>
          <t>Paid</t>
        </is>
      </c>
      <c r="U147" s="12" t="inlineStr">
        <is>
          <t>Completed</t>
        </is>
      </c>
      <c r="V147">
        <f>IF(OR(P147="",P147&lt;0,P147&gt;0.5),0,P147)</f>
        <v/>
      </c>
      <c r="W147">
        <f>N147*O147*(1-V147)</f>
        <v/>
      </c>
      <c r="X147">
        <f>W147-R147</f>
        <v/>
      </c>
      <c r="Y147">
        <f>IF(W147=0,0,X147/W147)</f>
        <v/>
      </c>
      <c r="Z147">
        <f>C147-B147</f>
        <v/>
      </c>
      <c r="AA147">
        <f>TEXT(B147,"mmmm")</f>
        <v/>
      </c>
      <c r="AB147">
        <f>YEAR(B147)</f>
        <v/>
      </c>
      <c r="AC147">
        <f>IF(OR(P147&lt;0,P147&gt;0.5,C147&lt;B147),"INVALID","CLEAN")</f>
        <v/>
      </c>
    </row>
    <row r="148">
      <c r="A148" s="12" t="inlineStr">
        <is>
          <t>ORD-2025-10147</t>
        </is>
      </c>
      <c r="B148" s="12" t="inlineStr">
        <is>
          <t>30 Jul 2025</t>
        </is>
      </c>
      <c r="C148" s="12" t="inlineStr">
        <is>
          <t>08/01/2025</t>
        </is>
      </c>
      <c r="D148" s="12" t="inlineStr">
        <is>
          <t>CUST-1460</t>
        </is>
      </c>
      <c r="E148" s="12" t="inlineStr">
        <is>
          <t>Sneha Kapoor</t>
        </is>
      </c>
      <c r="F148" s="12" t="inlineStr">
        <is>
          <t>Small Business</t>
        </is>
      </c>
      <c r="G148" s="12" t="inlineStr">
        <is>
          <t>South</t>
        </is>
      </c>
      <c r="H148" s="12" t="inlineStr">
        <is>
          <t>Tamil Nadu</t>
        </is>
      </c>
      <c r="I148" s="12" t="inlineStr">
        <is>
          <t>Chennai</t>
        </is>
      </c>
      <c r="J148" s="12" t="inlineStr">
        <is>
          <t>Office Supplies</t>
        </is>
      </c>
      <c r="K148" s="12" t="inlineStr">
        <is>
          <t>Storage</t>
        </is>
      </c>
      <c r="L148" s="12" t="inlineStr">
        <is>
          <t>Classic Storage 423</t>
        </is>
      </c>
      <c r="M148" s="12" t="inlineStr">
        <is>
          <t>Same Day</t>
        </is>
      </c>
      <c r="N148" s="12" t="n">
        <v>9</v>
      </c>
      <c r="O148" s="12" t="n">
        <v>3165.43</v>
      </c>
      <c r="P148" s="12" t="n">
        <v>0.1</v>
      </c>
      <c r="Q148" s="12" t="n">
        <v>25639.98</v>
      </c>
      <c r="R148" s="12" t="n">
        <v>21635.08</v>
      </c>
      <c r="S148" s="12" t="n">
        <v>4004.9</v>
      </c>
      <c r="T148" s="12" t="inlineStr">
        <is>
          <t>Paid</t>
        </is>
      </c>
      <c r="U148" s="12" t="inlineStr">
        <is>
          <t>Completed</t>
        </is>
      </c>
      <c r="V148">
        <f>IF(OR(P148="",P148&lt;0,P148&gt;0.5),0,P148)</f>
        <v/>
      </c>
      <c r="W148">
        <f>N148*O148*(1-V148)</f>
        <v/>
      </c>
      <c r="X148">
        <f>W148-R148</f>
        <v/>
      </c>
      <c r="Y148">
        <f>IF(W148=0,0,X148/W148)</f>
        <v/>
      </c>
      <c r="Z148">
        <f>C148-B148</f>
        <v/>
      </c>
      <c r="AA148">
        <f>TEXT(B148,"mmmm")</f>
        <v/>
      </c>
      <c r="AB148">
        <f>YEAR(B148)</f>
        <v/>
      </c>
      <c r="AC148">
        <f>IF(OR(P148&lt;0,P148&gt;0.5,C148&lt;B148),"INVALID","CLEAN")</f>
        <v/>
      </c>
    </row>
    <row r="149">
      <c r="A149" s="12" t="inlineStr">
        <is>
          <t>ORD-2024-10148</t>
        </is>
      </c>
      <c r="B149" s="12" t="inlineStr">
        <is>
          <t>23-12-2024</t>
        </is>
      </c>
      <c r="C149" s="12" t="inlineStr">
        <is>
          <t>2024-12-30</t>
        </is>
      </c>
      <c r="D149" s="12" t="inlineStr">
        <is>
          <t>CUST-2692</t>
        </is>
      </c>
      <c r="E149" s="12" t="inlineStr">
        <is>
          <t>Priya Menon</t>
        </is>
      </c>
      <c r="F149" s="12" t="inlineStr">
        <is>
          <t>Home Office</t>
        </is>
      </c>
      <c r="G149" s="12" t="inlineStr">
        <is>
          <t>West</t>
        </is>
      </c>
      <c r="H149" s="12" t="inlineStr">
        <is>
          <t>Goa</t>
        </is>
      </c>
      <c r="I149" s="12" t="inlineStr">
        <is>
          <t>Panaji</t>
        </is>
      </c>
      <c r="J149" s="12" t="inlineStr">
        <is>
          <t>Furniture</t>
        </is>
      </c>
      <c r="K149" s="12" t="inlineStr">
        <is>
          <t>Furnishings</t>
        </is>
      </c>
      <c r="L149" s="12" t="inlineStr">
        <is>
          <t>Classic Furnishings 743</t>
        </is>
      </c>
      <c r="M149" s="12" t="inlineStr">
        <is>
          <t>First Class</t>
        </is>
      </c>
      <c r="N149" s="12" t="n">
        <v>8</v>
      </c>
      <c r="O149" s="12" t="n">
        <v>386.1</v>
      </c>
      <c r="P149" s="12" t="n">
        <v>0.1</v>
      </c>
      <c r="Q149" s="12" t="n">
        <v>2779.92</v>
      </c>
      <c r="R149" s="12" t="n">
        <v>1744.05</v>
      </c>
      <c r="S149" s="12" t="n">
        <v>1035.87</v>
      </c>
      <c r="T149" s="12" t="inlineStr">
        <is>
          <t>Paid</t>
        </is>
      </c>
      <c r="U149" s="12" t="inlineStr">
        <is>
          <t>Completed</t>
        </is>
      </c>
      <c r="V149">
        <f>IF(OR(P149="",P149&lt;0,P149&gt;0.5),0,P149)</f>
        <v/>
      </c>
      <c r="W149">
        <f>N149*O149*(1-V149)</f>
        <v/>
      </c>
      <c r="X149">
        <f>W149-R149</f>
        <v/>
      </c>
      <c r="Y149">
        <f>IF(W149=0,0,X149/W149)</f>
        <v/>
      </c>
      <c r="Z149">
        <f>C149-B149</f>
        <v/>
      </c>
      <c r="AA149">
        <f>TEXT(B149,"mmmm")</f>
        <v/>
      </c>
      <c r="AB149">
        <f>YEAR(B149)</f>
        <v/>
      </c>
      <c r="AC149">
        <f>IF(OR(P149&lt;0,P149&gt;0.5,C149&lt;B149),"INVALID","CLEAN")</f>
        <v/>
      </c>
    </row>
    <row r="150">
      <c r="A150" s="12" t="inlineStr">
        <is>
          <t>ORD-2025-10149</t>
        </is>
      </c>
      <c r="B150" s="12" t="inlineStr">
        <is>
          <t>09 Feb 2025</t>
        </is>
      </c>
      <c r="C150" s="12" t="inlineStr">
        <is>
          <t>13-02-2025</t>
        </is>
      </c>
      <c r="D150" s="12" t="inlineStr">
        <is>
          <t>CUST-2822</t>
        </is>
      </c>
      <c r="E150" s="12" t="inlineStr">
        <is>
          <t>Mira Das</t>
        </is>
      </c>
      <c r="F150" s="12" t="inlineStr">
        <is>
          <t>Home Office</t>
        </is>
      </c>
      <c r="G150" s="12" t="inlineStr">
        <is>
          <t>West</t>
        </is>
      </c>
      <c r="H150" s="12" t="inlineStr">
        <is>
          <t>Madhya Pradesh</t>
        </is>
      </c>
      <c r="I150" s="12" t="inlineStr">
        <is>
          <t>Indore</t>
        </is>
      </c>
      <c r="J150" s="12" t="inlineStr">
        <is>
          <t>Technology</t>
        </is>
      </c>
      <c r="K150" s="12" t="inlineStr">
        <is>
          <t>Phones</t>
        </is>
      </c>
      <c r="L150" s="12" t="inlineStr">
        <is>
          <t>Smart Phones 336</t>
        </is>
      </c>
      <c r="M150" s="12" t="n"/>
      <c r="N150" s="12" t="n">
        <v>8</v>
      </c>
      <c r="O150" s="12" t="n">
        <v>1696.07</v>
      </c>
      <c r="P150" s="12" t="n">
        <v>0.25</v>
      </c>
      <c r="Q150" s="12" t="n">
        <v>10176.42</v>
      </c>
      <c r="R150" s="12" t="n">
        <v>7604.47</v>
      </c>
      <c r="S150" s="12" t="n">
        <v>2571.95</v>
      </c>
      <c r="T150" s="12" t="inlineStr">
        <is>
          <t>Paid</t>
        </is>
      </c>
      <c r="U150" s="12" t="inlineStr">
        <is>
          <t>Completed</t>
        </is>
      </c>
      <c r="V150">
        <f>IF(OR(P150="",P150&lt;0,P150&gt;0.5),0,P150)</f>
        <v/>
      </c>
      <c r="W150">
        <f>N150*O150*(1-V150)</f>
        <v/>
      </c>
      <c r="X150">
        <f>W150-R150</f>
        <v/>
      </c>
      <c r="Y150">
        <f>IF(W150=0,0,X150/W150)</f>
        <v/>
      </c>
      <c r="Z150">
        <f>C150-B150</f>
        <v/>
      </c>
      <c r="AA150">
        <f>TEXT(B150,"mmmm")</f>
        <v/>
      </c>
      <c r="AB150">
        <f>YEAR(B150)</f>
        <v/>
      </c>
      <c r="AC150">
        <f>IF(OR(P150&lt;0,P150&gt;0.5,C150&lt;B150),"INVALID","CLEAN")</f>
        <v/>
      </c>
    </row>
    <row r="151">
      <c r="A151" s="12" t="inlineStr">
        <is>
          <t>ORD-2024-10150</t>
        </is>
      </c>
      <c r="B151" s="12" t="inlineStr">
        <is>
          <t>30-01-2024</t>
        </is>
      </c>
      <c r="C151" s="12" t="inlineStr">
        <is>
          <t>30-01-2024</t>
        </is>
      </c>
      <c r="D151" s="12" t="inlineStr">
        <is>
          <t>CUST-5876</t>
        </is>
      </c>
      <c r="E151" s="12" t="inlineStr">
        <is>
          <t>Aarav Sharma</t>
        </is>
      </c>
      <c r="F151" s="12" t="inlineStr">
        <is>
          <t>Small Business</t>
        </is>
      </c>
      <c r="G151" s="12" t="inlineStr">
        <is>
          <t>west</t>
        </is>
      </c>
      <c r="H151" s="12" t="inlineStr">
        <is>
          <t>Rajasthan</t>
        </is>
      </c>
      <c r="I151" s="12" t="inlineStr">
        <is>
          <t>Udaipur</t>
        </is>
      </c>
      <c r="J151" s="12" t="inlineStr">
        <is>
          <t>Technology</t>
        </is>
      </c>
      <c r="K151" s="12" t="inlineStr">
        <is>
          <t>Copiers</t>
        </is>
      </c>
      <c r="L151" s="12" t="inlineStr">
        <is>
          <t>Eco Copiers 381</t>
        </is>
      </c>
      <c r="M151" s="12" t="inlineStr">
        <is>
          <t>Same Day</t>
        </is>
      </c>
      <c r="N151" s="12" t="n">
        <v>7</v>
      </c>
      <c r="O151" s="12" t="n">
        <v>2527.61</v>
      </c>
      <c r="P151" s="12" t="n">
        <v>0.25</v>
      </c>
      <c r="Q151" s="12" t="n">
        <v>13269.95</v>
      </c>
      <c r="R151" s="12" t="n">
        <v>8977.1</v>
      </c>
      <c r="S151" s="12" t="n">
        <v>4292.85</v>
      </c>
      <c r="T151" s="12" t="inlineStr">
        <is>
          <t>Paid</t>
        </is>
      </c>
      <c r="U151" s="12" t="inlineStr">
        <is>
          <t>Completed</t>
        </is>
      </c>
      <c r="V151">
        <f>IF(OR(P151="",P151&lt;0,P151&gt;0.5),0,P151)</f>
        <v/>
      </c>
      <c r="W151">
        <f>N151*O151*(1-V151)</f>
        <v/>
      </c>
      <c r="X151">
        <f>W151-R151</f>
        <v/>
      </c>
      <c r="Y151">
        <f>IF(W151=0,0,X151/W151)</f>
        <v/>
      </c>
      <c r="Z151">
        <f>C151-B151</f>
        <v/>
      </c>
      <c r="AA151">
        <f>TEXT(B151,"mmmm")</f>
        <v/>
      </c>
      <c r="AB151">
        <f>YEAR(B151)</f>
        <v/>
      </c>
      <c r="AC151">
        <f>IF(OR(P151&lt;0,P151&gt;0.5,C151&lt;B151),"INVALID","CLEAN")</f>
        <v/>
      </c>
    </row>
    <row r="152">
      <c r="A152" s="12" t="inlineStr">
        <is>
          <t>ORD-2024-10151</t>
        </is>
      </c>
      <c r="B152" s="12" t="inlineStr">
        <is>
          <t>04-03-2024</t>
        </is>
      </c>
      <c r="C152" s="12" t="inlineStr">
        <is>
          <t>2024-03-12</t>
        </is>
      </c>
      <c r="D152" s="12" t="inlineStr">
        <is>
          <t>CUST-4661</t>
        </is>
      </c>
      <c r="E152" s="12" t="inlineStr">
        <is>
          <t>Arjun Bose</t>
        </is>
      </c>
      <c r="F152" s="12" t="inlineStr">
        <is>
          <t>Consumer</t>
        </is>
      </c>
      <c r="G152" s="12" t="n"/>
      <c r="H152" s="12" t="inlineStr">
        <is>
          <t>Gujarat</t>
        </is>
      </c>
      <c r="I152" s="12" t="inlineStr">
        <is>
          <t>Ahmedabad</t>
        </is>
      </c>
      <c r="J152" s="12" t="inlineStr">
        <is>
          <t>Furniture</t>
        </is>
      </c>
      <c r="K152" s="12" t="inlineStr">
        <is>
          <t>Bookcases</t>
        </is>
      </c>
      <c r="L152" s="12" t="inlineStr">
        <is>
          <t>Max Bookcases 595</t>
        </is>
      </c>
      <c r="M152" s="12" t="inlineStr">
        <is>
          <t>First Class</t>
        </is>
      </c>
      <c r="N152" s="12" t="n">
        <v>1</v>
      </c>
      <c r="O152" s="12" t="n">
        <v>1554.12</v>
      </c>
      <c r="P152" s="12" t="n">
        <v>0.1</v>
      </c>
      <c r="Q152" s="12" t="n">
        <v>1398.71</v>
      </c>
      <c r="R152" s="12" t="n">
        <v>1056.92</v>
      </c>
      <c r="S152" s="12" t="n">
        <v>341.79</v>
      </c>
      <c r="T152" s="12" t="inlineStr">
        <is>
          <t>Paid</t>
        </is>
      </c>
      <c r="U152" s="12" t="inlineStr">
        <is>
          <t>Completed</t>
        </is>
      </c>
      <c r="V152">
        <f>IF(OR(P152="",P152&lt;0,P152&gt;0.5),0,P152)</f>
        <v/>
      </c>
      <c r="W152">
        <f>N152*O152*(1-V152)</f>
        <v/>
      </c>
      <c r="X152">
        <f>W152-R152</f>
        <v/>
      </c>
      <c r="Y152">
        <f>IF(W152=0,0,X152/W152)</f>
        <v/>
      </c>
      <c r="Z152">
        <f>C152-B152</f>
        <v/>
      </c>
      <c r="AA152">
        <f>TEXT(B152,"mmmm")</f>
        <v/>
      </c>
      <c r="AB152">
        <f>YEAR(B152)</f>
        <v/>
      </c>
      <c r="AC152">
        <f>IF(OR(P152&lt;0,P152&gt;0.5,C152&lt;B152),"INVALID","CLEAN")</f>
        <v/>
      </c>
    </row>
    <row r="153">
      <c r="A153" s="12" t="inlineStr">
        <is>
          <t>ORD-2024-10152</t>
        </is>
      </c>
      <c r="B153" s="12" t="inlineStr">
        <is>
          <t>27 Jun 2024</t>
        </is>
      </c>
      <c r="C153" s="12" t="inlineStr">
        <is>
          <t>06/27/2024</t>
        </is>
      </c>
      <c r="D153" s="12" t="inlineStr">
        <is>
          <t>CUST-6011</t>
        </is>
      </c>
      <c r="E153" s="12" t="inlineStr">
        <is>
          <t>Neha Gupta</t>
        </is>
      </c>
      <c r="F153" s="12" t="inlineStr">
        <is>
          <t>Home Office</t>
        </is>
      </c>
      <c r="G153" s="12" t="n"/>
      <c r="H153" s="12" t="inlineStr">
        <is>
          <t>Madhya Pradesh</t>
        </is>
      </c>
      <c r="I153" s="12" t="inlineStr">
        <is>
          <t>Indore</t>
        </is>
      </c>
      <c r="J153" s="12" t="inlineStr">
        <is>
          <t>Technology</t>
        </is>
      </c>
      <c r="K153" s="12" t="inlineStr">
        <is>
          <t>Copiers</t>
        </is>
      </c>
      <c r="L153" s="12" t="inlineStr">
        <is>
          <t>Max Copiers 992</t>
        </is>
      </c>
      <c r="M153" s="12" t="inlineStr">
        <is>
          <t>Standard Class</t>
        </is>
      </c>
      <c r="N153" s="12" t="n">
        <v>2</v>
      </c>
      <c r="O153" s="12" t="n">
        <v>3859.11</v>
      </c>
      <c r="P153" s="12" t="n">
        <v>0</v>
      </c>
      <c r="Q153" s="12" t="n">
        <v>7718.22</v>
      </c>
      <c r="R153" s="12" t="n">
        <v>5355.93</v>
      </c>
      <c r="S153" s="12" t="n">
        <v>2362.29</v>
      </c>
      <c r="T153" s="12" t="inlineStr">
        <is>
          <t>Pending</t>
        </is>
      </c>
      <c r="U153" s="12" t="inlineStr">
        <is>
          <t>Returned</t>
        </is>
      </c>
      <c r="V153">
        <f>IF(OR(P153="",P153&lt;0,P153&gt;0.5),0,P153)</f>
        <v/>
      </c>
      <c r="W153">
        <f>N153*O153*(1-V153)</f>
        <v/>
      </c>
      <c r="X153">
        <f>W153-R153</f>
        <v/>
      </c>
      <c r="Y153">
        <f>IF(W153=0,0,X153/W153)</f>
        <v/>
      </c>
      <c r="Z153">
        <f>C153-B153</f>
        <v/>
      </c>
      <c r="AA153">
        <f>TEXT(B153,"mmmm")</f>
        <v/>
      </c>
      <c r="AB153">
        <f>YEAR(B153)</f>
        <v/>
      </c>
      <c r="AC153">
        <f>IF(OR(P153&lt;0,P153&gt;0.5,C153&lt;B153),"INVALID","CLEAN")</f>
        <v/>
      </c>
    </row>
    <row r="154">
      <c r="A154" s="12" t="inlineStr">
        <is>
          <t>ORD-2024-10153</t>
        </is>
      </c>
      <c r="B154" s="12" t="inlineStr">
        <is>
          <t>14 Jun 2024</t>
        </is>
      </c>
      <c r="C154" s="12" t="inlineStr">
        <is>
          <t>06/17/2024</t>
        </is>
      </c>
      <c r="D154" s="12" t="inlineStr">
        <is>
          <t>CUST-6160</t>
        </is>
      </c>
      <c r="E154" s="12" t="inlineStr">
        <is>
          <t>Kabir Singh</t>
        </is>
      </c>
      <c r="F154" s="12" t="inlineStr">
        <is>
          <t>Small Business</t>
        </is>
      </c>
      <c r="G154" s="12" t="inlineStr">
        <is>
          <t>South</t>
        </is>
      </c>
      <c r="H154" s="12" t="inlineStr">
        <is>
          <t>Kerala</t>
        </is>
      </c>
      <c r="I154" s="12" t="inlineStr">
        <is>
          <t>Kochi</t>
        </is>
      </c>
      <c r="J154" s="12" t="inlineStr">
        <is>
          <t>Furniture</t>
        </is>
      </c>
      <c r="K154" s="12" t="inlineStr">
        <is>
          <t>Tables</t>
        </is>
      </c>
      <c r="L154" s="12" t="inlineStr">
        <is>
          <t>Pro Tables 407</t>
        </is>
      </c>
      <c r="M154" s="12" t="inlineStr">
        <is>
          <t>Second Class</t>
        </is>
      </c>
      <c r="N154" s="12" t="n">
        <v>6</v>
      </c>
      <c r="O154" s="12" t="n">
        <v>1088.04</v>
      </c>
      <c r="P154" s="12" t="n">
        <v>0.1</v>
      </c>
      <c r="Q154" s="12" t="n">
        <v>5875.42</v>
      </c>
      <c r="R154" s="12" t="n">
        <v>4380.55</v>
      </c>
      <c r="S154" s="12" t="n">
        <v>1494.87</v>
      </c>
      <c r="T154" s="12" t="inlineStr">
        <is>
          <t>Pending</t>
        </is>
      </c>
      <c r="U154" s="12" t="inlineStr">
        <is>
          <t>Returned</t>
        </is>
      </c>
      <c r="V154">
        <f>IF(OR(P154="",P154&lt;0,P154&gt;0.5),0,P154)</f>
        <v/>
      </c>
      <c r="W154">
        <f>N154*O154*(1-V154)</f>
        <v/>
      </c>
      <c r="X154">
        <f>W154-R154</f>
        <v/>
      </c>
      <c r="Y154">
        <f>IF(W154=0,0,X154/W154)</f>
        <v/>
      </c>
      <c r="Z154">
        <f>C154-B154</f>
        <v/>
      </c>
      <c r="AA154">
        <f>TEXT(B154,"mmmm")</f>
        <v/>
      </c>
      <c r="AB154">
        <f>YEAR(B154)</f>
        <v/>
      </c>
      <c r="AC154">
        <f>IF(OR(P154&lt;0,P154&gt;0.5,C154&lt;B154),"INVALID","CLEAN")</f>
        <v/>
      </c>
    </row>
    <row r="155">
      <c r="A155" s="12" t="inlineStr">
        <is>
          <t>ORD-2025-10154</t>
        </is>
      </c>
      <c r="B155" s="12" t="inlineStr">
        <is>
          <t>23 Sep 2025</t>
        </is>
      </c>
      <c r="C155" s="12" t="inlineStr">
        <is>
          <t>2025-09-25</t>
        </is>
      </c>
      <c r="D155" s="12" t="inlineStr">
        <is>
          <t>CUST-6971</t>
        </is>
      </c>
      <c r="E155" s="12" t="inlineStr">
        <is>
          <t>Aditi Sen</t>
        </is>
      </c>
      <c r="F155" s="12" t="inlineStr">
        <is>
          <t>Consumer</t>
        </is>
      </c>
      <c r="G155" s="12" t="inlineStr">
        <is>
          <t>East</t>
        </is>
      </c>
      <c r="H155" s="12" t="inlineStr">
        <is>
          <t>Odisha</t>
        </is>
      </c>
      <c r="I155" s="12" t="inlineStr">
        <is>
          <t>Bhubaneswar</t>
        </is>
      </c>
      <c r="J155" s="12" t="inlineStr">
        <is>
          <t>Office Supplies</t>
        </is>
      </c>
      <c r="K155" s="12" t="inlineStr">
        <is>
          <t>Labels</t>
        </is>
      </c>
      <c r="L155" s="12" t="inlineStr">
        <is>
          <t>Prime Labels 559</t>
        </is>
      </c>
      <c r="M155" s="12" t="inlineStr">
        <is>
          <t>Standard Class</t>
        </is>
      </c>
      <c r="N155" s="12" t="n">
        <v>7</v>
      </c>
      <c r="O155" s="12" t="n">
        <v>3280.31</v>
      </c>
      <c r="P155" s="12" t="n">
        <v>0</v>
      </c>
      <c r="Q155" s="12" t="n">
        <v>22962.17</v>
      </c>
      <c r="R155" s="12" t="n">
        <v>15716.5</v>
      </c>
      <c r="S155" s="12" t="n">
        <v>7245.67</v>
      </c>
      <c r="T155" s="12" t="inlineStr">
        <is>
          <t>Refunded</t>
        </is>
      </c>
      <c r="U155" s="12" t="inlineStr">
        <is>
          <t>Returned</t>
        </is>
      </c>
      <c r="V155">
        <f>IF(OR(P155="",P155&lt;0,P155&gt;0.5),0,P155)</f>
        <v/>
      </c>
      <c r="W155">
        <f>N155*O155*(1-V155)</f>
        <v/>
      </c>
      <c r="X155">
        <f>W155-R155</f>
        <v/>
      </c>
      <c r="Y155">
        <f>IF(W155=0,0,X155/W155)</f>
        <v/>
      </c>
      <c r="Z155">
        <f>C155-B155</f>
        <v/>
      </c>
      <c r="AA155">
        <f>TEXT(B155,"mmmm")</f>
        <v/>
      </c>
      <c r="AB155">
        <f>YEAR(B155)</f>
        <v/>
      </c>
      <c r="AC155">
        <f>IF(OR(P155&lt;0,P155&gt;0.5,C155&lt;B155),"INVALID","CLEAN")</f>
        <v/>
      </c>
    </row>
    <row r="156">
      <c r="A156" s="12" t="inlineStr">
        <is>
          <t>ORD-2024-10155</t>
        </is>
      </c>
      <c r="B156" s="12" t="inlineStr">
        <is>
          <t>12 Feb 2024</t>
        </is>
      </c>
      <c r="C156" s="12" t="inlineStr">
        <is>
          <t>02/11/2024</t>
        </is>
      </c>
      <c r="D156" s="12" t="inlineStr">
        <is>
          <t>CUST-7764</t>
        </is>
      </c>
      <c r="E156" s="12" t="inlineStr">
        <is>
          <t>Priya Menon</t>
        </is>
      </c>
      <c r="F156" s="12" t="inlineStr">
        <is>
          <t>Consumer</t>
        </is>
      </c>
      <c r="G156" s="12" t="inlineStr">
        <is>
          <t>South</t>
        </is>
      </c>
      <c r="H156" s="12" t="inlineStr">
        <is>
          <t>Tamil Nadu</t>
        </is>
      </c>
      <c r="I156" s="12" t="inlineStr">
        <is>
          <t>Chennai</t>
        </is>
      </c>
      <c r="J156" s="12" t="inlineStr">
        <is>
          <t>Furniture</t>
        </is>
      </c>
      <c r="K156" s="12" t="inlineStr">
        <is>
          <t>Bookcases</t>
        </is>
      </c>
      <c r="L156" s="12" t="inlineStr">
        <is>
          <t>Classic Bookcases 847</t>
        </is>
      </c>
      <c r="M156" s="12" t="inlineStr">
        <is>
          <t>Same Day</t>
        </is>
      </c>
      <c r="N156" s="12" t="n">
        <v>1</v>
      </c>
      <c r="O156" s="12" t="n">
        <v>2599.12</v>
      </c>
      <c r="P156" s="12" t="n">
        <v>0.15</v>
      </c>
      <c r="Q156" s="12" t="n">
        <v>2209.25</v>
      </c>
      <c r="R156" s="12" t="n">
        <v>1523.78</v>
      </c>
      <c r="S156" s="12" t="n">
        <v>685.47</v>
      </c>
      <c r="T156" s="12" t="inlineStr">
        <is>
          <t>Paid</t>
        </is>
      </c>
      <c r="U156" s="12" t="inlineStr">
        <is>
          <t>Completed</t>
        </is>
      </c>
      <c r="V156">
        <f>IF(OR(P156="",P156&lt;0,P156&gt;0.5),0,P156)</f>
        <v/>
      </c>
      <c r="W156">
        <f>N156*O156*(1-V156)</f>
        <v/>
      </c>
      <c r="X156">
        <f>W156-R156</f>
        <v/>
      </c>
      <c r="Y156">
        <f>IF(W156=0,0,X156/W156)</f>
        <v/>
      </c>
      <c r="Z156">
        <f>C156-B156</f>
        <v/>
      </c>
      <c r="AA156">
        <f>TEXT(B156,"mmmm")</f>
        <v/>
      </c>
      <c r="AB156">
        <f>YEAR(B156)</f>
        <v/>
      </c>
      <c r="AC156">
        <f>IF(OR(P156&lt;0,P156&gt;0.5,C156&lt;B156),"INVALID","CLEAN")</f>
        <v/>
      </c>
    </row>
    <row r="157">
      <c r="A157" s="12" t="inlineStr">
        <is>
          <t>ORD-2025-10156</t>
        </is>
      </c>
      <c r="B157" s="12" t="inlineStr">
        <is>
          <t>01/26/2025</t>
        </is>
      </c>
      <c r="C157" s="12" t="inlineStr">
        <is>
          <t>03 Feb 2025</t>
        </is>
      </c>
      <c r="D157" s="12" t="inlineStr">
        <is>
          <t>CUST-8327</t>
        </is>
      </c>
      <c r="E157" s="12" t="inlineStr">
        <is>
          <t>Karan Malhotra</t>
        </is>
      </c>
      <c r="F157" s="12" t="inlineStr">
        <is>
          <t>Corporate</t>
        </is>
      </c>
      <c r="G157" s="12" t="inlineStr">
        <is>
          <t>West</t>
        </is>
      </c>
      <c r="H157" s="12" t="inlineStr">
        <is>
          <t>Rajasthan</t>
        </is>
      </c>
      <c r="I157" s="12" t="inlineStr">
        <is>
          <t>Udaipur</t>
        </is>
      </c>
      <c r="J157" s="12" t="inlineStr">
        <is>
          <t>Furniture</t>
        </is>
      </c>
      <c r="K157" s="12" t="inlineStr">
        <is>
          <t>Furnishings</t>
        </is>
      </c>
      <c r="L157" s="12" t="inlineStr">
        <is>
          <t>Classic Furnishings 655</t>
        </is>
      </c>
      <c r="M157" s="12" t="inlineStr">
        <is>
          <t>Same Day</t>
        </is>
      </c>
      <c r="N157" s="12" t="n">
        <v>3</v>
      </c>
      <c r="O157" s="12" t="n">
        <v>2859.32</v>
      </c>
      <c r="P157" s="12" t="n">
        <v>0.1</v>
      </c>
      <c r="Q157" s="12" t="n">
        <v>7720.16</v>
      </c>
      <c r="R157" s="12" t="n">
        <v>5881</v>
      </c>
      <c r="S157" s="12" t="n">
        <v>1839.16</v>
      </c>
      <c r="T157" s="12" t="inlineStr">
        <is>
          <t>Refunded</t>
        </is>
      </c>
      <c r="U157" s="12" t="inlineStr">
        <is>
          <t>Returned</t>
        </is>
      </c>
      <c r="V157">
        <f>IF(OR(P157="",P157&lt;0,P157&gt;0.5),0,P157)</f>
        <v/>
      </c>
      <c r="W157">
        <f>N157*O157*(1-V157)</f>
        <v/>
      </c>
      <c r="X157">
        <f>W157-R157</f>
        <v/>
      </c>
      <c r="Y157">
        <f>IF(W157=0,0,X157/W157)</f>
        <v/>
      </c>
      <c r="Z157">
        <f>C157-B157</f>
        <v/>
      </c>
      <c r="AA157">
        <f>TEXT(B157,"mmmm")</f>
        <v/>
      </c>
      <c r="AB157">
        <f>YEAR(B157)</f>
        <v/>
      </c>
      <c r="AC157">
        <f>IF(OR(P157&lt;0,P157&gt;0.5,C157&lt;B157),"INVALID","CLEAN")</f>
        <v/>
      </c>
    </row>
    <row r="158">
      <c r="A158" s="12" t="inlineStr">
        <is>
          <t>ORD-2025-10157</t>
        </is>
      </c>
      <c r="B158" s="12" t="inlineStr">
        <is>
          <t>27-03-2025</t>
        </is>
      </c>
      <c r="C158" s="12" t="inlineStr">
        <is>
          <t>27 Mar 2025</t>
        </is>
      </c>
      <c r="D158" s="12" t="inlineStr">
        <is>
          <t>CUST-4058</t>
        </is>
      </c>
      <c r="E158" s="12" t="inlineStr">
        <is>
          <t>Vikram Iyer</t>
        </is>
      </c>
      <c r="F158" s="12" t="inlineStr">
        <is>
          <t>Small Business</t>
        </is>
      </c>
      <c r="G158" s="12" t="inlineStr">
        <is>
          <t>East</t>
        </is>
      </c>
      <c r="H158" s="12" t="inlineStr">
        <is>
          <t>Bihar</t>
        </is>
      </c>
      <c r="I158" s="12" t="inlineStr">
        <is>
          <t>Patna</t>
        </is>
      </c>
      <c r="J158" s="12" t="inlineStr">
        <is>
          <t>Technology</t>
        </is>
      </c>
      <c r="K158" s="12" t="inlineStr">
        <is>
          <t>Machines</t>
        </is>
      </c>
      <c r="L158" s="12" t="inlineStr">
        <is>
          <t>Eco Machines 657</t>
        </is>
      </c>
      <c r="M158" s="12" t="inlineStr">
        <is>
          <t>Second Class</t>
        </is>
      </c>
      <c r="N158" s="12" t="n">
        <v>7</v>
      </c>
      <c r="O158" s="12" t="n">
        <v>2305.37</v>
      </c>
      <c r="P158" s="12" t="n">
        <v>0.25</v>
      </c>
      <c r="Q158" s="12" t="n">
        <v>12103.19</v>
      </c>
      <c r="R158" s="12" t="n">
        <v>6717.87</v>
      </c>
      <c r="S158" s="12" t="n">
        <v>5385.32</v>
      </c>
      <c r="T158" s="12" t="inlineStr">
        <is>
          <t>Paid</t>
        </is>
      </c>
      <c r="U158" s="12" t="inlineStr">
        <is>
          <t xml:space="preserve">Completed </t>
        </is>
      </c>
      <c r="V158">
        <f>IF(OR(P158="",P158&lt;0,P158&gt;0.5),0,P158)</f>
        <v/>
      </c>
      <c r="W158">
        <f>N158*O158*(1-V158)</f>
        <v/>
      </c>
      <c r="X158">
        <f>W158-R158</f>
        <v/>
      </c>
      <c r="Y158">
        <f>IF(W158=0,0,X158/W158)</f>
        <v/>
      </c>
      <c r="Z158">
        <f>C158-B158</f>
        <v/>
      </c>
      <c r="AA158">
        <f>TEXT(B158,"mmmm")</f>
        <v/>
      </c>
      <c r="AB158">
        <f>YEAR(B158)</f>
        <v/>
      </c>
      <c r="AC158">
        <f>IF(OR(P158&lt;0,P158&gt;0.5,C158&lt;B158),"INVALID","CLEAN")</f>
        <v/>
      </c>
    </row>
    <row r="159">
      <c r="A159" s="12" t="inlineStr">
        <is>
          <t>ORD-2024-10158</t>
        </is>
      </c>
      <c r="B159" s="12" t="inlineStr">
        <is>
          <t>10/22/2024</t>
        </is>
      </c>
      <c r="C159" s="12" t="inlineStr">
        <is>
          <t>24-10-2024</t>
        </is>
      </c>
      <c r="D159" s="12" t="inlineStr">
        <is>
          <t>CUST-1142</t>
        </is>
      </c>
      <c r="E159" s="12" t="inlineStr">
        <is>
          <t>Rohan Mehta</t>
        </is>
      </c>
      <c r="F159" s="12" t="inlineStr">
        <is>
          <t>Small Business</t>
        </is>
      </c>
      <c r="G159" s="12" t="inlineStr">
        <is>
          <t>South</t>
        </is>
      </c>
      <c r="H159" s="12" t="inlineStr">
        <is>
          <t>Andhra Pradesh</t>
        </is>
      </c>
      <c r="I159" s="12" t="inlineStr">
        <is>
          <t>Vijayawada</t>
        </is>
      </c>
      <c r="J159" s="12" t="inlineStr">
        <is>
          <t>Furniture</t>
        </is>
      </c>
      <c r="K159" s="12" t="inlineStr">
        <is>
          <t>Bookcases</t>
        </is>
      </c>
      <c r="L159" s="12" t="inlineStr">
        <is>
          <t>Pro Bookcases 430</t>
        </is>
      </c>
      <c r="M159" s="12" t="inlineStr">
        <is>
          <t>Standard Class</t>
        </is>
      </c>
      <c r="N159" s="12" t="n">
        <v>3</v>
      </c>
      <c r="O159" s="12" t="n">
        <v>915.84</v>
      </c>
      <c r="P159" s="12" t="n">
        <v>0.15</v>
      </c>
      <c r="Q159" s="12" t="n">
        <v>2335.39</v>
      </c>
      <c r="R159" s="12" t="n">
        <v>1466.15</v>
      </c>
      <c r="S159" s="12" t="n">
        <v>869.24</v>
      </c>
      <c r="T159" s="12" t="inlineStr">
        <is>
          <t>Paid</t>
        </is>
      </c>
      <c r="U159" s="12" t="inlineStr">
        <is>
          <t>Completed</t>
        </is>
      </c>
      <c r="V159">
        <f>IF(OR(P159="",P159&lt;0,P159&gt;0.5),0,P159)</f>
        <v/>
      </c>
      <c r="W159">
        <f>N159*O159*(1-V159)</f>
        <v/>
      </c>
      <c r="X159">
        <f>W159-R159</f>
        <v/>
      </c>
      <c r="Y159">
        <f>IF(W159=0,0,X159/W159)</f>
        <v/>
      </c>
      <c r="Z159">
        <f>C159-B159</f>
        <v/>
      </c>
      <c r="AA159">
        <f>TEXT(B159,"mmmm")</f>
        <v/>
      </c>
      <c r="AB159">
        <f>YEAR(B159)</f>
        <v/>
      </c>
      <c r="AC159">
        <f>IF(OR(P159&lt;0,P159&gt;0.5,C159&lt;B159),"INVALID","CLEAN")</f>
        <v/>
      </c>
    </row>
    <row r="160">
      <c r="A160" s="12" t="inlineStr">
        <is>
          <t>ORD-2024-10159</t>
        </is>
      </c>
      <c r="B160" s="12" t="inlineStr">
        <is>
          <t>2024-09-09</t>
        </is>
      </c>
      <c r="C160" s="12" t="inlineStr">
        <is>
          <t>09/11/2024</t>
        </is>
      </c>
      <c r="D160" s="12" t="inlineStr">
        <is>
          <t>CUST-2324</t>
        </is>
      </c>
      <c r="E160" s="12" t="inlineStr">
        <is>
          <t>Neha Gupta</t>
        </is>
      </c>
      <c r="F160" s="12" t="inlineStr">
        <is>
          <t>Home Office</t>
        </is>
      </c>
      <c r="G160" s="12" t="inlineStr">
        <is>
          <t>South</t>
        </is>
      </c>
      <c r="H160" s="12" t="inlineStr">
        <is>
          <t>Telangana</t>
        </is>
      </c>
      <c r="I160" s="12" t="inlineStr">
        <is>
          <t>Hyderabad</t>
        </is>
      </c>
      <c r="J160" s="12" t="inlineStr">
        <is>
          <t>Furniture</t>
        </is>
      </c>
      <c r="K160" s="12" t="inlineStr">
        <is>
          <t>Bookcases</t>
        </is>
      </c>
      <c r="L160" s="12" t="inlineStr">
        <is>
          <t>Max Bookcases 881</t>
        </is>
      </c>
      <c r="M160" s="12" t="inlineStr">
        <is>
          <t>First Class</t>
        </is>
      </c>
      <c r="N160" s="12" t="n">
        <v>1</v>
      </c>
      <c r="O160" s="12" t="n">
        <v>4199.54</v>
      </c>
      <c r="P160" s="12" t="n">
        <v>0.05</v>
      </c>
      <c r="Q160" s="12" t="n">
        <v>3989.56</v>
      </c>
      <c r="R160" s="12" t="n">
        <v>2381.38</v>
      </c>
      <c r="S160" s="12" t="n">
        <v>1608.18</v>
      </c>
      <c r="T160" s="12" t="inlineStr">
        <is>
          <t>Paid</t>
        </is>
      </c>
      <c r="U160" s="12" t="inlineStr">
        <is>
          <t>Completed</t>
        </is>
      </c>
      <c r="V160">
        <f>IF(OR(P160="",P160&lt;0,P160&gt;0.5),0,P160)</f>
        <v/>
      </c>
      <c r="W160">
        <f>N160*O160*(1-V160)</f>
        <v/>
      </c>
      <c r="X160">
        <f>W160-R160</f>
        <v/>
      </c>
      <c r="Y160">
        <f>IF(W160=0,0,X160/W160)</f>
        <v/>
      </c>
      <c r="Z160">
        <f>C160-B160</f>
        <v/>
      </c>
      <c r="AA160">
        <f>TEXT(B160,"mmmm")</f>
        <v/>
      </c>
      <c r="AB160">
        <f>YEAR(B160)</f>
        <v/>
      </c>
      <c r="AC160">
        <f>IF(OR(P160&lt;0,P160&gt;0.5,C160&lt;B160),"INVALID","CLEAN")</f>
        <v/>
      </c>
    </row>
    <row r="161">
      <c r="A161" s="12" t="inlineStr">
        <is>
          <t>ORD-2025-10160</t>
        </is>
      </c>
      <c r="B161" s="12" t="inlineStr">
        <is>
          <t>2025-01-30</t>
        </is>
      </c>
      <c r="C161" s="12" t="inlineStr">
        <is>
          <t>04-02-2025</t>
        </is>
      </c>
      <c r="D161" s="12" t="inlineStr">
        <is>
          <t>CUST-7717</t>
        </is>
      </c>
      <c r="E161" s="12" t="inlineStr">
        <is>
          <t>Priya Menon</t>
        </is>
      </c>
      <c r="F161" s="12" t="inlineStr">
        <is>
          <t>Corporate</t>
        </is>
      </c>
      <c r="G161" s="12" t="inlineStr">
        <is>
          <t>North</t>
        </is>
      </c>
      <c r="H161" s="12" t="inlineStr">
        <is>
          <t>Haryana</t>
        </is>
      </c>
      <c r="I161" s="12" t="inlineStr">
        <is>
          <t>Gurugram</t>
        </is>
      </c>
      <c r="J161" s="12" t="inlineStr">
        <is>
          <t>Furniture</t>
        </is>
      </c>
      <c r="K161" s="12" t="inlineStr">
        <is>
          <t>Chairs</t>
        </is>
      </c>
      <c r="L161" s="12" t="inlineStr">
        <is>
          <t>Elite Chairs 998</t>
        </is>
      </c>
      <c r="M161" s="12" t="inlineStr">
        <is>
          <t>Same Day</t>
        </is>
      </c>
      <c r="N161" s="12" t="n">
        <v>9</v>
      </c>
      <c r="O161" s="12" t="n">
        <v>4430.5</v>
      </c>
      <c r="P161" s="12" t="n">
        <v>0.15</v>
      </c>
      <c r="Q161" s="12" t="n">
        <v>33893.32</v>
      </c>
      <c r="R161" s="12" t="n">
        <v>25750.35</v>
      </c>
      <c r="S161" s="12" t="n">
        <v>8142.97</v>
      </c>
      <c r="T161" s="12" t="inlineStr">
        <is>
          <t>Pending</t>
        </is>
      </c>
      <c r="U161" s="12" t="inlineStr">
        <is>
          <t>Cancelled</t>
        </is>
      </c>
      <c r="V161">
        <f>IF(OR(P161="",P161&lt;0,P161&gt;0.5),0,P161)</f>
        <v/>
      </c>
      <c r="W161">
        <f>N161*O161*(1-V161)</f>
        <v/>
      </c>
      <c r="X161">
        <f>W161-R161</f>
        <v/>
      </c>
      <c r="Y161">
        <f>IF(W161=0,0,X161/W161)</f>
        <v/>
      </c>
      <c r="Z161">
        <f>C161-B161</f>
        <v/>
      </c>
      <c r="AA161">
        <f>TEXT(B161,"mmmm")</f>
        <v/>
      </c>
      <c r="AB161">
        <f>YEAR(B161)</f>
        <v/>
      </c>
      <c r="AC161">
        <f>IF(OR(P161&lt;0,P161&gt;0.5,C161&lt;B161),"INVALID","CLEAN")</f>
        <v/>
      </c>
    </row>
    <row r="162">
      <c r="A162" s="12" t="inlineStr">
        <is>
          <t>ORD-2025-10161</t>
        </is>
      </c>
      <c r="B162" s="12" t="inlineStr">
        <is>
          <t>08-10-2025</t>
        </is>
      </c>
      <c r="C162" s="12" t="inlineStr">
        <is>
          <t>10/06/2025</t>
        </is>
      </c>
      <c r="D162" s="12" t="inlineStr">
        <is>
          <t>CUST-4932</t>
        </is>
      </c>
      <c r="E162" s="12" t="inlineStr">
        <is>
          <t>Vikram Iyer</t>
        </is>
      </c>
      <c r="F162" s="12" t="inlineStr">
        <is>
          <t>Small Business</t>
        </is>
      </c>
      <c r="G162" s="12" t="inlineStr">
        <is>
          <t>West</t>
        </is>
      </c>
      <c r="H162" s="12" t="inlineStr">
        <is>
          <t>Maharashtra</t>
        </is>
      </c>
      <c r="I162" s="12" t="inlineStr">
        <is>
          <t>Mumbai</t>
        </is>
      </c>
      <c r="J162" s="12" t="inlineStr">
        <is>
          <t>Office Supplies</t>
        </is>
      </c>
      <c r="K162" s="12" t="inlineStr">
        <is>
          <t>Paper</t>
        </is>
      </c>
      <c r="L162" s="12" t="inlineStr">
        <is>
          <t>Max Paper 113</t>
        </is>
      </c>
      <c r="M162" s="12" t="inlineStr">
        <is>
          <t>Second Class</t>
        </is>
      </c>
      <c r="N162" s="12" t="n">
        <v>4</v>
      </c>
      <c r="O162" s="12" t="n">
        <v>1260.42</v>
      </c>
      <c r="P162" s="12" t="n">
        <v>0.05</v>
      </c>
      <c r="Q162" s="12" t="n">
        <v>4789.6</v>
      </c>
      <c r="R162" s="12" t="n">
        <v>4037.64</v>
      </c>
      <c r="S162" s="12" t="n">
        <v>751.96</v>
      </c>
      <c r="T162" s="12" t="inlineStr">
        <is>
          <t>Pending</t>
        </is>
      </c>
      <c r="U162" s="12" t="inlineStr">
        <is>
          <t>Cancelled</t>
        </is>
      </c>
      <c r="V162">
        <f>IF(OR(P162="",P162&lt;0,P162&gt;0.5),0,P162)</f>
        <v/>
      </c>
      <c r="W162">
        <f>N162*O162*(1-V162)</f>
        <v/>
      </c>
      <c r="X162">
        <f>W162-R162</f>
        <v/>
      </c>
      <c r="Y162">
        <f>IF(W162=0,0,X162/W162)</f>
        <v/>
      </c>
      <c r="Z162">
        <f>C162-B162</f>
        <v/>
      </c>
      <c r="AA162">
        <f>TEXT(B162,"mmmm")</f>
        <v/>
      </c>
      <c r="AB162">
        <f>YEAR(B162)</f>
        <v/>
      </c>
      <c r="AC162">
        <f>IF(OR(P162&lt;0,P162&gt;0.5,C162&lt;B162),"INVALID","CLEAN")</f>
        <v/>
      </c>
    </row>
    <row r="163">
      <c r="A163" s="12" t="inlineStr">
        <is>
          <t>ORD-2025-10162</t>
        </is>
      </c>
      <c r="B163" s="12" t="inlineStr">
        <is>
          <t>2025-07-24</t>
        </is>
      </c>
      <c r="C163" s="12" t="inlineStr">
        <is>
          <t>30-07-2025</t>
        </is>
      </c>
      <c r="D163" s="12" t="inlineStr">
        <is>
          <t>CUST-2367</t>
        </is>
      </c>
      <c r="E163" s="12" t="inlineStr">
        <is>
          <t>Arjun Bose</t>
        </is>
      </c>
      <c r="F163" s="12" t="inlineStr">
        <is>
          <t>consumer</t>
        </is>
      </c>
      <c r="G163" s="12" t="inlineStr">
        <is>
          <t>West</t>
        </is>
      </c>
      <c r="H163" s="12" t="inlineStr">
        <is>
          <t>Rajasthan</t>
        </is>
      </c>
      <c r="I163" s="12" t="inlineStr">
        <is>
          <t>Udaipur</t>
        </is>
      </c>
      <c r="J163" s="12" t="inlineStr">
        <is>
          <t>Office Supplies</t>
        </is>
      </c>
      <c r="K163" s="12" t="inlineStr">
        <is>
          <t>Binders</t>
        </is>
      </c>
      <c r="L163" s="12" t="inlineStr">
        <is>
          <t>Smart Binders 267</t>
        </is>
      </c>
      <c r="M163" s="12" t="inlineStr">
        <is>
          <t>Standard Class</t>
        </is>
      </c>
      <c r="N163" s="12" t="n">
        <v>1</v>
      </c>
      <c r="O163" s="12" t="n">
        <v>1643.41</v>
      </c>
      <c r="P163" s="12" t="n">
        <v>0</v>
      </c>
      <c r="Q163" s="12" t="n">
        <v>1643.41</v>
      </c>
      <c r="R163" s="12" t="n">
        <v>907.4</v>
      </c>
      <c r="S163" s="12" t="n">
        <v>736.01</v>
      </c>
      <c r="T163" s="12" t="inlineStr">
        <is>
          <t>Pending</t>
        </is>
      </c>
      <c r="U163" s="12" t="inlineStr">
        <is>
          <t>Cancelled</t>
        </is>
      </c>
      <c r="V163">
        <f>IF(OR(P163="",P163&lt;0,P163&gt;0.5),0,P163)</f>
        <v/>
      </c>
      <c r="W163">
        <f>N163*O163*(1-V163)</f>
        <v/>
      </c>
      <c r="X163">
        <f>W163-R163</f>
        <v/>
      </c>
      <c r="Y163">
        <f>IF(W163=0,0,X163/W163)</f>
        <v/>
      </c>
      <c r="Z163">
        <f>C163-B163</f>
        <v/>
      </c>
      <c r="AA163">
        <f>TEXT(B163,"mmmm")</f>
        <v/>
      </c>
      <c r="AB163">
        <f>YEAR(B163)</f>
        <v/>
      </c>
      <c r="AC163">
        <f>IF(OR(P163&lt;0,P163&gt;0.5,C163&lt;B163),"INVALID","CLEAN")</f>
        <v/>
      </c>
    </row>
    <row r="164">
      <c r="A164" s="12" t="inlineStr">
        <is>
          <t>ORD-2024-10163</t>
        </is>
      </c>
      <c r="B164" s="12" t="inlineStr">
        <is>
          <t>2024-03-09</t>
        </is>
      </c>
      <c r="C164" s="12" t="inlineStr">
        <is>
          <t>14 Mar 2024</t>
        </is>
      </c>
      <c r="D164" s="12" t="inlineStr">
        <is>
          <t>CUST-4830</t>
        </is>
      </c>
      <c r="E164" s="12" t="inlineStr">
        <is>
          <t>Neha Gupta</t>
        </is>
      </c>
      <c r="F164" s="12" t="inlineStr">
        <is>
          <t>Small Business</t>
        </is>
      </c>
      <c r="G164" s="12" t="inlineStr">
        <is>
          <t>West</t>
        </is>
      </c>
      <c r="H164" s="12" t="inlineStr">
        <is>
          <t>Goa</t>
        </is>
      </c>
      <c r="I164" s="12" t="inlineStr">
        <is>
          <t>Panaji</t>
        </is>
      </c>
      <c r="J164" s="12" t="inlineStr">
        <is>
          <t>Furniture</t>
        </is>
      </c>
      <c r="K164" s="12" t="inlineStr">
        <is>
          <t>Furnishings</t>
        </is>
      </c>
      <c r="L164" s="12" t="inlineStr">
        <is>
          <t>Pro Furnishings 108</t>
        </is>
      </c>
      <c r="M164" s="12" t="inlineStr">
        <is>
          <t>Second Class</t>
        </is>
      </c>
      <c r="N164" s="12" t="n">
        <v>8</v>
      </c>
      <c r="O164" s="12" t="n">
        <v>4472.84</v>
      </c>
      <c r="P164" s="12" t="n">
        <v>0</v>
      </c>
      <c r="Q164" s="12" t="n">
        <v>35997.62</v>
      </c>
      <c r="R164" s="12" t="n">
        <v>26424.41</v>
      </c>
      <c r="S164" s="12" t="n">
        <v>9358.309999999999</v>
      </c>
      <c r="T164" s="12" t="inlineStr">
        <is>
          <t>Pending</t>
        </is>
      </c>
      <c r="U164" s="12" t="inlineStr">
        <is>
          <t>Returned</t>
        </is>
      </c>
      <c r="V164">
        <f>IF(OR(P164="",P164&lt;0,P164&gt;0.5),0,P164)</f>
        <v/>
      </c>
      <c r="W164">
        <f>N164*O164*(1-V164)</f>
        <v/>
      </c>
      <c r="X164">
        <f>W164-R164</f>
        <v/>
      </c>
      <c r="Y164">
        <f>IF(W164=0,0,X164/W164)</f>
        <v/>
      </c>
      <c r="Z164">
        <f>C164-B164</f>
        <v/>
      </c>
      <c r="AA164">
        <f>TEXT(B164,"mmmm")</f>
        <v/>
      </c>
      <c r="AB164">
        <f>YEAR(B164)</f>
        <v/>
      </c>
      <c r="AC164">
        <f>IF(OR(P164&lt;0,P164&gt;0.5,C164&lt;B164),"INVALID","CLEAN")</f>
        <v/>
      </c>
    </row>
    <row r="165">
      <c r="A165" s="12" t="inlineStr">
        <is>
          <t>ORD-2025-10164</t>
        </is>
      </c>
      <c r="B165" s="12" t="inlineStr">
        <is>
          <t>09/21/2025</t>
        </is>
      </c>
      <c r="C165" s="12" t="inlineStr">
        <is>
          <t>26 Sep 2025</t>
        </is>
      </c>
      <c r="D165" s="12" t="inlineStr">
        <is>
          <t>CUST-2548</t>
        </is>
      </c>
      <c r="E165" s="12" t="inlineStr">
        <is>
          <t>Rohan Mehta</t>
        </is>
      </c>
      <c r="F165" s="12" t="inlineStr">
        <is>
          <t>Home Office</t>
        </is>
      </c>
      <c r="G165" s="12" t="inlineStr">
        <is>
          <t>West</t>
        </is>
      </c>
      <c r="H165" s="12" t="inlineStr">
        <is>
          <t>Gujarat</t>
        </is>
      </c>
      <c r="I165" s="12" t="inlineStr">
        <is>
          <t>Ahmedabad</t>
        </is>
      </c>
      <c r="J165" s="12" t="inlineStr">
        <is>
          <t>Furniture</t>
        </is>
      </c>
      <c r="K165" s="12" t="inlineStr">
        <is>
          <t>Tables</t>
        </is>
      </c>
      <c r="L165" s="12" t="inlineStr">
        <is>
          <t>Elite Tables 389</t>
        </is>
      </c>
      <c r="M165" s="12" t="n"/>
      <c r="N165" s="12" t="n">
        <v>6</v>
      </c>
      <c r="O165" s="12" t="n">
        <v>2903.58</v>
      </c>
      <c r="P165" s="12" t="n">
        <v>0.1</v>
      </c>
      <c r="Q165" s="12" t="n">
        <v>15679.33</v>
      </c>
      <c r="R165" s="12" t="n">
        <v>12477.82</v>
      </c>
      <c r="S165" s="12" t="n">
        <v>3201.51</v>
      </c>
      <c r="T165" s="12" t="inlineStr">
        <is>
          <t>Pending</t>
        </is>
      </c>
      <c r="U165" s="12" t="inlineStr">
        <is>
          <t>Returned</t>
        </is>
      </c>
      <c r="V165">
        <f>IF(OR(P165="",P165&lt;0,P165&gt;0.5),0,P165)</f>
        <v/>
      </c>
      <c r="W165">
        <f>N165*O165*(1-V165)</f>
        <v/>
      </c>
      <c r="X165">
        <f>W165-R165</f>
        <v/>
      </c>
      <c r="Y165">
        <f>IF(W165=0,0,X165/W165)</f>
        <v/>
      </c>
      <c r="Z165">
        <f>C165-B165</f>
        <v/>
      </c>
      <c r="AA165">
        <f>TEXT(B165,"mmmm")</f>
        <v/>
      </c>
      <c r="AB165">
        <f>YEAR(B165)</f>
        <v/>
      </c>
      <c r="AC165">
        <f>IF(OR(P165&lt;0,P165&gt;0.5,C165&lt;B165),"INVALID","CLEAN")</f>
        <v/>
      </c>
    </row>
    <row r="166">
      <c r="A166" s="12" t="inlineStr">
        <is>
          <t>ORD-2025-10165</t>
        </is>
      </c>
      <c r="B166" s="12" t="inlineStr">
        <is>
          <t>09 Sep 2025</t>
        </is>
      </c>
      <c r="C166" s="12" t="inlineStr">
        <is>
          <t>09/14/2025</t>
        </is>
      </c>
      <c r="D166" s="12" t="inlineStr">
        <is>
          <t>CUST-3833</t>
        </is>
      </c>
      <c r="E166" s="12" t="inlineStr">
        <is>
          <t>Rahul Verma</t>
        </is>
      </c>
      <c r="F166" s="12" t="inlineStr">
        <is>
          <t>Small Business</t>
        </is>
      </c>
      <c r="G166" s="12" t="inlineStr">
        <is>
          <t>East</t>
        </is>
      </c>
      <c r="H166" s="12" t="inlineStr">
        <is>
          <t>West Bengal</t>
        </is>
      </c>
      <c r="I166" s="12" t="inlineStr">
        <is>
          <t>Kolkata</t>
        </is>
      </c>
      <c r="J166" s="12" t="inlineStr">
        <is>
          <t>Furniture</t>
        </is>
      </c>
      <c r="K166" s="12" t="inlineStr">
        <is>
          <t>Bookcases</t>
        </is>
      </c>
      <c r="L166" s="12" t="inlineStr">
        <is>
          <t>Pro Bookcases 595</t>
        </is>
      </c>
      <c r="M166" s="12" t="inlineStr">
        <is>
          <t>Second Class</t>
        </is>
      </c>
      <c r="N166" s="12" t="n">
        <v>1</v>
      </c>
      <c r="O166" s="12" t="n">
        <v>3154.42</v>
      </c>
      <c r="P166" s="12" t="n">
        <v>0.25</v>
      </c>
      <c r="Q166" s="12" t="n">
        <v>2365.82</v>
      </c>
      <c r="R166" s="12" t="n">
        <v>1547.99</v>
      </c>
      <c r="S166" s="12" t="n">
        <v>817.83</v>
      </c>
      <c r="T166" s="12" t="inlineStr">
        <is>
          <t>Paid</t>
        </is>
      </c>
      <c r="U166" s="12" t="inlineStr">
        <is>
          <t>Completed</t>
        </is>
      </c>
      <c r="V166">
        <f>IF(OR(P166="",P166&lt;0,P166&gt;0.5),0,P166)</f>
        <v/>
      </c>
      <c r="W166">
        <f>N166*O166*(1-V166)</f>
        <v/>
      </c>
      <c r="X166">
        <f>W166-R166</f>
        <v/>
      </c>
      <c r="Y166">
        <f>IF(W166=0,0,X166/W166)</f>
        <v/>
      </c>
      <c r="Z166">
        <f>C166-B166</f>
        <v/>
      </c>
      <c r="AA166">
        <f>TEXT(B166,"mmmm")</f>
        <v/>
      </c>
      <c r="AB166">
        <f>YEAR(B166)</f>
        <v/>
      </c>
      <c r="AC166">
        <f>IF(OR(P166&lt;0,P166&gt;0.5,C166&lt;B166),"INVALID","CLEAN")</f>
        <v/>
      </c>
    </row>
    <row r="167">
      <c r="A167" s="12" t="inlineStr">
        <is>
          <t>ORD-2024-10166</t>
        </is>
      </c>
      <c r="B167" s="12" t="inlineStr">
        <is>
          <t>11/22/2024</t>
        </is>
      </c>
      <c r="C167" s="12" t="inlineStr">
        <is>
          <t>29-11-2024</t>
        </is>
      </c>
      <c r="D167" s="12" t="inlineStr">
        <is>
          <t>CUST-4598</t>
        </is>
      </c>
      <c r="E167" s="12" t="inlineStr">
        <is>
          <t>Mira Das</t>
        </is>
      </c>
      <c r="F167" s="12" t="inlineStr">
        <is>
          <t>Home Office</t>
        </is>
      </c>
      <c r="G167" s="12" t="inlineStr">
        <is>
          <t>East</t>
        </is>
      </c>
      <c r="H167" s="12" t="inlineStr">
        <is>
          <t>Bihar</t>
        </is>
      </c>
      <c r="I167" s="12" t="inlineStr">
        <is>
          <t>Patna</t>
        </is>
      </c>
      <c r="J167" s="12" t="inlineStr">
        <is>
          <t>Furniture</t>
        </is>
      </c>
      <c r="K167" s="12" t="inlineStr">
        <is>
          <t>Chairs</t>
        </is>
      </c>
      <c r="L167" s="12" t="inlineStr">
        <is>
          <t>Max Chairs 148</t>
        </is>
      </c>
      <c r="M167" s="12" t="inlineStr">
        <is>
          <t>Standard Class</t>
        </is>
      </c>
      <c r="N167" s="12" t="n">
        <v>4</v>
      </c>
      <c r="O167" s="12" t="n">
        <v>3422.99</v>
      </c>
      <c r="P167" s="12" t="n">
        <v>0.25</v>
      </c>
      <c r="Q167" s="12" t="n">
        <v>10268.97</v>
      </c>
      <c r="R167" s="12" t="n">
        <v>6470.92</v>
      </c>
      <c r="S167" s="12" t="n">
        <v>3798.05</v>
      </c>
      <c r="T167" s="12" t="inlineStr">
        <is>
          <t>Paid</t>
        </is>
      </c>
      <c r="U167" s="12" t="inlineStr">
        <is>
          <t>Completed</t>
        </is>
      </c>
      <c r="V167">
        <f>IF(OR(P167="",P167&lt;0,P167&gt;0.5),0,P167)</f>
        <v/>
      </c>
      <c r="W167">
        <f>N167*O167*(1-V167)</f>
        <v/>
      </c>
      <c r="X167">
        <f>W167-R167</f>
        <v/>
      </c>
      <c r="Y167">
        <f>IF(W167=0,0,X167/W167)</f>
        <v/>
      </c>
      <c r="Z167">
        <f>C167-B167</f>
        <v/>
      </c>
      <c r="AA167">
        <f>TEXT(B167,"mmmm")</f>
        <v/>
      </c>
      <c r="AB167">
        <f>YEAR(B167)</f>
        <v/>
      </c>
      <c r="AC167">
        <f>IF(OR(P167&lt;0,P167&gt;0.5,C167&lt;B167),"INVALID","CLEAN")</f>
        <v/>
      </c>
    </row>
    <row r="168">
      <c r="A168" s="12" t="inlineStr">
        <is>
          <t>ORD-2025-10167</t>
        </is>
      </c>
      <c r="B168" s="12" t="inlineStr">
        <is>
          <t>20-02-2025</t>
        </is>
      </c>
      <c r="C168" s="12" t="inlineStr">
        <is>
          <t>26-02-2025</t>
        </is>
      </c>
      <c r="D168" s="12" t="inlineStr">
        <is>
          <t>CUST-7215</t>
        </is>
      </c>
      <c r="E168" s="12" t="inlineStr">
        <is>
          <t>Karan Malhotra</t>
        </is>
      </c>
      <c r="F168" s="12" t="inlineStr">
        <is>
          <t>Small Business</t>
        </is>
      </c>
      <c r="G168" s="12" t="inlineStr">
        <is>
          <t>West</t>
        </is>
      </c>
      <c r="H168" s="12" t="inlineStr">
        <is>
          <t>Gujarat</t>
        </is>
      </c>
      <c r="I168" s="12" t="inlineStr">
        <is>
          <t>Ahmedabad</t>
        </is>
      </c>
      <c r="J168" s="12" t="inlineStr">
        <is>
          <t>OFFICE SUPPLIES</t>
        </is>
      </c>
      <c r="K168" s="12" t="inlineStr">
        <is>
          <t>Labels</t>
        </is>
      </c>
      <c r="L168" s="12" t="inlineStr">
        <is>
          <t>Basic Labels 671</t>
        </is>
      </c>
      <c r="M168" s="12" t="inlineStr">
        <is>
          <t>First Class</t>
        </is>
      </c>
      <c r="N168" s="12" t="n">
        <v>1</v>
      </c>
      <c r="O168" s="12" t="n">
        <v>2557.85</v>
      </c>
      <c r="P168" s="12" t="n">
        <v>0.2</v>
      </c>
      <c r="Q168" s="12" t="n">
        <v>2046.28</v>
      </c>
      <c r="R168" s="12" t="n">
        <v>1449.54</v>
      </c>
      <c r="S168" s="12" t="n">
        <v>596.74</v>
      </c>
      <c r="T168" s="12" t="inlineStr">
        <is>
          <t>Paid</t>
        </is>
      </c>
      <c r="U168" s="12" t="inlineStr">
        <is>
          <t>Completed</t>
        </is>
      </c>
      <c r="V168">
        <f>IF(OR(P168="",P168&lt;0,P168&gt;0.5),0,P168)</f>
        <v/>
      </c>
      <c r="W168">
        <f>N168*O168*(1-V168)</f>
        <v/>
      </c>
      <c r="X168">
        <f>W168-R168</f>
        <v/>
      </c>
      <c r="Y168">
        <f>IF(W168=0,0,X168/W168)</f>
        <v/>
      </c>
      <c r="Z168">
        <f>C168-B168</f>
        <v/>
      </c>
      <c r="AA168">
        <f>TEXT(B168,"mmmm")</f>
        <v/>
      </c>
      <c r="AB168">
        <f>YEAR(B168)</f>
        <v/>
      </c>
      <c r="AC168">
        <f>IF(OR(P168&lt;0,P168&gt;0.5,C168&lt;B168),"INVALID","CLEAN")</f>
        <v/>
      </c>
    </row>
    <row r="169">
      <c r="A169" s="12" t="inlineStr">
        <is>
          <t>ORD-2025-10168</t>
        </is>
      </c>
      <c r="B169" s="12" t="inlineStr">
        <is>
          <t>2025-08-18</t>
        </is>
      </c>
      <c r="C169" s="12" t="inlineStr">
        <is>
          <t>08/18/2025</t>
        </is>
      </c>
      <c r="D169" s="12" t="inlineStr">
        <is>
          <t>CUST-7770</t>
        </is>
      </c>
      <c r="E169" s="12" t="inlineStr">
        <is>
          <t>Arjun Bose</t>
        </is>
      </c>
      <c r="F169" s="12" t="inlineStr">
        <is>
          <t>Home Office</t>
        </is>
      </c>
      <c r="G169" s="12" t="inlineStr">
        <is>
          <t>South</t>
        </is>
      </c>
      <c r="H169" s="12" t="inlineStr">
        <is>
          <t>Karnataka</t>
        </is>
      </c>
      <c r="I169" s="12" t="inlineStr">
        <is>
          <t>Bengaluru</t>
        </is>
      </c>
      <c r="J169" s="12" t="inlineStr">
        <is>
          <t>Office Supplies</t>
        </is>
      </c>
      <c r="K169" s="12" t="inlineStr">
        <is>
          <t>Storage</t>
        </is>
      </c>
      <c r="L169" s="12" t="inlineStr">
        <is>
          <t>Elite Storage 628</t>
        </is>
      </c>
      <c r="M169" s="12" t="inlineStr">
        <is>
          <t>First Class</t>
        </is>
      </c>
      <c r="N169" s="12" t="n">
        <v>9</v>
      </c>
      <c r="O169" s="12" t="n">
        <v>3030.93</v>
      </c>
      <c r="P169" s="12" t="n">
        <v>0.15</v>
      </c>
      <c r="Q169" s="12" t="n">
        <v>23186.61</v>
      </c>
      <c r="R169" s="12" t="n">
        <v>17906.54</v>
      </c>
      <c r="S169" s="12" t="n">
        <v>5280.07</v>
      </c>
      <c r="T169" s="12" t="inlineStr">
        <is>
          <t>Paid</t>
        </is>
      </c>
      <c r="U169" s="12" t="inlineStr">
        <is>
          <t>Returned</t>
        </is>
      </c>
      <c r="V169">
        <f>IF(OR(P169="",P169&lt;0,P169&gt;0.5),0,P169)</f>
        <v/>
      </c>
      <c r="W169">
        <f>N169*O169*(1-V169)</f>
        <v/>
      </c>
      <c r="X169">
        <f>W169-R169</f>
        <v/>
      </c>
      <c r="Y169">
        <f>IF(W169=0,0,X169/W169)</f>
        <v/>
      </c>
      <c r="Z169">
        <f>C169-B169</f>
        <v/>
      </c>
      <c r="AA169">
        <f>TEXT(B169,"mmmm")</f>
        <v/>
      </c>
      <c r="AB169">
        <f>YEAR(B169)</f>
        <v/>
      </c>
      <c r="AC169">
        <f>IF(OR(P169&lt;0,P169&gt;0.5,C169&lt;B169),"INVALID","CLEAN")</f>
        <v/>
      </c>
    </row>
    <row r="170">
      <c r="A170" s="12" t="inlineStr">
        <is>
          <t>ORD-2025-10169</t>
        </is>
      </c>
      <c r="B170" s="12" t="inlineStr">
        <is>
          <t>01/20/2025</t>
        </is>
      </c>
      <c r="C170" s="12" t="inlineStr">
        <is>
          <t>23 Jan 2025</t>
        </is>
      </c>
      <c r="D170" s="12" t="inlineStr">
        <is>
          <t>CUST-9756</t>
        </is>
      </c>
      <c r="E170" s="12" t="inlineStr">
        <is>
          <t>Kabir Singh</t>
        </is>
      </c>
      <c r="F170" s="12" t="inlineStr">
        <is>
          <t>Consumer</t>
        </is>
      </c>
      <c r="G170" s="12" t="inlineStr">
        <is>
          <t>West</t>
        </is>
      </c>
      <c r="H170" s="12" t="inlineStr">
        <is>
          <t>Maharashtra</t>
        </is>
      </c>
      <c r="I170" s="12" t="inlineStr">
        <is>
          <t>Mumbai</t>
        </is>
      </c>
      <c r="J170" s="12" t="inlineStr">
        <is>
          <t>Technology</t>
        </is>
      </c>
      <c r="K170" s="12" t="inlineStr">
        <is>
          <t>Accessories</t>
        </is>
      </c>
      <c r="L170" s="12" t="inlineStr">
        <is>
          <t>Eco Accessories 590</t>
        </is>
      </c>
      <c r="M170" s="12" t="inlineStr">
        <is>
          <t>Same Day</t>
        </is>
      </c>
      <c r="N170" s="12" t="n">
        <v>5</v>
      </c>
      <c r="O170" s="12" t="n">
        <v>639.27</v>
      </c>
      <c r="P170" s="12" t="n">
        <v>0.2</v>
      </c>
      <c r="Q170" s="12" t="n">
        <v>2557.08</v>
      </c>
      <c r="R170" s="12" t="n">
        <v>2025.69</v>
      </c>
      <c r="S170" s="12" t="n">
        <v>531.39</v>
      </c>
      <c r="T170" s="12" t="inlineStr">
        <is>
          <t>Paid</t>
        </is>
      </c>
      <c r="U170" s="12" t="inlineStr">
        <is>
          <t>Cancelled</t>
        </is>
      </c>
      <c r="V170">
        <f>IF(OR(P170="",P170&lt;0,P170&gt;0.5),0,P170)</f>
        <v/>
      </c>
      <c r="W170">
        <f>N170*O170*(1-V170)</f>
        <v/>
      </c>
      <c r="X170">
        <f>W170-R170</f>
        <v/>
      </c>
      <c r="Y170">
        <f>IF(W170=0,0,X170/W170)</f>
        <v/>
      </c>
      <c r="Z170">
        <f>C170-B170</f>
        <v/>
      </c>
      <c r="AA170">
        <f>TEXT(B170,"mmmm")</f>
        <v/>
      </c>
      <c r="AB170">
        <f>YEAR(B170)</f>
        <v/>
      </c>
      <c r="AC170">
        <f>IF(OR(P170&lt;0,P170&gt;0.5,C170&lt;B170),"INVALID","CLEAN")</f>
        <v/>
      </c>
    </row>
    <row r="171">
      <c r="A171" s="12" t="inlineStr">
        <is>
          <t>ORD-2025-10170</t>
        </is>
      </c>
      <c r="B171" s="12" t="inlineStr">
        <is>
          <t>2025-09-13</t>
        </is>
      </c>
      <c r="C171" s="12" t="inlineStr">
        <is>
          <t>09/13/2025</t>
        </is>
      </c>
      <c r="D171" s="12" t="inlineStr">
        <is>
          <t>CUST-2261</t>
        </is>
      </c>
      <c r="E171" s="12" t="inlineStr">
        <is>
          <t>Diya Patel</t>
        </is>
      </c>
      <c r="F171" s="12" t="inlineStr">
        <is>
          <t>Consumer</t>
        </is>
      </c>
      <c r="G171" s="12" t="inlineStr">
        <is>
          <t>East</t>
        </is>
      </c>
      <c r="H171" s="12" t="inlineStr">
        <is>
          <t>Assam</t>
        </is>
      </c>
      <c r="I171" s="12" t="inlineStr">
        <is>
          <t>Guwahati</t>
        </is>
      </c>
      <c r="J171" s="12" t="inlineStr">
        <is>
          <t>Office Supplies</t>
        </is>
      </c>
      <c r="K171" s="12" t="inlineStr">
        <is>
          <t>Art</t>
        </is>
      </c>
      <c r="L171" s="12" t="inlineStr">
        <is>
          <t>Pro Art 734</t>
        </is>
      </c>
      <c r="M171" s="12" t="inlineStr">
        <is>
          <t>Standard Class</t>
        </is>
      </c>
      <c r="N171" s="12" t="n">
        <v>8</v>
      </c>
      <c r="O171" s="12" t="n">
        <v>733.9</v>
      </c>
      <c r="P171" s="12" t="n">
        <v>0.05</v>
      </c>
      <c r="Q171" s="12" t="n">
        <v>5577.64</v>
      </c>
      <c r="R171" s="12" t="n">
        <v>3541.29</v>
      </c>
      <c r="S171" s="12" t="n">
        <v>2036.35</v>
      </c>
      <c r="T171" s="12" t="inlineStr">
        <is>
          <t>Pending</t>
        </is>
      </c>
      <c r="U171" s="12" t="inlineStr">
        <is>
          <t>Returned</t>
        </is>
      </c>
      <c r="V171">
        <f>IF(OR(P171="",P171&lt;0,P171&gt;0.5),0,P171)</f>
        <v/>
      </c>
      <c r="W171">
        <f>N171*O171*(1-V171)</f>
        <v/>
      </c>
      <c r="X171">
        <f>W171-R171</f>
        <v/>
      </c>
      <c r="Y171">
        <f>IF(W171=0,0,X171/W171)</f>
        <v/>
      </c>
      <c r="Z171">
        <f>C171-B171</f>
        <v/>
      </c>
      <c r="AA171">
        <f>TEXT(B171,"mmmm")</f>
        <v/>
      </c>
      <c r="AB171">
        <f>YEAR(B171)</f>
        <v/>
      </c>
      <c r="AC171">
        <f>IF(OR(P171&lt;0,P171&gt;0.5,C171&lt;B171),"INVALID","CLEAN")</f>
        <v/>
      </c>
    </row>
    <row r="172">
      <c r="A172" s="12" t="inlineStr">
        <is>
          <t>ORD-2025-10171</t>
        </is>
      </c>
      <c r="B172" s="12" t="inlineStr">
        <is>
          <t>07-09-2025</t>
        </is>
      </c>
      <c r="C172" s="12" t="inlineStr">
        <is>
          <t>09/15/2025</t>
        </is>
      </c>
      <c r="D172" s="12" t="inlineStr">
        <is>
          <t>CUST-3734</t>
        </is>
      </c>
      <c r="E172" s="12" t="inlineStr">
        <is>
          <t>Rohan Mehta</t>
        </is>
      </c>
      <c r="F172" s="12" t="inlineStr">
        <is>
          <t>Corporate</t>
        </is>
      </c>
      <c r="G172" s="12" t="inlineStr">
        <is>
          <t>East</t>
        </is>
      </c>
      <c r="H172" s="12" t="inlineStr">
        <is>
          <t>Bihar</t>
        </is>
      </c>
      <c r="I172" s="12" t="inlineStr">
        <is>
          <t>Patna</t>
        </is>
      </c>
      <c r="J172" s="12" t="inlineStr">
        <is>
          <t>Technology</t>
        </is>
      </c>
      <c r="K172" s="12" t="inlineStr">
        <is>
          <t>Copiers</t>
        </is>
      </c>
      <c r="L172" s="12" t="inlineStr">
        <is>
          <t>Eco Copiers 102</t>
        </is>
      </c>
      <c r="M172" s="12" t="inlineStr">
        <is>
          <t>Standard Class</t>
        </is>
      </c>
      <c r="N172" s="12" t="n">
        <v>3</v>
      </c>
      <c r="O172" s="12" t="n">
        <v>1711.32</v>
      </c>
      <c r="P172" s="12" t="n">
        <v>0</v>
      </c>
      <c r="Q172" s="12" t="n">
        <v>5133.96</v>
      </c>
      <c r="R172" s="12" t="n">
        <v>3930</v>
      </c>
      <c r="S172" s="12" t="n">
        <v>1203.96</v>
      </c>
      <c r="T172" s="12" t="inlineStr">
        <is>
          <t>Paid</t>
        </is>
      </c>
      <c r="U172" s="12" t="inlineStr">
        <is>
          <t>Completed</t>
        </is>
      </c>
      <c r="V172">
        <f>IF(OR(P172="",P172&lt;0,P172&gt;0.5),0,P172)</f>
        <v/>
      </c>
      <c r="W172">
        <f>N172*O172*(1-V172)</f>
        <v/>
      </c>
      <c r="X172">
        <f>W172-R172</f>
        <v/>
      </c>
      <c r="Y172">
        <f>IF(W172=0,0,X172/W172)</f>
        <v/>
      </c>
      <c r="Z172">
        <f>C172-B172</f>
        <v/>
      </c>
      <c r="AA172">
        <f>TEXT(B172,"mmmm")</f>
        <v/>
      </c>
      <c r="AB172">
        <f>YEAR(B172)</f>
        <v/>
      </c>
      <c r="AC172">
        <f>IF(OR(P172&lt;0,P172&gt;0.5,C172&lt;B172),"INVALID","CLEAN")</f>
        <v/>
      </c>
    </row>
    <row r="173">
      <c r="A173" s="12" t="inlineStr">
        <is>
          <t>ORD-2025-10172</t>
        </is>
      </c>
      <c r="B173" s="12" t="inlineStr">
        <is>
          <t>2025-02-23</t>
        </is>
      </c>
      <c r="C173" s="12" t="inlineStr">
        <is>
          <t>02/25/2025</t>
        </is>
      </c>
      <c r="D173" s="12" t="inlineStr">
        <is>
          <t>CUST-3436</t>
        </is>
      </c>
      <c r="E173" s="12" t="inlineStr">
        <is>
          <t>Karan Malhotra</t>
        </is>
      </c>
      <c r="F173" s="12" t="inlineStr">
        <is>
          <t>Corporate</t>
        </is>
      </c>
      <c r="G173" s="12" t="inlineStr">
        <is>
          <t>East</t>
        </is>
      </c>
      <c r="H173" s="12" t="inlineStr">
        <is>
          <t>Bihar</t>
        </is>
      </c>
      <c r="I173" s="12" t="inlineStr">
        <is>
          <t>Patna</t>
        </is>
      </c>
      <c r="J173" s="12" t="inlineStr">
        <is>
          <t>Office Supplies</t>
        </is>
      </c>
      <c r="K173" s="12" t="inlineStr">
        <is>
          <t>Labels</t>
        </is>
      </c>
      <c r="L173" s="12" t="inlineStr">
        <is>
          <t>Basic Labels 876</t>
        </is>
      </c>
      <c r="M173" s="12" t="inlineStr">
        <is>
          <t>Same Day</t>
        </is>
      </c>
      <c r="N173" s="12" t="n">
        <v>5</v>
      </c>
      <c r="O173" s="12" t="n">
        <v>4246.27</v>
      </c>
      <c r="P173" s="12" t="n">
        <v>0.25</v>
      </c>
      <c r="Q173" s="12" t="n">
        <v>15923.51</v>
      </c>
      <c r="R173" s="12" t="n">
        <v>11291.8</v>
      </c>
      <c r="S173" s="12" t="n">
        <v>4631.71</v>
      </c>
      <c r="T173" s="12" t="inlineStr">
        <is>
          <t>Paid</t>
        </is>
      </c>
      <c r="U173" s="12" t="inlineStr">
        <is>
          <t>Completed</t>
        </is>
      </c>
      <c r="V173">
        <f>IF(OR(P173="",P173&lt;0,P173&gt;0.5),0,P173)</f>
        <v/>
      </c>
      <c r="W173">
        <f>N173*O173*(1-V173)</f>
        <v/>
      </c>
      <c r="X173">
        <f>W173-R173</f>
        <v/>
      </c>
      <c r="Y173">
        <f>IF(W173=0,0,X173/W173)</f>
        <v/>
      </c>
      <c r="Z173">
        <f>C173-B173</f>
        <v/>
      </c>
      <c r="AA173">
        <f>TEXT(B173,"mmmm")</f>
        <v/>
      </c>
      <c r="AB173">
        <f>YEAR(B173)</f>
        <v/>
      </c>
      <c r="AC173">
        <f>IF(OR(P173&lt;0,P173&gt;0.5,C173&lt;B173),"INVALID","CLEAN")</f>
        <v/>
      </c>
    </row>
    <row r="174">
      <c r="A174" s="12" t="inlineStr">
        <is>
          <t>ORD-2025-10173</t>
        </is>
      </c>
      <c r="B174" s="12" t="inlineStr">
        <is>
          <t>02-08-2025</t>
        </is>
      </c>
      <c r="C174" s="12" t="inlineStr">
        <is>
          <t>10-08-2025</t>
        </is>
      </c>
      <c r="D174" s="12" t="inlineStr">
        <is>
          <t>CUST-4845</t>
        </is>
      </c>
      <c r="E174" s="12" t="inlineStr">
        <is>
          <t>Karan Malhotra</t>
        </is>
      </c>
      <c r="F174" s="12" t="inlineStr">
        <is>
          <t>Corporate</t>
        </is>
      </c>
      <c r="G174" s="12" t="inlineStr">
        <is>
          <t>North</t>
        </is>
      </c>
      <c r="H174" s="12" t="inlineStr">
        <is>
          <t>Delhi</t>
        </is>
      </c>
      <c r="I174" s="12" t="inlineStr">
        <is>
          <t>New Delhi</t>
        </is>
      </c>
      <c r="J174" s="12" t="inlineStr">
        <is>
          <t>Furniture</t>
        </is>
      </c>
      <c r="K174" s="12" t="inlineStr">
        <is>
          <t>Furnishings</t>
        </is>
      </c>
      <c r="L174" s="12" t="inlineStr">
        <is>
          <t>Prime Furnishings 381</t>
        </is>
      </c>
      <c r="M174" s="12" t="inlineStr">
        <is>
          <t>Same Day</t>
        </is>
      </c>
      <c r="N174" s="12" t="n">
        <v>9</v>
      </c>
      <c r="O174" s="12" t="n">
        <v>2962.62</v>
      </c>
      <c r="P174" s="12" t="n">
        <v>0.1</v>
      </c>
      <c r="Q174" s="12" t="n">
        <v>23997.22</v>
      </c>
      <c r="R174" s="12" t="n">
        <v>16134.63</v>
      </c>
      <c r="S174" s="12" t="n">
        <v>7862.59</v>
      </c>
      <c r="T174" s="12" t="inlineStr">
        <is>
          <t>Refunded</t>
        </is>
      </c>
      <c r="U174" s="12" t="inlineStr">
        <is>
          <t>Returned</t>
        </is>
      </c>
      <c r="V174">
        <f>IF(OR(P174="",P174&lt;0,P174&gt;0.5),0,P174)</f>
        <v/>
      </c>
      <c r="W174">
        <f>N174*O174*(1-V174)</f>
        <v/>
      </c>
      <c r="X174">
        <f>W174-R174</f>
        <v/>
      </c>
      <c r="Y174">
        <f>IF(W174=0,0,X174/W174)</f>
        <v/>
      </c>
      <c r="Z174">
        <f>C174-B174</f>
        <v/>
      </c>
      <c r="AA174">
        <f>TEXT(B174,"mmmm")</f>
        <v/>
      </c>
      <c r="AB174">
        <f>YEAR(B174)</f>
        <v/>
      </c>
      <c r="AC174">
        <f>IF(OR(P174&lt;0,P174&gt;0.5,C174&lt;B174),"INVALID","CLEAN")</f>
        <v/>
      </c>
    </row>
    <row r="175">
      <c r="A175" s="12" t="inlineStr">
        <is>
          <t>ORD-2024-10174</t>
        </is>
      </c>
      <c r="B175" s="12" t="inlineStr">
        <is>
          <t>02-05-2024</t>
        </is>
      </c>
      <c r="C175" s="12" t="inlineStr">
        <is>
          <t>08 May 2024</t>
        </is>
      </c>
      <c r="D175" s="12" t="inlineStr">
        <is>
          <t>CUST-6153</t>
        </is>
      </c>
      <c r="E175" s="12" t="inlineStr">
        <is>
          <t>PRIYA MENON</t>
        </is>
      </c>
      <c r="F175" s="12" t="inlineStr">
        <is>
          <t>Home Office</t>
        </is>
      </c>
      <c r="G175" s="12" t="inlineStr">
        <is>
          <t>North</t>
        </is>
      </c>
      <c r="H175" s="12" t="inlineStr">
        <is>
          <t>Punjab</t>
        </is>
      </c>
      <c r="I175" s="12" t="inlineStr">
        <is>
          <t>Ludhiana</t>
        </is>
      </c>
      <c r="J175" s="12" t="inlineStr">
        <is>
          <t>Technology</t>
        </is>
      </c>
      <c r="K175" s="12" t="inlineStr">
        <is>
          <t>Copiers</t>
        </is>
      </c>
      <c r="L175" s="12" t="inlineStr">
        <is>
          <t>Prime Copiers 440</t>
        </is>
      </c>
      <c r="M175" s="12" t="inlineStr">
        <is>
          <t>Second Class</t>
        </is>
      </c>
      <c r="N175" s="12" t="n">
        <v>1</v>
      </c>
      <c r="O175" s="12" t="n">
        <v>2312.25</v>
      </c>
      <c r="P175" s="12" t="n">
        <v>0.25</v>
      </c>
      <c r="Q175" s="12" t="n">
        <v>1734.19</v>
      </c>
      <c r="R175" s="12" t="n">
        <v>1386.07</v>
      </c>
      <c r="S175" s="12" t="n">
        <v>348.12</v>
      </c>
      <c r="T175" s="12" t="inlineStr">
        <is>
          <t>Paid</t>
        </is>
      </c>
      <c r="U175" s="12" t="inlineStr">
        <is>
          <t>Completed</t>
        </is>
      </c>
      <c r="V175">
        <f>IF(OR(P175="",P175&lt;0,P175&gt;0.5),0,P175)</f>
        <v/>
      </c>
      <c r="W175">
        <f>N175*O175*(1-V175)</f>
        <v/>
      </c>
      <c r="X175">
        <f>W175-R175</f>
        <v/>
      </c>
      <c r="Y175">
        <f>IF(W175=0,0,X175/W175)</f>
        <v/>
      </c>
      <c r="Z175">
        <f>C175-B175</f>
        <v/>
      </c>
      <c r="AA175">
        <f>TEXT(B175,"mmmm")</f>
        <v/>
      </c>
      <c r="AB175">
        <f>YEAR(B175)</f>
        <v/>
      </c>
      <c r="AC175">
        <f>IF(OR(P175&lt;0,P175&gt;0.5,C175&lt;B175),"INVALID","CLEAN")</f>
        <v/>
      </c>
    </row>
    <row r="176">
      <c r="A176" s="12" t="inlineStr">
        <is>
          <t>ORD-2025-10175</t>
        </is>
      </c>
      <c r="B176" s="12" t="inlineStr">
        <is>
          <t>28 Sep 2025</t>
        </is>
      </c>
      <c r="C176" s="12" t="inlineStr">
        <is>
          <t>04-10-2025</t>
        </is>
      </c>
      <c r="D176" s="12" t="inlineStr">
        <is>
          <t>CUST-5475</t>
        </is>
      </c>
      <c r="E176" s="12" t="inlineStr">
        <is>
          <t>Karan Malhotra</t>
        </is>
      </c>
      <c r="F176" s="12" t="inlineStr">
        <is>
          <t>Small Business</t>
        </is>
      </c>
      <c r="G176" s="12" t="inlineStr">
        <is>
          <t>South</t>
        </is>
      </c>
      <c r="H176" s="12" t="inlineStr">
        <is>
          <t>Karnataka</t>
        </is>
      </c>
      <c r="I176" s="12" t="inlineStr">
        <is>
          <t>Bengaluru</t>
        </is>
      </c>
      <c r="J176" s="12" t="inlineStr">
        <is>
          <t>Furniture</t>
        </is>
      </c>
      <c r="K176" s="12" t="inlineStr">
        <is>
          <t>Bookcases</t>
        </is>
      </c>
      <c r="L176" s="12" t="inlineStr">
        <is>
          <t>Pro Bookcases 319</t>
        </is>
      </c>
      <c r="M176" s="12" t="inlineStr">
        <is>
          <t>First Class</t>
        </is>
      </c>
      <c r="N176" s="12" t="n">
        <v>6</v>
      </c>
      <c r="O176" s="12" t="n">
        <v>1620.53</v>
      </c>
      <c r="P176" s="12" t="n">
        <v>0.15</v>
      </c>
      <c r="Q176" s="12" t="n">
        <v>8264.700000000001</v>
      </c>
      <c r="R176" s="12" t="n">
        <v>4768.75</v>
      </c>
      <c r="S176" s="12" t="n">
        <v>3495.95</v>
      </c>
      <c r="T176" s="12" t="inlineStr">
        <is>
          <t>Pending</t>
        </is>
      </c>
      <c r="U176" s="12" t="inlineStr">
        <is>
          <t>Returned</t>
        </is>
      </c>
      <c r="V176">
        <f>IF(OR(P176="",P176&lt;0,P176&gt;0.5),0,P176)</f>
        <v/>
      </c>
      <c r="W176">
        <f>N176*O176*(1-V176)</f>
        <v/>
      </c>
      <c r="X176">
        <f>W176-R176</f>
        <v/>
      </c>
      <c r="Y176">
        <f>IF(W176=0,0,X176/W176)</f>
        <v/>
      </c>
      <c r="Z176">
        <f>C176-B176</f>
        <v/>
      </c>
      <c r="AA176">
        <f>TEXT(B176,"mmmm")</f>
        <v/>
      </c>
      <c r="AB176">
        <f>YEAR(B176)</f>
        <v/>
      </c>
      <c r="AC176">
        <f>IF(OR(P176&lt;0,P176&gt;0.5,C176&lt;B176),"INVALID","CLEAN")</f>
        <v/>
      </c>
    </row>
    <row r="177">
      <c r="A177" s="12" t="inlineStr">
        <is>
          <t>ORD-2024-10176</t>
        </is>
      </c>
      <c r="B177" s="12" t="inlineStr">
        <is>
          <t>2024-01-27</t>
        </is>
      </c>
      <c r="C177" s="12" t="inlineStr">
        <is>
          <t>2024-02-03</t>
        </is>
      </c>
      <c r="D177" s="12" t="inlineStr">
        <is>
          <t>CUST-5580</t>
        </is>
      </c>
      <c r="E177" s="12" t="inlineStr">
        <is>
          <t>Arjun Bose</t>
        </is>
      </c>
      <c r="F177" s="12" t="inlineStr">
        <is>
          <t>Small Business</t>
        </is>
      </c>
      <c r="G177" s="12" t="inlineStr">
        <is>
          <t>East</t>
        </is>
      </c>
      <c r="H177" s="12" t="inlineStr">
        <is>
          <t>Bihar</t>
        </is>
      </c>
      <c r="I177" s="12" t="inlineStr">
        <is>
          <t>Patna</t>
        </is>
      </c>
      <c r="J177" s="12" t="inlineStr">
        <is>
          <t>Technology</t>
        </is>
      </c>
      <c r="K177" s="12" t="inlineStr">
        <is>
          <t>Machines</t>
        </is>
      </c>
      <c r="L177" s="12" t="inlineStr">
        <is>
          <t>Basic Machines 584</t>
        </is>
      </c>
      <c r="M177" s="12" t="inlineStr">
        <is>
          <t>Same Day</t>
        </is>
      </c>
      <c r="N177" s="12" t="n">
        <v>7</v>
      </c>
      <c r="O177" s="12" t="n">
        <v>2673.42</v>
      </c>
      <c r="P177" s="12" t="n">
        <v>0.15</v>
      </c>
      <c r="Q177" s="12" t="n">
        <v>15906.85</v>
      </c>
      <c r="R177" s="12" t="n">
        <v>11014.46</v>
      </c>
      <c r="S177" s="12" t="n">
        <v>4892.39</v>
      </c>
      <c r="T177" s="12" t="inlineStr">
        <is>
          <t>Paid</t>
        </is>
      </c>
      <c r="U177" s="12" t="inlineStr">
        <is>
          <t>Returned</t>
        </is>
      </c>
      <c r="V177">
        <f>IF(OR(P177="",P177&lt;0,P177&gt;0.5),0,P177)</f>
        <v/>
      </c>
      <c r="W177">
        <f>N177*O177*(1-V177)</f>
        <v/>
      </c>
      <c r="X177">
        <f>W177-R177</f>
        <v/>
      </c>
      <c r="Y177">
        <f>IF(W177=0,0,X177/W177)</f>
        <v/>
      </c>
      <c r="Z177">
        <f>C177-B177</f>
        <v/>
      </c>
      <c r="AA177">
        <f>TEXT(B177,"mmmm")</f>
        <v/>
      </c>
      <c r="AB177">
        <f>YEAR(B177)</f>
        <v/>
      </c>
      <c r="AC177">
        <f>IF(OR(P177&lt;0,P177&gt;0.5,C177&lt;B177),"INVALID","CLEAN")</f>
        <v/>
      </c>
    </row>
    <row r="178">
      <c r="A178" s="12" t="inlineStr">
        <is>
          <t>ORD-2025-10177</t>
        </is>
      </c>
      <c r="B178" s="12" t="inlineStr">
        <is>
          <t>18-03-2025</t>
        </is>
      </c>
      <c r="C178" s="12" t="inlineStr">
        <is>
          <t>03/26/2025</t>
        </is>
      </c>
      <c r="D178" s="12" t="inlineStr">
        <is>
          <t>CUST-3027</t>
        </is>
      </c>
      <c r="E178" s="12" t="inlineStr">
        <is>
          <t>Vikram Iyer</t>
        </is>
      </c>
      <c r="F178" s="12" t="inlineStr">
        <is>
          <t>Corporate</t>
        </is>
      </c>
      <c r="G178" s="12" t="inlineStr">
        <is>
          <t>East</t>
        </is>
      </c>
      <c r="H178" s="12" t="inlineStr">
        <is>
          <t>Jharkhand</t>
        </is>
      </c>
      <c r="I178" s="12" t="inlineStr">
        <is>
          <t>Ranchi</t>
        </is>
      </c>
      <c r="J178" s="12" t="inlineStr">
        <is>
          <t>Furniture</t>
        </is>
      </c>
      <c r="K178" s="12" t="inlineStr">
        <is>
          <t>Bookcases</t>
        </is>
      </c>
      <c r="L178" s="12" t="inlineStr">
        <is>
          <t>Pro Bookcases 612</t>
        </is>
      </c>
      <c r="M178" s="12" t="inlineStr">
        <is>
          <t>Standard Class</t>
        </is>
      </c>
      <c r="N178" s="12" t="n">
        <v>8</v>
      </c>
      <c r="O178" s="12" t="n">
        <v>3563.09</v>
      </c>
      <c r="P178" s="12" t="n">
        <v>0.15</v>
      </c>
      <c r="Q178" s="12" t="n">
        <v>24229.01</v>
      </c>
      <c r="R178" s="12" t="n">
        <v>13910.64</v>
      </c>
      <c r="S178" s="12" t="n">
        <v>10318.37</v>
      </c>
      <c r="T178" s="12" t="inlineStr">
        <is>
          <t>Paid</t>
        </is>
      </c>
      <c r="U178" s="12" t="inlineStr">
        <is>
          <t>Completed</t>
        </is>
      </c>
      <c r="V178">
        <f>IF(OR(P178="",P178&lt;0,P178&gt;0.5),0,P178)</f>
        <v/>
      </c>
      <c r="W178">
        <f>N178*O178*(1-V178)</f>
        <v/>
      </c>
      <c r="X178">
        <f>W178-R178</f>
        <v/>
      </c>
      <c r="Y178">
        <f>IF(W178=0,0,X178/W178)</f>
        <v/>
      </c>
      <c r="Z178">
        <f>C178-B178</f>
        <v/>
      </c>
      <c r="AA178">
        <f>TEXT(B178,"mmmm")</f>
        <v/>
      </c>
      <c r="AB178">
        <f>YEAR(B178)</f>
        <v/>
      </c>
      <c r="AC178">
        <f>IF(OR(P178&lt;0,P178&gt;0.5,C178&lt;B178),"INVALID","CLEAN")</f>
        <v/>
      </c>
    </row>
    <row r="179">
      <c r="A179" s="12" t="inlineStr">
        <is>
          <t>ORD-2024-10178</t>
        </is>
      </c>
      <c r="B179" s="12" t="inlineStr">
        <is>
          <t>01-06-2024</t>
        </is>
      </c>
      <c r="C179" s="12" t="inlineStr">
        <is>
          <t>06/03/2024</t>
        </is>
      </c>
      <c r="D179" s="12" t="inlineStr">
        <is>
          <t>CUST-4399</t>
        </is>
      </c>
      <c r="E179" s="12" t="inlineStr">
        <is>
          <t>Sneha Kapoor</t>
        </is>
      </c>
      <c r="F179" s="12" t="inlineStr">
        <is>
          <t>Home Office</t>
        </is>
      </c>
      <c r="G179" s="12" t="n"/>
      <c r="H179" s="12" t="inlineStr">
        <is>
          <t>Bihar</t>
        </is>
      </c>
      <c r="I179" s="12" t="inlineStr">
        <is>
          <t>Patna</t>
        </is>
      </c>
      <c r="J179" s="12" t="inlineStr">
        <is>
          <t>Office Supplies</t>
        </is>
      </c>
      <c r="K179" s="12" t="inlineStr">
        <is>
          <t>Art</t>
        </is>
      </c>
      <c r="L179" s="12" t="inlineStr">
        <is>
          <t>Classic Art 573</t>
        </is>
      </c>
      <c r="M179" s="12" t="inlineStr">
        <is>
          <t>Same Day</t>
        </is>
      </c>
      <c r="N179" s="12" t="n">
        <v>8</v>
      </c>
      <c r="O179" s="12" t="n">
        <v>3879.95</v>
      </c>
      <c r="P179" s="12" t="n">
        <v>0</v>
      </c>
      <c r="Q179" s="12" t="n">
        <v>31039.6</v>
      </c>
      <c r="R179" s="12" t="n">
        <v>20866.72</v>
      </c>
      <c r="S179" s="12" t="n">
        <v>10172.88</v>
      </c>
      <c r="T179" s="12" t="inlineStr">
        <is>
          <t>Paid</t>
        </is>
      </c>
      <c r="U179" s="12" t="inlineStr">
        <is>
          <t>Completed</t>
        </is>
      </c>
      <c r="V179">
        <f>IF(OR(P179="",P179&lt;0,P179&gt;0.5),0,P179)</f>
        <v/>
      </c>
      <c r="W179">
        <f>N179*O179*(1-V179)</f>
        <v/>
      </c>
      <c r="X179">
        <f>W179-R179</f>
        <v/>
      </c>
      <c r="Y179">
        <f>IF(W179=0,0,X179/W179)</f>
        <v/>
      </c>
      <c r="Z179">
        <f>C179-B179</f>
        <v/>
      </c>
      <c r="AA179">
        <f>TEXT(B179,"mmmm")</f>
        <v/>
      </c>
      <c r="AB179">
        <f>YEAR(B179)</f>
        <v/>
      </c>
      <c r="AC179">
        <f>IF(OR(P179&lt;0,P179&gt;0.5,C179&lt;B179),"INVALID","CLEAN")</f>
        <v/>
      </c>
    </row>
    <row r="180">
      <c r="A180" s="12" t="inlineStr">
        <is>
          <t>ORD-2024-10179</t>
        </is>
      </c>
      <c r="B180" s="12" t="inlineStr">
        <is>
          <t>30-09-2024</t>
        </is>
      </c>
      <c r="C180" s="12" t="inlineStr">
        <is>
          <t>2024-09-30</t>
        </is>
      </c>
      <c r="D180" s="12" t="inlineStr">
        <is>
          <t>CUST-3092</t>
        </is>
      </c>
      <c r="E180" s="12" t="inlineStr">
        <is>
          <t>Isha Nair</t>
        </is>
      </c>
      <c r="F180" s="12" t="inlineStr">
        <is>
          <t>Corporate</t>
        </is>
      </c>
      <c r="G180" s="12" t="inlineStr">
        <is>
          <t>South</t>
        </is>
      </c>
      <c r="H180" s="12" t="inlineStr">
        <is>
          <t>Telangana</t>
        </is>
      </c>
      <c r="I180" s="12" t="inlineStr">
        <is>
          <t>Hyderabad</t>
        </is>
      </c>
      <c r="J180" s="12" t="inlineStr">
        <is>
          <t>Office Supplies</t>
        </is>
      </c>
      <c r="K180" s="12" t="inlineStr">
        <is>
          <t>Art</t>
        </is>
      </c>
      <c r="L180" s="12" t="inlineStr">
        <is>
          <t>Eco Art 854</t>
        </is>
      </c>
      <c r="M180" s="12" t="inlineStr">
        <is>
          <t>Standard Class</t>
        </is>
      </c>
      <c r="N180" s="12" t="n">
        <v>4</v>
      </c>
      <c r="O180" s="12" t="n">
        <v>3281.74</v>
      </c>
      <c r="P180" s="12" t="n">
        <v>0</v>
      </c>
      <c r="Q180" s="12" t="n">
        <v>13126.96</v>
      </c>
      <c r="R180" s="12" t="n">
        <v>10732.44</v>
      </c>
      <c r="S180" s="12" t="n">
        <v>2394.52</v>
      </c>
      <c r="T180" s="12" t="inlineStr">
        <is>
          <t>Paid</t>
        </is>
      </c>
      <c r="U180" s="12" t="inlineStr">
        <is>
          <t>Completed</t>
        </is>
      </c>
      <c r="V180">
        <f>IF(OR(P180="",P180&lt;0,P180&gt;0.5),0,P180)</f>
        <v/>
      </c>
      <c r="W180">
        <f>N180*O180*(1-V180)</f>
        <v/>
      </c>
      <c r="X180">
        <f>W180-R180</f>
        <v/>
      </c>
      <c r="Y180">
        <f>IF(W180=0,0,X180/W180)</f>
        <v/>
      </c>
      <c r="Z180">
        <f>C180-B180</f>
        <v/>
      </c>
      <c r="AA180">
        <f>TEXT(B180,"mmmm")</f>
        <v/>
      </c>
      <c r="AB180">
        <f>YEAR(B180)</f>
        <v/>
      </c>
      <c r="AC180">
        <f>IF(OR(P180&lt;0,P180&gt;0.5,C180&lt;B180),"INVALID","CLEAN")</f>
        <v/>
      </c>
    </row>
    <row r="181">
      <c r="A181" s="12" t="inlineStr">
        <is>
          <t>ORD-2024-10180</t>
        </is>
      </c>
      <c r="B181" s="12" t="inlineStr">
        <is>
          <t>2024-03-15</t>
        </is>
      </c>
      <c r="C181" s="12" t="inlineStr">
        <is>
          <t>03/19/2024</t>
        </is>
      </c>
      <c r="D181" s="12" t="inlineStr">
        <is>
          <t>CUST-1778</t>
        </is>
      </c>
      <c r="E181" s="12" t="inlineStr">
        <is>
          <t>Ananya Rao</t>
        </is>
      </c>
      <c r="F181" s="12" t="inlineStr">
        <is>
          <t>Small Business</t>
        </is>
      </c>
      <c r="G181" s="12" t="inlineStr">
        <is>
          <t>South</t>
        </is>
      </c>
      <c r="H181" s="12" t="inlineStr">
        <is>
          <t>Tamil Nadu</t>
        </is>
      </c>
      <c r="I181" s="12" t="inlineStr">
        <is>
          <t>Chennai</t>
        </is>
      </c>
      <c r="J181" s="12" t="inlineStr">
        <is>
          <t>Furniture</t>
        </is>
      </c>
      <c r="K181" s="12" t="inlineStr">
        <is>
          <t>Furnishings</t>
        </is>
      </c>
      <c r="L181" s="12" t="inlineStr">
        <is>
          <t>Classic Furnishings 996</t>
        </is>
      </c>
      <c r="M181" s="12" t="inlineStr">
        <is>
          <t>Standard Class</t>
        </is>
      </c>
      <c r="N181" s="12" t="n">
        <v>4</v>
      </c>
      <c r="O181" s="12" t="n">
        <v>3186.3</v>
      </c>
      <c r="P181" s="12" t="n">
        <v>0.25</v>
      </c>
      <c r="Q181" s="12" t="n">
        <v>9558.9</v>
      </c>
      <c r="R181" s="12" t="n">
        <v>5516.76</v>
      </c>
      <c r="S181" s="12" t="n">
        <v>4042.14</v>
      </c>
      <c r="T181" s="12" t="inlineStr">
        <is>
          <t>Refunded</t>
        </is>
      </c>
      <c r="U181" s="12" t="inlineStr">
        <is>
          <t>Returned</t>
        </is>
      </c>
      <c r="V181">
        <f>IF(OR(P181="",P181&lt;0,P181&gt;0.5),0,P181)</f>
        <v/>
      </c>
      <c r="W181">
        <f>N181*O181*(1-V181)</f>
        <v/>
      </c>
      <c r="X181">
        <f>W181-R181</f>
        <v/>
      </c>
      <c r="Y181">
        <f>IF(W181=0,0,X181/W181)</f>
        <v/>
      </c>
      <c r="Z181">
        <f>C181-B181</f>
        <v/>
      </c>
      <c r="AA181">
        <f>TEXT(B181,"mmmm")</f>
        <v/>
      </c>
      <c r="AB181">
        <f>YEAR(B181)</f>
        <v/>
      </c>
      <c r="AC181">
        <f>IF(OR(P181&lt;0,P181&gt;0.5,C181&lt;B181),"INVALID","CLEAN")</f>
        <v/>
      </c>
    </row>
    <row r="182">
      <c r="A182" s="12" t="inlineStr">
        <is>
          <t>ORD-2024-10181</t>
        </is>
      </c>
      <c r="B182" s="12" t="inlineStr">
        <is>
          <t>2024-08-26</t>
        </is>
      </c>
      <c r="C182" s="12" t="inlineStr">
        <is>
          <t>26-08-2024</t>
        </is>
      </c>
      <c r="D182" s="12" t="inlineStr">
        <is>
          <t>CUST-3787</t>
        </is>
      </c>
      <c r="E182" s="12" t="inlineStr">
        <is>
          <t>Mira Das</t>
        </is>
      </c>
      <c r="F182" s="12" t="inlineStr">
        <is>
          <t>Home Office</t>
        </is>
      </c>
      <c r="G182" s="12" t="inlineStr">
        <is>
          <t>North</t>
        </is>
      </c>
      <c r="H182" s="12" t="inlineStr">
        <is>
          <t>Uttar Pradesh</t>
        </is>
      </c>
      <c r="I182" s="12" t="inlineStr">
        <is>
          <t>Noida</t>
        </is>
      </c>
      <c r="J182" s="12" t="inlineStr">
        <is>
          <t>OFFICE SUPPLIES</t>
        </is>
      </c>
      <c r="K182" s="12" t="inlineStr">
        <is>
          <t>Binders</t>
        </is>
      </c>
      <c r="L182" s="12" t="inlineStr">
        <is>
          <t>Prime Binders 735</t>
        </is>
      </c>
      <c r="M182" s="12" t="inlineStr">
        <is>
          <t>First Class</t>
        </is>
      </c>
      <c r="N182" s="12" t="n">
        <v>7</v>
      </c>
      <c r="O182" s="12" t="n">
        <v>844.59</v>
      </c>
      <c r="P182" s="12" t="n">
        <v>0.1</v>
      </c>
      <c r="Q182" s="12" t="n">
        <v>5320.92</v>
      </c>
      <c r="R182" s="12" t="n">
        <v>3041.5</v>
      </c>
      <c r="S182" s="12" t="n">
        <v>2279.42</v>
      </c>
      <c r="T182" s="12" t="inlineStr">
        <is>
          <t>Paid</t>
        </is>
      </c>
      <c r="U182" s="12" t="inlineStr">
        <is>
          <t>Completed</t>
        </is>
      </c>
      <c r="V182">
        <f>IF(OR(P182="",P182&lt;0,P182&gt;0.5),0,P182)</f>
        <v/>
      </c>
      <c r="W182">
        <f>N182*O182*(1-V182)</f>
        <v/>
      </c>
      <c r="X182">
        <f>W182-R182</f>
        <v/>
      </c>
      <c r="Y182">
        <f>IF(W182=0,0,X182/W182)</f>
        <v/>
      </c>
      <c r="Z182">
        <f>C182-B182</f>
        <v/>
      </c>
      <c r="AA182">
        <f>TEXT(B182,"mmmm")</f>
        <v/>
      </c>
      <c r="AB182">
        <f>YEAR(B182)</f>
        <v/>
      </c>
      <c r="AC182">
        <f>IF(OR(P182&lt;0,P182&gt;0.5,C182&lt;B182),"INVALID","CLEAN")</f>
        <v/>
      </c>
    </row>
    <row r="183">
      <c r="A183" s="12" t="inlineStr">
        <is>
          <t>ORD-2025-10182</t>
        </is>
      </c>
      <c r="B183" s="12" t="inlineStr">
        <is>
          <t>09/09/2025</t>
        </is>
      </c>
      <c r="C183" s="12" t="inlineStr">
        <is>
          <t>10-09-2025</t>
        </is>
      </c>
      <c r="D183" s="12" t="inlineStr">
        <is>
          <t>CUST-5119</t>
        </is>
      </c>
      <c r="E183" s="12" t="inlineStr">
        <is>
          <t>Priya Menon</t>
        </is>
      </c>
      <c r="F183" s="12" t="inlineStr">
        <is>
          <t>Home Office</t>
        </is>
      </c>
      <c r="G183" s="12" t="inlineStr">
        <is>
          <t>South</t>
        </is>
      </c>
      <c r="H183" s="12" t="inlineStr">
        <is>
          <t>Tamil Nadu</t>
        </is>
      </c>
      <c r="I183" s="12" t="inlineStr">
        <is>
          <t>Chennai</t>
        </is>
      </c>
      <c r="J183" s="12" t="inlineStr">
        <is>
          <t>Office Supplies</t>
        </is>
      </c>
      <c r="K183" s="12" t="inlineStr">
        <is>
          <t>Art</t>
        </is>
      </c>
      <c r="L183" s="12" t="inlineStr">
        <is>
          <t>Pro Art 587</t>
        </is>
      </c>
      <c r="M183" s="12" t="inlineStr">
        <is>
          <t>Second Class</t>
        </is>
      </c>
      <c r="N183" s="12" t="n">
        <v>4</v>
      </c>
      <c r="O183" s="12" t="n">
        <v>2551.45</v>
      </c>
      <c r="P183" s="12" t="n">
        <v>0</v>
      </c>
      <c r="Q183" s="12" t="n">
        <v>10205.8</v>
      </c>
      <c r="R183" s="12" t="n">
        <v>5986.31</v>
      </c>
      <c r="S183" s="12" t="n">
        <v>4219.49</v>
      </c>
      <c r="T183" s="12" t="inlineStr">
        <is>
          <t>Paid</t>
        </is>
      </c>
      <c r="U183" s="12" t="inlineStr">
        <is>
          <t>Completed</t>
        </is>
      </c>
      <c r="V183">
        <f>IF(OR(P183="",P183&lt;0,P183&gt;0.5),0,P183)</f>
        <v/>
      </c>
      <c r="W183">
        <f>N183*O183*(1-V183)</f>
        <v/>
      </c>
      <c r="X183">
        <f>W183-R183</f>
        <v/>
      </c>
      <c r="Y183">
        <f>IF(W183=0,0,X183/W183)</f>
        <v/>
      </c>
      <c r="Z183">
        <f>C183-B183</f>
        <v/>
      </c>
      <c r="AA183">
        <f>TEXT(B183,"mmmm")</f>
        <v/>
      </c>
      <c r="AB183">
        <f>YEAR(B183)</f>
        <v/>
      </c>
      <c r="AC183">
        <f>IF(OR(P183&lt;0,P183&gt;0.5,C183&lt;B183),"INVALID","CLEAN")</f>
        <v/>
      </c>
    </row>
    <row r="184">
      <c r="A184" s="12" t="inlineStr">
        <is>
          <t>ORD-2024-10183</t>
        </is>
      </c>
      <c r="B184" s="12" t="inlineStr">
        <is>
          <t>16 Oct 2024</t>
        </is>
      </c>
      <c r="C184" s="12" t="inlineStr">
        <is>
          <t>16 Oct 2024</t>
        </is>
      </c>
      <c r="D184" s="12" t="inlineStr">
        <is>
          <t>CUST-4121</t>
        </is>
      </c>
      <c r="E184" s="12" t="inlineStr">
        <is>
          <t>Ananya Rao</t>
        </is>
      </c>
      <c r="F184" s="12" t="inlineStr">
        <is>
          <t>Home Office</t>
        </is>
      </c>
      <c r="G184" s="12" t="inlineStr">
        <is>
          <t>East</t>
        </is>
      </c>
      <c r="H184" s="12" t="inlineStr">
        <is>
          <t>Bihar</t>
        </is>
      </c>
      <c r="I184" s="12" t="inlineStr">
        <is>
          <t>Patna</t>
        </is>
      </c>
      <c r="J184" s="12" t="inlineStr">
        <is>
          <t>Technology</t>
        </is>
      </c>
      <c r="K184" s="12" t="inlineStr">
        <is>
          <t>Machines</t>
        </is>
      </c>
      <c r="L184" s="12" t="inlineStr">
        <is>
          <t>Basic Machines 575</t>
        </is>
      </c>
      <c r="M184" s="12" t="inlineStr">
        <is>
          <t>Standard Class</t>
        </is>
      </c>
      <c r="N184" s="12" t="n">
        <v>7</v>
      </c>
      <c r="O184" s="12" t="n">
        <v>775.77</v>
      </c>
      <c r="P184" s="12" t="n">
        <v>0</v>
      </c>
      <c r="Q184" s="12" t="n">
        <v>5430.39</v>
      </c>
      <c r="R184" s="12" t="n">
        <v>3707.66</v>
      </c>
      <c r="S184" s="12" t="n">
        <v>1722.73</v>
      </c>
      <c r="T184" s="12" t="inlineStr">
        <is>
          <t>Paid</t>
        </is>
      </c>
      <c r="U184" s="12" t="inlineStr">
        <is>
          <t>Completed</t>
        </is>
      </c>
      <c r="V184">
        <f>IF(OR(P184="",P184&lt;0,P184&gt;0.5),0,P184)</f>
        <v/>
      </c>
      <c r="W184">
        <f>N184*O184*(1-V184)</f>
        <v/>
      </c>
      <c r="X184">
        <f>W184-R184</f>
        <v/>
      </c>
      <c r="Y184">
        <f>IF(W184=0,0,X184/W184)</f>
        <v/>
      </c>
      <c r="Z184">
        <f>C184-B184</f>
        <v/>
      </c>
      <c r="AA184">
        <f>TEXT(B184,"mmmm")</f>
        <v/>
      </c>
      <c r="AB184">
        <f>YEAR(B184)</f>
        <v/>
      </c>
      <c r="AC184">
        <f>IF(OR(P184&lt;0,P184&gt;0.5,C184&lt;B184),"INVALID","CLEAN")</f>
        <v/>
      </c>
    </row>
    <row r="185">
      <c r="A185" s="12" t="inlineStr">
        <is>
          <t>ORD-2025-10184</t>
        </is>
      </c>
      <c r="B185" s="12" t="inlineStr">
        <is>
          <t>2025-06-24</t>
        </is>
      </c>
      <c r="C185" s="12" t="inlineStr">
        <is>
          <t>27-06-2025</t>
        </is>
      </c>
      <c r="D185" s="12" t="inlineStr">
        <is>
          <t>CUST-3366</t>
        </is>
      </c>
      <c r="E185" s="12" t="inlineStr">
        <is>
          <t>Vikram Iyer</t>
        </is>
      </c>
      <c r="F185" s="12" t="inlineStr">
        <is>
          <t>Home Office</t>
        </is>
      </c>
      <c r="G185" s="12" t="inlineStr">
        <is>
          <t>South</t>
        </is>
      </c>
      <c r="H185" s="12" t="inlineStr">
        <is>
          <t>Telangana</t>
        </is>
      </c>
      <c r="I185" s="12" t="inlineStr">
        <is>
          <t>Hyderabad</t>
        </is>
      </c>
      <c r="J185" s="12" t="inlineStr">
        <is>
          <t>Technology</t>
        </is>
      </c>
      <c r="K185" s="12" t="inlineStr">
        <is>
          <t>Copiers</t>
        </is>
      </c>
      <c r="L185" s="12" t="inlineStr">
        <is>
          <t>Elite Copiers 788</t>
        </is>
      </c>
      <c r="M185" s="12" t="inlineStr">
        <is>
          <t>Standard Class</t>
        </is>
      </c>
      <c r="N185" s="12" t="n">
        <v>7</v>
      </c>
      <c r="O185" s="12" t="n">
        <v>2304.86</v>
      </c>
      <c r="P185" s="12" t="n">
        <v>0.2</v>
      </c>
      <c r="Q185" s="12" t="n">
        <v>12907.22</v>
      </c>
      <c r="R185" s="12" t="n">
        <v>8327.889999999999</v>
      </c>
      <c r="S185" s="12" t="n">
        <v>4579.33</v>
      </c>
      <c r="T185" s="12" t="inlineStr">
        <is>
          <t>Paid</t>
        </is>
      </c>
      <c r="U185" s="12" t="inlineStr">
        <is>
          <t>Returned</t>
        </is>
      </c>
      <c r="V185">
        <f>IF(OR(P185="",P185&lt;0,P185&gt;0.5),0,P185)</f>
        <v/>
      </c>
      <c r="W185">
        <f>N185*O185*(1-V185)</f>
        <v/>
      </c>
      <c r="X185">
        <f>W185-R185</f>
        <v/>
      </c>
      <c r="Y185">
        <f>IF(W185=0,0,X185/W185)</f>
        <v/>
      </c>
      <c r="Z185">
        <f>C185-B185</f>
        <v/>
      </c>
      <c r="AA185">
        <f>TEXT(B185,"mmmm")</f>
        <v/>
      </c>
      <c r="AB185">
        <f>YEAR(B185)</f>
        <v/>
      </c>
      <c r="AC185">
        <f>IF(OR(P185&lt;0,P185&gt;0.5,C185&lt;B185),"INVALID","CLEAN")</f>
        <v/>
      </c>
    </row>
    <row r="186">
      <c r="A186" s="12" t="inlineStr">
        <is>
          <t>ORD-2024-10185</t>
        </is>
      </c>
      <c r="B186" s="12" t="inlineStr">
        <is>
          <t>2024-04-02</t>
        </is>
      </c>
      <c r="C186" s="12" t="inlineStr">
        <is>
          <t>2024-04-06</t>
        </is>
      </c>
      <c r="D186" s="12" t="inlineStr">
        <is>
          <t>CUST-1358</t>
        </is>
      </c>
      <c r="E186" s="12" t="inlineStr">
        <is>
          <t>Vikram Iyer</t>
        </is>
      </c>
      <c r="F186" s="12" t="inlineStr">
        <is>
          <t>Corporate</t>
        </is>
      </c>
      <c r="G186" s="12" t="inlineStr">
        <is>
          <t>West</t>
        </is>
      </c>
      <c r="H186" s="12" t="inlineStr">
        <is>
          <t>Madhya Pradesh</t>
        </is>
      </c>
      <c r="I186" s="12" t="inlineStr">
        <is>
          <t>Indore</t>
        </is>
      </c>
      <c r="J186" s="12" t="inlineStr">
        <is>
          <t>Furniture</t>
        </is>
      </c>
      <c r="K186" s="12" t="inlineStr">
        <is>
          <t>Bookcases</t>
        </is>
      </c>
      <c r="L186" s="12" t="inlineStr">
        <is>
          <t>Max Bookcases 472</t>
        </is>
      </c>
      <c r="M186" s="12" t="inlineStr">
        <is>
          <t>Standard Class</t>
        </is>
      </c>
      <c r="N186" s="12" t="n">
        <v>2</v>
      </c>
      <c r="O186" s="12" t="n">
        <v>888.98</v>
      </c>
      <c r="P186" s="12" t="n">
        <v>0</v>
      </c>
      <c r="Q186" s="12" t="n">
        <v>1777.96</v>
      </c>
      <c r="R186" s="12" t="n">
        <v>1021.16</v>
      </c>
      <c r="S186" s="12" t="n">
        <v>756.8</v>
      </c>
      <c r="T186" s="12" t="inlineStr">
        <is>
          <t>Refunded</t>
        </is>
      </c>
      <c r="U186" s="12" t="inlineStr">
        <is>
          <t>Returned</t>
        </is>
      </c>
      <c r="V186">
        <f>IF(OR(P186="",P186&lt;0,P186&gt;0.5),0,P186)</f>
        <v/>
      </c>
      <c r="W186">
        <f>N186*O186*(1-V186)</f>
        <v/>
      </c>
      <c r="X186">
        <f>W186-R186</f>
        <v/>
      </c>
      <c r="Y186">
        <f>IF(W186=0,0,X186/W186)</f>
        <v/>
      </c>
      <c r="Z186">
        <f>C186-B186</f>
        <v/>
      </c>
      <c r="AA186">
        <f>TEXT(B186,"mmmm")</f>
        <v/>
      </c>
      <c r="AB186">
        <f>YEAR(B186)</f>
        <v/>
      </c>
      <c r="AC186">
        <f>IF(OR(P186&lt;0,P186&gt;0.5,C186&lt;B186),"INVALID","CLEAN")</f>
        <v/>
      </c>
    </row>
    <row r="187">
      <c r="A187" s="12" t="inlineStr">
        <is>
          <t>ORD-2024-10186</t>
        </is>
      </c>
      <c r="B187" s="12" t="inlineStr">
        <is>
          <t>11/05/2024</t>
        </is>
      </c>
      <c r="C187" s="12" t="inlineStr">
        <is>
          <t>2024-11-13</t>
        </is>
      </c>
      <c r="D187" s="12" t="inlineStr">
        <is>
          <t>CUST-4968</t>
        </is>
      </c>
      <c r="E187" s="12" t="inlineStr">
        <is>
          <t>Arjun Bose</t>
        </is>
      </c>
      <c r="F187" s="12" t="inlineStr">
        <is>
          <t>Consumer</t>
        </is>
      </c>
      <c r="G187" s="12" t="n"/>
      <c r="H187" s="12" t="inlineStr">
        <is>
          <t>Punjab</t>
        </is>
      </c>
      <c r="I187" s="12" t="inlineStr">
        <is>
          <t>Ludhiana</t>
        </is>
      </c>
      <c r="J187" s="12" t="inlineStr">
        <is>
          <t>Office Supplies</t>
        </is>
      </c>
      <c r="K187" s="12" t="inlineStr">
        <is>
          <t>Labels</t>
        </is>
      </c>
      <c r="L187" s="12" t="inlineStr">
        <is>
          <t>Smart Labels 475</t>
        </is>
      </c>
      <c r="M187" s="12" t="inlineStr">
        <is>
          <t>Second Class</t>
        </is>
      </c>
      <c r="N187" s="12" t="n">
        <v>2</v>
      </c>
      <c r="O187" s="12" t="n">
        <v>1003.17</v>
      </c>
      <c r="P187" s="12" t="n">
        <v>0.2</v>
      </c>
      <c r="Q187" s="12" t="n">
        <v>1605.07</v>
      </c>
      <c r="R187" s="12" t="n">
        <v>1337.28</v>
      </c>
      <c r="S187" s="12" t="n">
        <v>267.79</v>
      </c>
      <c r="T187" s="12" t="inlineStr">
        <is>
          <t>Paid</t>
        </is>
      </c>
      <c r="U187" s="12" t="inlineStr">
        <is>
          <t>Completed</t>
        </is>
      </c>
      <c r="V187">
        <f>IF(OR(P187="",P187&lt;0,P187&gt;0.5),0,P187)</f>
        <v/>
      </c>
      <c r="W187">
        <f>N187*O187*(1-V187)</f>
        <v/>
      </c>
      <c r="X187">
        <f>W187-R187</f>
        <v/>
      </c>
      <c r="Y187">
        <f>IF(W187=0,0,X187/W187)</f>
        <v/>
      </c>
      <c r="Z187">
        <f>C187-B187</f>
        <v/>
      </c>
      <c r="AA187">
        <f>TEXT(B187,"mmmm")</f>
        <v/>
      </c>
      <c r="AB187">
        <f>YEAR(B187)</f>
        <v/>
      </c>
      <c r="AC187">
        <f>IF(OR(P187&lt;0,P187&gt;0.5,C187&lt;B187),"INVALID","CLEAN")</f>
        <v/>
      </c>
    </row>
    <row r="188">
      <c r="A188" s="12" t="inlineStr">
        <is>
          <t>ORD-2024-10187</t>
        </is>
      </c>
      <c r="B188" s="12" t="inlineStr">
        <is>
          <t>19-07-2024</t>
        </is>
      </c>
      <c r="C188" s="12" t="inlineStr">
        <is>
          <t>20 Jul 2024</t>
        </is>
      </c>
      <c r="D188" s="12" t="inlineStr">
        <is>
          <t>CUST-2778</t>
        </is>
      </c>
      <c r="E188" s="12" t="inlineStr">
        <is>
          <t>Vikram Iyer</t>
        </is>
      </c>
      <c r="F188" s="12" t="inlineStr">
        <is>
          <t>Consumer</t>
        </is>
      </c>
      <c r="G188" s="12" t="inlineStr">
        <is>
          <t>South</t>
        </is>
      </c>
      <c r="H188" s="12" t="inlineStr">
        <is>
          <t>Tamil Nadu</t>
        </is>
      </c>
      <c r="I188" s="12" t="inlineStr">
        <is>
          <t>Chennai</t>
        </is>
      </c>
      <c r="J188" s="12" t="inlineStr">
        <is>
          <t>Furniture</t>
        </is>
      </c>
      <c r="K188" s="12" t="inlineStr">
        <is>
          <t>Tables</t>
        </is>
      </c>
      <c r="L188" s="12" t="inlineStr">
        <is>
          <t>Basic Tables 417</t>
        </is>
      </c>
      <c r="M188" s="12" t="inlineStr">
        <is>
          <t>First Class</t>
        </is>
      </c>
      <c r="N188" s="12" t="n">
        <v>7</v>
      </c>
      <c r="O188" s="12" t="n">
        <v>3608.43</v>
      </c>
      <c r="P188" s="12" t="n">
        <v>0.05</v>
      </c>
      <c r="Q188" s="12" t="n">
        <v>23996.06</v>
      </c>
      <c r="R188" s="12" t="n">
        <v>20167.28</v>
      </c>
      <c r="S188" s="12" t="n">
        <v>3828.78</v>
      </c>
      <c r="T188" s="12" t="inlineStr">
        <is>
          <t>Paid</t>
        </is>
      </c>
      <c r="U188" s="12" t="inlineStr">
        <is>
          <t>Completed</t>
        </is>
      </c>
      <c r="V188">
        <f>IF(OR(P188="",P188&lt;0,P188&gt;0.5),0,P188)</f>
        <v/>
      </c>
      <c r="W188">
        <f>N188*O188*(1-V188)</f>
        <v/>
      </c>
      <c r="X188">
        <f>W188-R188</f>
        <v/>
      </c>
      <c r="Y188">
        <f>IF(W188=0,0,X188/W188)</f>
        <v/>
      </c>
      <c r="Z188">
        <f>C188-B188</f>
        <v/>
      </c>
      <c r="AA188">
        <f>TEXT(B188,"mmmm")</f>
        <v/>
      </c>
      <c r="AB188">
        <f>YEAR(B188)</f>
        <v/>
      </c>
      <c r="AC188">
        <f>IF(OR(P188&lt;0,P188&gt;0.5,C188&lt;B188),"INVALID","CLEAN")</f>
        <v/>
      </c>
    </row>
    <row r="189">
      <c r="A189" s="12" t="inlineStr">
        <is>
          <t>ORD-2025-10188</t>
        </is>
      </c>
      <c r="B189" s="12" t="inlineStr">
        <is>
          <t>2025-05-01</t>
        </is>
      </c>
      <c r="C189" s="12" t="inlineStr">
        <is>
          <t>02 May 2025</t>
        </is>
      </c>
      <c r="D189" s="12" t="inlineStr">
        <is>
          <t>CUST-3109</t>
        </is>
      </c>
      <c r="E189" s="12" t="inlineStr">
        <is>
          <t>Mira Das</t>
        </is>
      </c>
      <c r="F189" s="12" t="inlineStr">
        <is>
          <t>Consumer</t>
        </is>
      </c>
      <c r="G189" s="12" t="inlineStr">
        <is>
          <t>West</t>
        </is>
      </c>
      <c r="H189" s="12" t="inlineStr">
        <is>
          <t>Madhya Pradesh</t>
        </is>
      </c>
      <c r="I189" s="12" t="inlineStr">
        <is>
          <t>Indore</t>
        </is>
      </c>
      <c r="J189" s="12" t="inlineStr">
        <is>
          <t>Furniture</t>
        </is>
      </c>
      <c r="K189" s="12" t="inlineStr">
        <is>
          <t>Chairs</t>
        </is>
      </c>
      <c r="L189" s="12" t="inlineStr">
        <is>
          <t>Pro Chairs 844</t>
        </is>
      </c>
      <c r="M189" s="12" t="inlineStr">
        <is>
          <t>Same Day</t>
        </is>
      </c>
      <c r="N189" s="12" t="n">
        <v>3</v>
      </c>
      <c r="O189" s="12" t="n">
        <v>2905.74</v>
      </c>
      <c r="P189" s="12" t="n">
        <v>0</v>
      </c>
      <c r="Q189" s="12" t="n">
        <v>8717.219999999999</v>
      </c>
      <c r="R189" s="12" t="n">
        <v>6215.96</v>
      </c>
      <c r="S189" s="12" t="n">
        <v>2501.26</v>
      </c>
      <c r="T189" s="12" t="inlineStr">
        <is>
          <t>Paid</t>
        </is>
      </c>
      <c r="U189" s="12" t="inlineStr">
        <is>
          <t>Returned</t>
        </is>
      </c>
      <c r="V189">
        <f>IF(OR(P189="",P189&lt;0,P189&gt;0.5),0,P189)</f>
        <v/>
      </c>
      <c r="W189">
        <f>N189*O189*(1-V189)</f>
        <v/>
      </c>
      <c r="X189">
        <f>W189-R189</f>
        <v/>
      </c>
      <c r="Y189">
        <f>IF(W189=0,0,X189/W189)</f>
        <v/>
      </c>
      <c r="Z189">
        <f>C189-B189</f>
        <v/>
      </c>
      <c r="AA189">
        <f>TEXT(B189,"mmmm")</f>
        <v/>
      </c>
      <c r="AB189">
        <f>YEAR(B189)</f>
        <v/>
      </c>
      <c r="AC189">
        <f>IF(OR(P189&lt;0,P189&gt;0.5,C189&lt;B189),"INVALID","CLEAN")</f>
        <v/>
      </c>
    </row>
    <row r="190">
      <c r="A190" s="12" t="inlineStr">
        <is>
          <t>ORD-2025-10189</t>
        </is>
      </c>
      <c r="B190" s="12" t="inlineStr">
        <is>
          <t>2025-05-21</t>
        </is>
      </c>
      <c r="C190" s="12" t="inlineStr">
        <is>
          <t>28 May 2025</t>
        </is>
      </c>
      <c r="D190" s="12" t="inlineStr">
        <is>
          <t>CUST-3422</t>
        </is>
      </c>
      <c r="E190" s="12" t="inlineStr">
        <is>
          <t>Priya Menon</t>
        </is>
      </c>
      <c r="F190" s="12" t="inlineStr">
        <is>
          <t>Corporate</t>
        </is>
      </c>
      <c r="G190" s="12" t="inlineStr">
        <is>
          <t>East</t>
        </is>
      </c>
      <c r="H190" s="12" t="inlineStr">
        <is>
          <t>West Bengal</t>
        </is>
      </c>
      <c r="I190" s="12" t="inlineStr">
        <is>
          <t>Kolkata</t>
        </is>
      </c>
      <c r="J190" s="12" t="inlineStr">
        <is>
          <t>Furniture</t>
        </is>
      </c>
      <c r="K190" s="12" t="inlineStr">
        <is>
          <t>Bookcases</t>
        </is>
      </c>
      <c r="L190" s="12" t="inlineStr">
        <is>
          <t>Elite Bookcases 883</t>
        </is>
      </c>
      <c r="M190" s="12" t="inlineStr">
        <is>
          <t>Same Day</t>
        </is>
      </c>
      <c r="N190" s="12" t="n">
        <v>2</v>
      </c>
      <c r="O190" s="12" t="n">
        <v>3559.57</v>
      </c>
      <c r="P190" s="12" t="n">
        <v>0.1</v>
      </c>
      <c r="Q190" s="12" t="n">
        <v>6553.95</v>
      </c>
      <c r="R190" s="12" t="n">
        <v>4923.09</v>
      </c>
      <c r="S190" s="12" t="n">
        <v>1484.14</v>
      </c>
      <c r="T190" s="12" t="inlineStr">
        <is>
          <t>Paid</t>
        </is>
      </c>
      <c r="U190" s="12" t="inlineStr">
        <is>
          <t>Completed</t>
        </is>
      </c>
      <c r="V190">
        <f>IF(OR(P190="",P190&lt;0,P190&gt;0.5),0,P190)</f>
        <v/>
      </c>
      <c r="W190">
        <f>N190*O190*(1-V190)</f>
        <v/>
      </c>
      <c r="X190">
        <f>W190-R190</f>
        <v/>
      </c>
      <c r="Y190">
        <f>IF(W190=0,0,X190/W190)</f>
        <v/>
      </c>
      <c r="Z190">
        <f>C190-B190</f>
        <v/>
      </c>
      <c r="AA190">
        <f>TEXT(B190,"mmmm")</f>
        <v/>
      </c>
      <c r="AB190">
        <f>YEAR(B190)</f>
        <v/>
      </c>
      <c r="AC190">
        <f>IF(OR(P190&lt;0,P190&gt;0.5,C190&lt;B190),"INVALID","CLEAN")</f>
        <v/>
      </c>
    </row>
    <row r="191">
      <c r="A191" s="12" t="inlineStr">
        <is>
          <t>ORD-2025-10190</t>
        </is>
      </c>
      <c r="B191" s="12" t="inlineStr">
        <is>
          <t>2025-05-06</t>
        </is>
      </c>
      <c r="C191" s="12" t="inlineStr">
        <is>
          <t>07 May 2025</t>
        </is>
      </c>
      <c r="D191" s="12" t="inlineStr">
        <is>
          <t>CUST-3375</t>
        </is>
      </c>
      <c r="E191" s="12" t="inlineStr">
        <is>
          <t>Arjun Bose</t>
        </is>
      </c>
      <c r="F191" s="12" t="inlineStr">
        <is>
          <t>Consumer</t>
        </is>
      </c>
      <c r="G191" s="12" t="inlineStr">
        <is>
          <t>West</t>
        </is>
      </c>
      <c r="H191" s="12" t="inlineStr">
        <is>
          <t>Rajasthan</t>
        </is>
      </c>
      <c r="I191" s="12" t="inlineStr">
        <is>
          <t>Udaipur</t>
        </is>
      </c>
      <c r="J191" s="12" t="inlineStr">
        <is>
          <t>Furniture</t>
        </is>
      </c>
      <c r="K191" s="12" t="inlineStr">
        <is>
          <t>Bookcases</t>
        </is>
      </c>
      <c r="L191" s="12" t="inlineStr">
        <is>
          <t>Basic Bookcases 754</t>
        </is>
      </c>
      <c r="M191" s="12" t="inlineStr">
        <is>
          <t>First Class</t>
        </is>
      </c>
      <c r="N191" s="12" t="n">
        <v>9</v>
      </c>
      <c r="O191" s="12" t="n">
        <v>3318.24</v>
      </c>
      <c r="P191" s="12" t="n"/>
      <c r="Q191" s="12" t="n">
        <v>25384.54</v>
      </c>
      <c r="R191" s="12" t="n">
        <v>16872.39</v>
      </c>
      <c r="S191" s="12" t="n">
        <v>8512.15</v>
      </c>
      <c r="T191" s="12" t="inlineStr">
        <is>
          <t>Paid</t>
        </is>
      </c>
      <c r="U191" s="12" t="inlineStr">
        <is>
          <t>completed</t>
        </is>
      </c>
      <c r="V191">
        <f>IF(OR(P191="",P191&lt;0,P191&gt;0.5),0,P191)</f>
        <v/>
      </c>
      <c r="W191">
        <f>N191*O191*(1-V191)</f>
        <v/>
      </c>
      <c r="X191">
        <f>W191-R191</f>
        <v/>
      </c>
      <c r="Y191">
        <f>IF(W191=0,0,X191/W191)</f>
        <v/>
      </c>
      <c r="Z191">
        <f>C191-B191</f>
        <v/>
      </c>
      <c r="AA191">
        <f>TEXT(B191,"mmmm")</f>
        <v/>
      </c>
      <c r="AB191">
        <f>YEAR(B191)</f>
        <v/>
      </c>
      <c r="AC191">
        <f>IF(OR(P191&lt;0,P191&gt;0.5,C191&lt;B191),"INVALID","CLEAN")</f>
        <v/>
      </c>
    </row>
    <row r="192">
      <c r="A192" s="12" t="inlineStr">
        <is>
          <t>ORD-2025-10191</t>
        </is>
      </c>
      <c r="B192" s="12" t="inlineStr">
        <is>
          <t>20-04-2025</t>
        </is>
      </c>
      <c r="C192" s="12" t="inlineStr">
        <is>
          <t>04/21/2025</t>
        </is>
      </c>
      <c r="D192" s="12" t="inlineStr">
        <is>
          <t>CUST-5138</t>
        </is>
      </c>
      <c r="E192" s="12" t="inlineStr">
        <is>
          <t>Aditi Sen</t>
        </is>
      </c>
      <c r="F192" s="12" t="inlineStr">
        <is>
          <t>Consumer</t>
        </is>
      </c>
      <c r="G192" s="12" t="inlineStr">
        <is>
          <t>South</t>
        </is>
      </c>
      <c r="H192" s="12" t="inlineStr">
        <is>
          <t>Tamil Nadu</t>
        </is>
      </c>
      <c r="I192" s="12" t="inlineStr">
        <is>
          <t>Chennai</t>
        </is>
      </c>
      <c r="J192" s="12" t="inlineStr">
        <is>
          <t>Office Supplies</t>
        </is>
      </c>
      <c r="K192" s="12" t="inlineStr">
        <is>
          <t>Storage</t>
        </is>
      </c>
      <c r="L192" s="12" t="inlineStr">
        <is>
          <t>Eco Storage 158</t>
        </is>
      </c>
      <c r="M192" s="12" t="inlineStr">
        <is>
          <t>First Class</t>
        </is>
      </c>
      <c r="N192" s="12" t="n">
        <v>3</v>
      </c>
      <c r="O192" s="12" t="n">
        <v>540.09</v>
      </c>
      <c r="P192" s="12" t="n">
        <v>0.1</v>
      </c>
      <c r="Q192" s="12" t="n">
        <v>1458.24</v>
      </c>
      <c r="R192" s="12" t="n">
        <v>943.3200000000001</v>
      </c>
      <c r="S192" s="12" t="n">
        <v>514.92</v>
      </c>
      <c r="T192" s="12" t="inlineStr">
        <is>
          <t>Paid</t>
        </is>
      </c>
      <c r="U192" s="12" t="inlineStr">
        <is>
          <t xml:space="preserve">  Completed </t>
        </is>
      </c>
      <c r="V192">
        <f>IF(OR(P192="",P192&lt;0,P192&gt;0.5),0,P192)</f>
        <v/>
      </c>
      <c r="W192">
        <f>N192*O192*(1-V192)</f>
        <v/>
      </c>
      <c r="X192">
        <f>W192-R192</f>
        <v/>
      </c>
      <c r="Y192">
        <f>IF(W192=0,0,X192/W192)</f>
        <v/>
      </c>
      <c r="Z192">
        <f>C192-B192</f>
        <v/>
      </c>
      <c r="AA192">
        <f>TEXT(B192,"mmmm")</f>
        <v/>
      </c>
      <c r="AB192">
        <f>YEAR(B192)</f>
        <v/>
      </c>
      <c r="AC192">
        <f>IF(OR(P192&lt;0,P192&gt;0.5,C192&lt;B192),"INVALID","CLEAN")</f>
        <v/>
      </c>
    </row>
    <row r="193">
      <c r="A193" s="12" t="inlineStr">
        <is>
          <t>ORD-2024-10192</t>
        </is>
      </c>
      <c r="B193" s="12" t="inlineStr">
        <is>
          <t>19-10-2024</t>
        </is>
      </c>
      <c r="C193" s="12" t="inlineStr">
        <is>
          <t>2024-10-24</t>
        </is>
      </c>
      <c r="D193" s="12" t="inlineStr">
        <is>
          <t>CUST-7410</t>
        </is>
      </c>
      <c r="E193" s="12" t="inlineStr">
        <is>
          <t>Sneha Kapoor</t>
        </is>
      </c>
      <c r="F193" s="12" t="inlineStr">
        <is>
          <t>Small Business</t>
        </is>
      </c>
      <c r="G193" s="12" t="inlineStr">
        <is>
          <t>South</t>
        </is>
      </c>
      <c r="H193" s="12" t="inlineStr">
        <is>
          <t>Tamil Nadu</t>
        </is>
      </c>
      <c r="I193" s="12" t="inlineStr">
        <is>
          <t>Chennai</t>
        </is>
      </c>
      <c r="J193" s="12" t="inlineStr">
        <is>
          <t>Furniture</t>
        </is>
      </c>
      <c r="K193" s="12" t="inlineStr">
        <is>
          <t>Bookcases</t>
        </is>
      </c>
      <c r="L193" s="12" t="inlineStr">
        <is>
          <t>Prime Bookcases 602</t>
        </is>
      </c>
      <c r="M193" s="12" t="inlineStr">
        <is>
          <t>Second Class</t>
        </is>
      </c>
      <c r="N193" s="12" t="n">
        <v>6</v>
      </c>
      <c r="O193" s="12" t="n">
        <v>4308.4</v>
      </c>
      <c r="P193" s="12" t="n">
        <v>0.65</v>
      </c>
      <c r="Q193" s="12" t="n">
        <v>25850.4</v>
      </c>
      <c r="R193" s="12" t="n">
        <v>19397.68</v>
      </c>
      <c r="S193" s="12" t="n">
        <v>6452.72</v>
      </c>
      <c r="T193" s="12" t="inlineStr">
        <is>
          <t>Paid</t>
        </is>
      </c>
      <c r="U193" s="12" t="inlineStr">
        <is>
          <t>Completed</t>
        </is>
      </c>
      <c r="V193">
        <f>IF(OR(P193="",P193&lt;0,P193&gt;0.5),0,P193)</f>
        <v/>
      </c>
      <c r="W193">
        <f>N193*O193*(1-V193)</f>
        <v/>
      </c>
      <c r="X193">
        <f>W193-R193</f>
        <v/>
      </c>
      <c r="Y193">
        <f>IF(W193=0,0,X193/W193)</f>
        <v/>
      </c>
      <c r="Z193">
        <f>C193-B193</f>
        <v/>
      </c>
      <c r="AA193">
        <f>TEXT(B193,"mmmm")</f>
        <v/>
      </c>
      <c r="AB193">
        <f>YEAR(B193)</f>
        <v/>
      </c>
      <c r="AC193">
        <f>IF(OR(P193&lt;0,P193&gt;0.5,C193&lt;B193),"INVALID","CLEAN")</f>
        <v/>
      </c>
    </row>
    <row r="194">
      <c r="A194" s="12" t="inlineStr">
        <is>
          <t>ORD-2024-10193</t>
        </is>
      </c>
      <c r="B194" s="12" t="inlineStr">
        <is>
          <t>2024-12-09</t>
        </is>
      </c>
      <c r="C194" s="12" t="inlineStr">
        <is>
          <t>12/16/2024</t>
        </is>
      </c>
      <c r="D194" s="12" t="inlineStr">
        <is>
          <t>CUST-7115</t>
        </is>
      </c>
      <c r="E194" s="12" t="inlineStr">
        <is>
          <t>Isha Nair</t>
        </is>
      </c>
      <c r="F194" s="12" t="inlineStr">
        <is>
          <t>Home Office</t>
        </is>
      </c>
      <c r="G194" s="12" t="inlineStr">
        <is>
          <t>West</t>
        </is>
      </c>
      <c r="H194" s="12" t="inlineStr">
        <is>
          <t>Gujarat</t>
        </is>
      </c>
      <c r="I194" s="12" t="inlineStr">
        <is>
          <t>Ahmedabad</t>
        </is>
      </c>
      <c r="J194" s="12" t="inlineStr">
        <is>
          <t>Furniture</t>
        </is>
      </c>
      <c r="K194" s="12" t="inlineStr">
        <is>
          <t>Chairs</t>
        </is>
      </c>
      <c r="L194" s="12" t="inlineStr">
        <is>
          <t>Eco Chairs 438</t>
        </is>
      </c>
      <c r="M194" s="12" t="inlineStr">
        <is>
          <t>First Class</t>
        </is>
      </c>
      <c r="N194" s="12" t="n">
        <v>4</v>
      </c>
      <c r="O194" s="12" t="n">
        <v>2191.03</v>
      </c>
      <c r="P194" s="12" t="n">
        <v>0</v>
      </c>
      <c r="Q194" s="12" t="n">
        <v>8764.120000000001</v>
      </c>
      <c r="R194" s="12" t="n">
        <v>7220.05</v>
      </c>
      <c r="S194" s="12" t="n">
        <v>1544.07</v>
      </c>
      <c r="T194" s="12" t="inlineStr">
        <is>
          <t>Paid</t>
        </is>
      </c>
      <c r="U194" s="12" t="inlineStr">
        <is>
          <t>Completed</t>
        </is>
      </c>
      <c r="V194">
        <f>IF(OR(P194="",P194&lt;0,P194&gt;0.5),0,P194)</f>
        <v/>
      </c>
      <c r="W194">
        <f>N194*O194*(1-V194)</f>
        <v/>
      </c>
      <c r="X194">
        <f>W194-R194</f>
        <v/>
      </c>
      <c r="Y194">
        <f>IF(W194=0,0,X194/W194)</f>
        <v/>
      </c>
      <c r="Z194">
        <f>C194-B194</f>
        <v/>
      </c>
      <c r="AA194">
        <f>TEXT(B194,"mmmm")</f>
        <v/>
      </c>
      <c r="AB194">
        <f>YEAR(B194)</f>
        <v/>
      </c>
      <c r="AC194">
        <f>IF(OR(P194&lt;0,P194&gt;0.5,C194&lt;B194),"INVALID","CLEAN")</f>
        <v/>
      </c>
    </row>
    <row r="195">
      <c r="A195" s="12" t="inlineStr">
        <is>
          <t>ORD-2024-10194</t>
        </is>
      </c>
      <c r="B195" s="12" t="inlineStr">
        <is>
          <t>2024-06-23</t>
        </is>
      </c>
      <c r="C195" s="12" t="inlineStr">
        <is>
          <t>28-06-2024</t>
        </is>
      </c>
      <c r="D195" s="12" t="inlineStr">
        <is>
          <t>CUST-9853</t>
        </is>
      </c>
      <c r="E195" s="12" t="inlineStr">
        <is>
          <t>Priya Menon</t>
        </is>
      </c>
      <c r="F195" s="12" t="inlineStr">
        <is>
          <t>Small Business</t>
        </is>
      </c>
      <c r="G195" s="12" t="inlineStr">
        <is>
          <t>North</t>
        </is>
      </c>
      <c r="H195" s="12" t="inlineStr">
        <is>
          <t>Punjab</t>
        </is>
      </c>
      <c r="I195" s="12" t="inlineStr">
        <is>
          <t>Ludhiana</t>
        </is>
      </c>
      <c r="J195" s="12" t="inlineStr">
        <is>
          <t>Technology</t>
        </is>
      </c>
      <c r="K195" s="12" t="inlineStr">
        <is>
          <t>Copiers</t>
        </is>
      </c>
      <c r="L195" s="12" t="inlineStr">
        <is>
          <t>Prime Copiers 142</t>
        </is>
      </c>
      <c r="M195" s="12" t="inlineStr">
        <is>
          <t>Same Day</t>
        </is>
      </c>
      <c r="N195" s="12" t="n">
        <v>6</v>
      </c>
      <c r="O195" s="12" t="n">
        <v>1956.63</v>
      </c>
      <c r="P195" s="12" t="n">
        <v>0.2</v>
      </c>
      <c r="Q195" s="12" t="n">
        <v>9391.82</v>
      </c>
      <c r="R195" s="12" t="n">
        <v>6013.22</v>
      </c>
      <c r="S195" s="12" t="n">
        <v>3378.6</v>
      </c>
      <c r="T195" s="12" t="inlineStr">
        <is>
          <t>Refunded</t>
        </is>
      </c>
      <c r="U195" s="12" t="inlineStr">
        <is>
          <t>Returned</t>
        </is>
      </c>
      <c r="V195">
        <f>IF(OR(P195="",P195&lt;0,P195&gt;0.5),0,P195)</f>
        <v/>
      </c>
      <c r="W195">
        <f>N195*O195*(1-V195)</f>
        <v/>
      </c>
      <c r="X195">
        <f>W195-R195</f>
        <v/>
      </c>
      <c r="Y195">
        <f>IF(W195=0,0,X195/W195)</f>
        <v/>
      </c>
      <c r="Z195">
        <f>C195-B195</f>
        <v/>
      </c>
      <c r="AA195">
        <f>TEXT(B195,"mmmm")</f>
        <v/>
      </c>
      <c r="AB195">
        <f>YEAR(B195)</f>
        <v/>
      </c>
      <c r="AC195">
        <f>IF(OR(P195&lt;0,P195&gt;0.5,C195&lt;B195),"INVALID","CLEAN")</f>
        <v/>
      </c>
    </row>
    <row r="196">
      <c r="A196" s="12" t="inlineStr">
        <is>
          <t>ORD-2025-10195</t>
        </is>
      </c>
      <c r="B196" s="12" t="inlineStr">
        <is>
          <t>2025-01-28</t>
        </is>
      </c>
      <c r="C196" s="12" t="inlineStr">
        <is>
          <t>01/31/2025</t>
        </is>
      </c>
      <c r="D196" s="12" t="inlineStr">
        <is>
          <t>CUST-3637</t>
        </is>
      </c>
      <c r="E196" s="12" t="inlineStr">
        <is>
          <t>Priya Menon</t>
        </is>
      </c>
      <c r="F196" s="12" t="inlineStr">
        <is>
          <t>Consumer</t>
        </is>
      </c>
      <c r="G196" s="12" t="inlineStr">
        <is>
          <t>WEST</t>
        </is>
      </c>
      <c r="H196" s="12" t="inlineStr">
        <is>
          <t>Maharashtra</t>
        </is>
      </c>
      <c r="I196" s="12" t="inlineStr">
        <is>
          <t>Mumbai</t>
        </is>
      </c>
      <c r="J196" s="12" t="inlineStr">
        <is>
          <t>Furniture</t>
        </is>
      </c>
      <c r="K196" s="12" t="inlineStr">
        <is>
          <t>Furnishings</t>
        </is>
      </c>
      <c r="L196" s="12" t="inlineStr">
        <is>
          <t>Prime Furnishings 433</t>
        </is>
      </c>
      <c r="M196" s="12" t="inlineStr">
        <is>
          <t>First Class</t>
        </is>
      </c>
      <c r="N196" s="12" t="n">
        <v>9</v>
      </c>
      <c r="O196" s="12" t="n">
        <v>858.39</v>
      </c>
      <c r="P196" s="12" t="n">
        <v>0.05</v>
      </c>
      <c r="Q196" s="12" t="n">
        <v>7339.23</v>
      </c>
      <c r="R196" s="12" t="n">
        <v>5434.12</v>
      </c>
      <c r="S196" s="12" t="n">
        <v>1905.11</v>
      </c>
      <c r="T196" s="12" t="inlineStr">
        <is>
          <t>Pending</t>
        </is>
      </c>
      <c r="U196" s="12" t="inlineStr">
        <is>
          <t>Returned</t>
        </is>
      </c>
      <c r="V196">
        <f>IF(OR(P196="",P196&lt;0,P196&gt;0.5),0,P196)</f>
        <v/>
      </c>
      <c r="W196">
        <f>N196*O196*(1-V196)</f>
        <v/>
      </c>
      <c r="X196">
        <f>W196-R196</f>
        <v/>
      </c>
      <c r="Y196">
        <f>IF(W196=0,0,X196/W196)</f>
        <v/>
      </c>
      <c r="Z196">
        <f>C196-B196</f>
        <v/>
      </c>
      <c r="AA196">
        <f>TEXT(B196,"mmmm")</f>
        <v/>
      </c>
      <c r="AB196">
        <f>YEAR(B196)</f>
        <v/>
      </c>
      <c r="AC196">
        <f>IF(OR(P196&lt;0,P196&gt;0.5,C196&lt;B196),"INVALID","CLEAN")</f>
        <v/>
      </c>
    </row>
    <row r="197">
      <c r="A197" s="12" t="inlineStr">
        <is>
          <t>ORD-2025-10196</t>
        </is>
      </c>
      <c r="B197" s="12" t="inlineStr">
        <is>
          <t>22 Jul 2025</t>
        </is>
      </c>
      <c r="C197" s="12" t="inlineStr">
        <is>
          <t>07/24/2025</t>
        </is>
      </c>
      <c r="D197" s="12" t="inlineStr">
        <is>
          <t>CUST-4328</t>
        </is>
      </c>
      <c r="E197" s="12" t="inlineStr">
        <is>
          <t>Neha Gupta</t>
        </is>
      </c>
      <c r="F197" s="12" t="inlineStr">
        <is>
          <t>Home Office</t>
        </is>
      </c>
      <c r="G197" s="12" t="inlineStr">
        <is>
          <t>South</t>
        </is>
      </c>
      <c r="H197" s="12" t="inlineStr">
        <is>
          <t>Andhra Pradesh</t>
        </is>
      </c>
      <c r="I197" s="12" t="inlineStr">
        <is>
          <t>Vijayawada</t>
        </is>
      </c>
      <c r="J197" s="12" t="inlineStr">
        <is>
          <t>Furniture</t>
        </is>
      </c>
      <c r="K197" s="12" t="inlineStr">
        <is>
          <t>Furnishings</t>
        </is>
      </c>
      <c r="L197" s="12" t="inlineStr">
        <is>
          <t>Smart Furnishings 685</t>
        </is>
      </c>
      <c r="M197" s="12" t="inlineStr">
        <is>
          <t>Same Day</t>
        </is>
      </c>
      <c r="N197" s="12" t="n">
        <v>5</v>
      </c>
      <c r="O197" s="12" t="n">
        <v>1922.83</v>
      </c>
      <c r="P197" s="12" t="n">
        <v>0</v>
      </c>
      <c r="Q197" s="12" t="n">
        <v>9614.15</v>
      </c>
      <c r="R197" s="12" t="n">
        <v>7576.84</v>
      </c>
      <c r="S197" s="12" t="n">
        <v>2037.31</v>
      </c>
      <c r="T197" s="12" t="inlineStr">
        <is>
          <t>Paid</t>
        </is>
      </c>
      <c r="U197" s="12" t="inlineStr">
        <is>
          <t>Completed</t>
        </is>
      </c>
      <c r="V197">
        <f>IF(OR(P197="",P197&lt;0,P197&gt;0.5),0,P197)</f>
        <v/>
      </c>
      <c r="W197">
        <f>N197*O197*(1-V197)</f>
        <v/>
      </c>
      <c r="X197">
        <f>W197-R197</f>
        <v/>
      </c>
      <c r="Y197">
        <f>IF(W197=0,0,X197/W197)</f>
        <v/>
      </c>
      <c r="Z197">
        <f>C197-B197</f>
        <v/>
      </c>
      <c r="AA197">
        <f>TEXT(B197,"mmmm")</f>
        <v/>
      </c>
      <c r="AB197">
        <f>YEAR(B197)</f>
        <v/>
      </c>
      <c r="AC197">
        <f>IF(OR(P197&lt;0,P197&gt;0.5,C197&lt;B197),"INVALID","CLEAN")</f>
        <v/>
      </c>
    </row>
    <row r="198">
      <c r="A198" s="12" t="inlineStr">
        <is>
          <t>ORD-2024-10197</t>
        </is>
      </c>
      <c r="B198" s="12" t="inlineStr">
        <is>
          <t>22-01-2024</t>
        </is>
      </c>
      <c r="C198" s="12" t="inlineStr">
        <is>
          <t>25 Jan 2024</t>
        </is>
      </c>
      <c r="D198" s="12" t="inlineStr">
        <is>
          <t>CUST-8028</t>
        </is>
      </c>
      <c r="E198" s="12" t="inlineStr">
        <is>
          <t>Kabir Singh</t>
        </is>
      </c>
      <c r="F198" s="12" t="inlineStr">
        <is>
          <t>Home Office</t>
        </is>
      </c>
      <c r="G198" s="12" t="inlineStr">
        <is>
          <t>North</t>
        </is>
      </c>
      <c r="H198" s="12" t="inlineStr">
        <is>
          <t>Uttar Pradesh</t>
        </is>
      </c>
      <c r="I198" s="12" t="inlineStr">
        <is>
          <t>Noida</t>
        </is>
      </c>
      <c r="J198" s="12" t="inlineStr">
        <is>
          <t>Office Supplies</t>
        </is>
      </c>
      <c r="K198" s="12" t="inlineStr">
        <is>
          <t>Storage</t>
        </is>
      </c>
      <c r="L198" s="12" t="inlineStr">
        <is>
          <t>Elite Storage 915</t>
        </is>
      </c>
      <c r="M198" s="12" t="inlineStr">
        <is>
          <t>First Class</t>
        </is>
      </c>
      <c r="N198" s="12" t="n">
        <v>3</v>
      </c>
      <c r="O198" s="12" t="n">
        <v>1212.03</v>
      </c>
      <c r="P198" s="12" t="n">
        <v>0.1</v>
      </c>
      <c r="Q198" s="12" t="n">
        <v>3272.48</v>
      </c>
      <c r="R198" s="12" t="n">
        <v>2517.44</v>
      </c>
      <c r="S198" s="12" t="n">
        <v>755.04</v>
      </c>
      <c r="T198" s="12" t="inlineStr">
        <is>
          <t>Paid</t>
        </is>
      </c>
      <c r="U198" s="12" t="inlineStr">
        <is>
          <t>Completed</t>
        </is>
      </c>
      <c r="V198">
        <f>IF(OR(P198="",P198&lt;0,P198&gt;0.5),0,P198)</f>
        <v/>
      </c>
      <c r="W198">
        <f>N198*O198*(1-V198)</f>
        <v/>
      </c>
      <c r="X198">
        <f>W198-R198</f>
        <v/>
      </c>
      <c r="Y198">
        <f>IF(W198=0,0,X198/W198)</f>
        <v/>
      </c>
      <c r="Z198">
        <f>C198-B198</f>
        <v/>
      </c>
      <c r="AA198">
        <f>TEXT(B198,"mmmm")</f>
        <v/>
      </c>
      <c r="AB198">
        <f>YEAR(B198)</f>
        <v/>
      </c>
      <c r="AC198">
        <f>IF(OR(P198&lt;0,P198&gt;0.5,C198&lt;B198),"INVALID","CLEAN")</f>
        <v/>
      </c>
    </row>
    <row r="199">
      <c r="A199" s="12" t="inlineStr">
        <is>
          <t>ORD-2025-10198</t>
        </is>
      </c>
      <c r="B199" s="12" t="inlineStr">
        <is>
          <t>31 Mar 2025</t>
        </is>
      </c>
      <c r="C199" s="12" t="inlineStr">
        <is>
          <t>07-04-2025</t>
        </is>
      </c>
      <c r="D199" s="12" t="inlineStr">
        <is>
          <t>CUST-6106</t>
        </is>
      </c>
      <c r="E199" s="12" t="inlineStr">
        <is>
          <t>Rahul Verma</t>
        </is>
      </c>
      <c r="F199" s="12" t="inlineStr">
        <is>
          <t>Small  Business</t>
        </is>
      </c>
      <c r="G199" s="12" t="inlineStr">
        <is>
          <t>East</t>
        </is>
      </c>
      <c r="H199" s="12" t="inlineStr">
        <is>
          <t>Bihar</t>
        </is>
      </c>
      <c r="I199" s="12" t="inlineStr">
        <is>
          <t>Patna</t>
        </is>
      </c>
      <c r="J199" s="12" t="inlineStr">
        <is>
          <t>Office Supplies</t>
        </is>
      </c>
      <c r="K199" s="12" t="inlineStr">
        <is>
          <t>Storage</t>
        </is>
      </c>
      <c r="L199" s="12" t="inlineStr">
        <is>
          <t>Basic Storage 961</t>
        </is>
      </c>
      <c r="M199" s="12" t="inlineStr">
        <is>
          <t>Second Class</t>
        </is>
      </c>
      <c r="N199" s="12" t="n">
        <v>5</v>
      </c>
      <c r="O199" s="12" t="n">
        <v>4096.44</v>
      </c>
      <c r="P199" s="12" t="n">
        <v>0.15</v>
      </c>
      <c r="Q199" s="12" t="n">
        <v>17409.87</v>
      </c>
      <c r="R199" s="12" t="n">
        <v>14076.25</v>
      </c>
      <c r="S199" s="12" t="n">
        <v>3333.62</v>
      </c>
      <c r="T199" s="12" t="inlineStr">
        <is>
          <t>Paid</t>
        </is>
      </c>
      <c r="U199" s="12" t="inlineStr">
        <is>
          <t>Completed</t>
        </is>
      </c>
      <c r="V199">
        <f>IF(OR(P199="",P199&lt;0,P199&gt;0.5),0,P199)</f>
        <v/>
      </c>
      <c r="W199">
        <f>N199*O199*(1-V199)</f>
        <v/>
      </c>
      <c r="X199">
        <f>W199-R199</f>
        <v/>
      </c>
      <c r="Y199">
        <f>IF(W199=0,0,X199/W199)</f>
        <v/>
      </c>
      <c r="Z199">
        <f>C199-B199</f>
        <v/>
      </c>
      <c r="AA199">
        <f>TEXT(B199,"mmmm")</f>
        <v/>
      </c>
      <c r="AB199">
        <f>YEAR(B199)</f>
        <v/>
      </c>
      <c r="AC199">
        <f>IF(OR(P199&lt;0,P199&gt;0.5,C199&lt;B199),"INVALID","CLEAN")</f>
        <v/>
      </c>
    </row>
    <row r="200">
      <c r="A200" s="12" t="inlineStr">
        <is>
          <t>ORD-2024-10199</t>
        </is>
      </c>
      <c r="B200" s="12" t="inlineStr">
        <is>
          <t>05-06-2024</t>
        </is>
      </c>
      <c r="C200" s="12" t="inlineStr">
        <is>
          <t>06/06/2024</t>
        </is>
      </c>
      <c r="D200" s="12" t="inlineStr">
        <is>
          <t>CUST-7820</t>
        </is>
      </c>
      <c r="E200" s="12" t="inlineStr">
        <is>
          <t>Sneha Kapoor</t>
        </is>
      </c>
      <c r="F200" s="12" t="inlineStr">
        <is>
          <t>Consumer</t>
        </is>
      </c>
      <c r="G200" s="12" t="inlineStr">
        <is>
          <t>West</t>
        </is>
      </c>
      <c r="H200" s="12" t="inlineStr">
        <is>
          <t>Gujarat</t>
        </is>
      </c>
      <c r="I200" s="12" t="inlineStr">
        <is>
          <t>Ahmedabad</t>
        </is>
      </c>
      <c r="J200" s="12" t="inlineStr">
        <is>
          <t>Office Supplies</t>
        </is>
      </c>
      <c r="K200" s="12" t="inlineStr">
        <is>
          <t>Art</t>
        </is>
      </c>
      <c r="L200" s="12" t="inlineStr">
        <is>
          <t>Classic Art 968</t>
        </is>
      </c>
      <c r="M200" s="12" t="inlineStr">
        <is>
          <t>Second Class</t>
        </is>
      </c>
      <c r="N200" s="12" t="n">
        <v>1</v>
      </c>
      <c r="O200" s="12" t="n">
        <v>1184.58</v>
      </c>
      <c r="P200" s="12" t="n">
        <v>0.05</v>
      </c>
      <c r="Q200" s="12" t="n">
        <v>1125.35</v>
      </c>
      <c r="R200" s="12" t="n">
        <v>676.97</v>
      </c>
      <c r="S200" s="12" t="n">
        <v>448.38</v>
      </c>
      <c r="T200" s="12" t="inlineStr">
        <is>
          <t>Failed</t>
        </is>
      </c>
      <c r="U200" s="12" t="inlineStr">
        <is>
          <t>Cancelled</t>
        </is>
      </c>
      <c r="V200">
        <f>IF(OR(P200="",P200&lt;0,P200&gt;0.5),0,P200)</f>
        <v/>
      </c>
      <c r="W200">
        <f>N200*O200*(1-V200)</f>
        <v/>
      </c>
      <c r="X200">
        <f>W200-R200</f>
        <v/>
      </c>
      <c r="Y200">
        <f>IF(W200=0,0,X200/W200)</f>
        <v/>
      </c>
      <c r="Z200">
        <f>C200-B200</f>
        <v/>
      </c>
      <c r="AA200">
        <f>TEXT(B200,"mmmm")</f>
        <v/>
      </c>
      <c r="AB200">
        <f>YEAR(B200)</f>
        <v/>
      </c>
      <c r="AC200">
        <f>IF(OR(P200&lt;0,P200&gt;0.5,C200&lt;B200),"INVALID","CLEAN")</f>
        <v/>
      </c>
    </row>
    <row r="201">
      <c r="A201" s="12" t="inlineStr">
        <is>
          <t>ORD-2024-10200</t>
        </is>
      </c>
      <c r="B201" s="12" t="inlineStr">
        <is>
          <t>03/12/2024</t>
        </is>
      </c>
      <c r="C201" s="12" t="inlineStr">
        <is>
          <t>12-03-2024</t>
        </is>
      </c>
      <c r="D201" s="12" t="inlineStr">
        <is>
          <t>CUST-4536</t>
        </is>
      </c>
      <c r="E201" s="12" t="inlineStr">
        <is>
          <t>Rahul Verma</t>
        </is>
      </c>
      <c r="F201" s="12" t="inlineStr">
        <is>
          <t>Home Office</t>
        </is>
      </c>
      <c r="G201" s="12" t="inlineStr">
        <is>
          <t>East</t>
        </is>
      </c>
      <c r="H201" s="12" t="inlineStr">
        <is>
          <t>Bihar</t>
        </is>
      </c>
      <c r="I201" s="12" t="inlineStr">
        <is>
          <t>Patna</t>
        </is>
      </c>
      <c r="J201" s="12" t="inlineStr">
        <is>
          <t>Technology</t>
        </is>
      </c>
      <c r="K201" s="12" t="inlineStr">
        <is>
          <t>Machines</t>
        </is>
      </c>
      <c r="L201" s="12" t="inlineStr">
        <is>
          <t>Prime Machines 806</t>
        </is>
      </c>
      <c r="M201" s="12" t="n"/>
      <c r="N201" s="12" t="n">
        <v>6</v>
      </c>
      <c r="O201" s="12" t="n">
        <v>2185.58</v>
      </c>
      <c r="P201" s="12" t="n">
        <v>0.25</v>
      </c>
      <c r="Q201" s="12" t="n">
        <v>9835.110000000001</v>
      </c>
      <c r="R201" s="12" t="n">
        <v>5437.64</v>
      </c>
      <c r="S201" s="12" t="n">
        <v>4397.47</v>
      </c>
      <c r="T201" s="12" t="inlineStr">
        <is>
          <t>Paid</t>
        </is>
      </c>
      <c r="U201" s="12" t="inlineStr">
        <is>
          <t>Completed</t>
        </is>
      </c>
      <c r="V201">
        <f>IF(OR(P201="",P201&lt;0,P201&gt;0.5),0,P201)</f>
        <v/>
      </c>
      <c r="W201">
        <f>N201*O201*(1-V201)</f>
        <v/>
      </c>
      <c r="X201">
        <f>W201-R201</f>
        <v/>
      </c>
      <c r="Y201">
        <f>IF(W201=0,0,X201/W201)</f>
        <v/>
      </c>
      <c r="Z201">
        <f>C201-B201</f>
        <v/>
      </c>
      <c r="AA201">
        <f>TEXT(B201,"mmmm")</f>
        <v/>
      </c>
      <c r="AB201">
        <f>YEAR(B201)</f>
        <v/>
      </c>
      <c r="AC201">
        <f>IF(OR(P201&lt;0,P201&gt;0.5,C201&lt;B201),"INVALID","CLEAN")</f>
        <v/>
      </c>
    </row>
    <row r="202">
      <c r="A202" s="12" t="inlineStr">
        <is>
          <t>ORD-2025-10201</t>
        </is>
      </c>
      <c r="B202" s="12" t="inlineStr">
        <is>
          <t>27-06-2025</t>
        </is>
      </c>
      <c r="C202" s="12" t="inlineStr">
        <is>
          <t>05 Jul 2025</t>
        </is>
      </c>
      <c r="D202" s="12" t="inlineStr">
        <is>
          <t>CUST-7047</t>
        </is>
      </c>
      <c r="E202" s="12" t="inlineStr">
        <is>
          <t>Priya Menon</t>
        </is>
      </c>
      <c r="F202" s="12" t="inlineStr">
        <is>
          <t>Small Business</t>
        </is>
      </c>
      <c r="G202" s="12" t="inlineStr">
        <is>
          <t>North</t>
        </is>
      </c>
      <c r="H202" s="12" t="inlineStr">
        <is>
          <t>Rajasthan</t>
        </is>
      </c>
      <c r="I202" s="12" t="inlineStr">
        <is>
          <t>Jaipur</t>
        </is>
      </c>
      <c r="J202" s="12" t="inlineStr">
        <is>
          <t>Technology</t>
        </is>
      </c>
      <c r="K202" s="12" t="inlineStr">
        <is>
          <t>Copiers</t>
        </is>
      </c>
      <c r="L202" s="12" t="inlineStr">
        <is>
          <t>Classic Copiers 479</t>
        </is>
      </c>
      <c r="M202" s="12" t="inlineStr">
        <is>
          <t>First Class</t>
        </is>
      </c>
      <c r="N202" s="12" t="n">
        <v>5</v>
      </c>
      <c r="O202" s="12" t="n">
        <v>2868.44</v>
      </c>
      <c r="P202" s="12" t="n">
        <v>0.1</v>
      </c>
      <c r="Q202" s="12" t="n">
        <v>12907.98</v>
      </c>
      <c r="R202" s="12" t="n">
        <v>9197.08</v>
      </c>
      <c r="S202" s="12" t="n">
        <v>3710.9</v>
      </c>
      <c r="T202" s="12" t="inlineStr">
        <is>
          <t>Pending</t>
        </is>
      </c>
      <c r="U202" s="12" t="inlineStr">
        <is>
          <t>Cancelled</t>
        </is>
      </c>
      <c r="V202">
        <f>IF(OR(P202="",P202&lt;0,P202&gt;0.5),0,P202)</f>
        <v/>
      </c>
      <c r="W202">
        <f>N202*O202*(1-V202)</f>
        <v/>
      </c>
      <c r="X202">
        <f>W202-R202</f>
        <v/>
      </c>
      <c r="Y202">
        <f>IF(W202=0,0,X202/W202)</f>
        <v/>
      </c>
      <c r="Z202">
        <f>C202-B202</f>
        <v/>
      </c>
      <c r="AA202">
        <f>TEXT(B202,"mmmm")</f>
        <v/>
      </c>
      <c r="AB202">
        <f>YEAR(B202)</f>
        <v/>
      </c>
      <c r="AC202">
        <f>IF(OR(P202&lt;0,P202&gt;0.5,C202&lt;B202),"INVALID","CLEAN")</f>
        <v/>
      </c>
    </row>
    <row r="203">
      <c r="A203" s="12" t="inlineStr">
        <is>
          <t>ORD-2025-10202</t>
        </is>
      </c>
      <c r="B203" s="12" t="inlineStr">
        <is>
          <t>26-07-2025</t>
        </is>
      </c>
      <c r="C203" s="12" t="inlineStr">
        <is>
          <t>08/03/2025</t>
        </is>
      </c>
      <c r="D203" s="12" t="inlineStr">
        <is>
          <t>CUST-8005</t>
        </is>
      </c>
      <c r="E203" s="12" t="inlineStr">
        <is>
          <t>Vikram Iyer</t>
        </is>
      </c>
      <c r="F203" s="12" t="inlineStr">
        <is>
          <t>Consumer</t>
        </is>
      </c>
      <c r="G203" s="12" t="inlineStr">
        <is>
          <t>West</t>
        </is>
      </c>
      <c r="H203" s="12" t="inlineStr">
        <is>
          <t>Madhya Pradesh</t>
        </is>
      </c>
      <c r="I203" s="12" t="inlineStr">
        <is>
          <t>Indore</t>
        </is>
      </c>
      <c r="J203" s="12" t="inlineStr">
        <is>
          <t>Office Supplies</t>
        </is>
      </c>
      <c r="K203" s="12" t="inlineStr">
        <is>
          <t>Labels</t>
        </is>
      </c>
      <c r="L203" s="12" t="inlineStr">
        <is>
          <t>Basic Labels 511</t>
        </is>
      </c>
      <c r="M203" s="12" t="inlineStr">
        <is>
          <t>Second Class</t>
        </is>
      </c>
      <c r="N203" s="12" t="n">
        <v>2</v>
      </c>
      <c r="O203" s="12" t="n">
        <v>2503.53</v>
      </c>
      <c r="P203" s="12" t="n">
        <v>-0.16</v>
      </c>
      <c r="Q203" s="12" t="n">
        <v>4756.71</v>
      </c>
      <c r="R203" s="12" t="n">
        <v>2954.86</v>
      </c>
      <c r="S203" s="12" t="n">
        <v>1801.85</v>
      </c>
      <c r="T203" s="12" t="inlineStr">
        <is>
          <t>Refunded</t>
        </is>
      </c>
      <c r="U203" s="12" t="inlineStr">
        <is>
          <t>Cancelled</t>
        </is>
      </c>
      <c r="V203">
        <f>IF(OR(P203="",P203&lt;0,P203&gt;0.5),0,P203)</f>
        <v/>
      </c>
      <c r="W203">
        <f>N203*O203*(1-V203)</f>
        <v/>
      </c>
      <c r="X203">
        <f>W203-R203</f>
        <v/>
      </c>
      <c r="Y203">
        <f>IF(W203=0,0,X203/W203)</f>
        <v/>
      </c>
      <c r="Z203">
        <f>C203-B203</f>
        <v/>
      </c>
      <c r="AA203">
        <f>TEXT(B203,"mmmm")</f>
        <v/>
      </c>
      <c r="AB203">
        <f>YEAR(B203)</f>
        <v/>
      </c>
      <c r="AC203">
        <f>IF(OR(P203&lt;0,P203&gt;0.5,C203&lt;B203),"INVALID","CLEAN")</f>
        <v/>
      </c>
    </row>
    <row r="204">
      <c r="A204" s="12" t="inlineStr">
        <is>
          <t>ORD-2025-10203</t>
        </is>
      </c>
      <c r="B204" s="12" t="inlineStr">
        <is>
          <t>2025-03-28</t>
        </is>
      </c>
      <c r="C204" s="12" t="inlineStr">
        <is>
          <t>28 Mar 2025</t>
        </is>
      </c>
      <c r="D204" s="12" t="inlineStr">
        <is>
          <t>CUST-9378</t>
        </is>
      </c>
      <c r="E204" s="12" t="inlineStr">
        <is>
          <t>Sneha Kapoor</t>
        </is>
      </c>
      <c r="F204" s="12" t="inlineStr">
        <is>
          <t>Corporate</t>
        </is>
      </c>
      <c r="G204" s="12" t="inlineStr">
        <is>
          <t>West</t>
        </is>
      </c>
      <c r="H204" s="12" t="inlineStr">
        <is>
          <t>Goa</t>
        </is>
      </c>
      <c r="I204" s="12" t="inlineStr">
        <is>
          <t>Panaji</t>
        </is>
      </c>
      <c r="J204" s="12" t="inlineStr">
        <is>
          <t>Technology</t>
        </is>
      </c>
      <c r="K204" s="12" t="inlineStr">
        <is>
          <t>Accessories</t>
        </is>
      </c>
      <c r="L204" s="12" t="inlineStr">
        <is>
          <t>Prime Accessories 733</t>
        </is>
      </c>
      <c r="M204" s="12" t="inlineStr">
        <is>
          <t>Standard Class</t>
        </is>
      </c>
      <c r="N204" s="12" t="n">
        <v>8</v>
      </c>
      <c r="O204" s="12" t="n">
        <v>1740.94</v>
      </c>
      <c r="P204" s="12" t="n">
        <v>0.05</v>
      </c>
      <c r="Q204" s="12" t="n">
        <v>13231.14</v>
      </c>
      <c r="R204" s="12" t="n">
        <v>11290.06</v>
      </c>
      <c r="S204" s="12" t="n">
        <v>1941.08</v>
      </c>
      <c r="T204" s="12" t="inlineStr">
        <is>
          <t>Paid</t>
        </is>
      </c>
      <c r="U204" s="12" t="inlineStr">
        <is>
          <t>Completed</t>
        </is>
      </c>
      <c r="V204">
        <f>IF(OR(P204="",P204&lt;0,P204&gt;0.5),0,P204)</f>
        <v/>
      </c>
      <c r="W204">
        <f>N204*O204*(1-V204)</f>
        <v/>
      </c>
      <c r="X204">
        <f>W204-R204</f>
        <v/>
      </c>
      <c r="Y204">
        <f>IF(W204=0,0,X204/W204)</f>
        <v/>
      </c>
      <c r="Z204">
        <f>C204-B204</f>
        <v/>
      </c>
      <c r="AA204">
        <f>TEXT(B204,"mmmm")</f>
        <v/>
      </c>
      <c r="AB204">
        <f>YEAR(B204)</f>
        <v/>
      </c>
      <c r="AC204">
        <f>IF(OR(P204&lt;0,P204&gt;0.5,C204&lt;B204),"INVALID","CLEAN")</f>
        <v/>
      </c>
    </row>
    <row r="205">
      <c r="A205" s="12" t="inlineStr">
        <is>
          <t>ORD-2024-10204</t>
        </is>
      </c>
      <c r="B205" s="12" t="inlineStr">
        <is>
          <t>28 Mar 2024</t>
        </is>
      </c>
      <c r="C205" s="12" t="inlineStr">
        <is>
          <t>2024-03-30</t>
        </is>
      </c>
      <c r="D205" s="12" t="inlineStr">
        <is>
          <t>CUST-3384</t>
        </is>
      </c>
      <c r="E205" s="12" t="inlineStr">
        <is>
          <t>Sneha Kapoor</t>
        </is>
      </c>
      <c r="F205" s="12" t="inlineStr">
        <is>
          <t>Corporate</t>
        </is>
      </c>
      <c r="G205" s="12" t="inlineStr">
        <is>
          <t>West</t>
        </is>
      </c>
      <c r="H205" s="12" t="inlineStr">
        <is>
          <t>Rajasthan</t>
        </is>
      </c>
      <c r="I205" s="12" t="inlineStr">
        <is>
          <t>Udaipur</t>
        </is>
      </c>
      <c r="J205" s="12" t="inlineStr">
        <is>
          <t>Technology</t>
        </is>
      </c>
      <c r="K205" s="12" t="inlineStr">
        <is>
          <t>Accessories</t>
        </is>
      </c>
      <c r="L205" s="12" t="inlineStr">
        <is>
          <t>Max Accessories 186</t>
        </is>
      </c>
      <c r="M205" s="12" t="inlineStr">
        <is>
          <t>Second Class</t>
        </is>
      </c>
      <c r="N205" s="12" t="n">
        <v>1</v>
      </c>
      <c r="O205" s="12" t="n">
        <v>570.34</v>
      </c>
      <c r="P205" s="12" t="n">
        <v>0.15</v>
      </c>
      <c r="Q205" s="12" t="n">
        <v>484.79</v>
      </c>
      <c r="R205" s="12" t="n">
        <v>333.54</v>
      </c>
      <c r="S205" s="12" t="n">
        <v>151.25</v>
      </c>
      <c r="T205" s="12" t="inlineStr">
        <is>
          <t>Paid</t>
        </is>
      </c>
      <c r="U205" s="12" t="inlineStr">
        <is>
          <t>Completed</t>
        </is>
      </c>
      <c r="V205">
        <f>IF(OR(P205="",P205&lt;0,P205&gt;0.5),0,P205)</f>
        <v/>
      </c>
      <c r="W205">
        <f>N205*O205*(1-V205)</f>
        <v/>
      </c>
      <c r="X205">
        <f>W205-R205</f>
        <v/>
      </c>
      <c r="Y205">
        <f>IF(W205=0,0,X205/W205)</f>
        <v/>
      </c>
      <c r="Z205">
        <f>C205-B205</f>
        <v/>
      </c>
      <c r="AA205">
        <f>TEXT(B205,"mmmm")</f>
        <v/>
      </c>
      <c r="AB205">
        <f>YEAR(B205)</f>
        <v/>
      </c>
      <c r="AC205">
        <f>IF(OR(P205&lt;0,P205&gt;0.5,C205&lt;B205),"INVALID","CLEAN")</f>
        <v/>
      </c>
    </row>
    <row r="206">
      <c r="A206" s="12" t="inlineStr">
        <is>
          <t>ORD-2025-10205</t>
        </is>
      </c>
      <c r="B206" s="12" t="inlineStr">
        <is>
          <t>20-07-2025</t>
        </is>
      </c>
      <c r="C206" s="12" t="inlineStr">
        <is>
          <t>2025-07-23</t>
        </is>
      </c>
      <c r="D206" s="12" t="inlineStr">
        <is>
          <t>CUST-1986</t>
        </is>
      </c>
      <c r="E206" s="12" t="inlineStr">
        <is>
          <t>Mira Das</t>
        </is>
      </c>
      <c r="F206" s="12" t="inlineStr">
        <is>
          <t>Home Office</t>
        </is>
      </c>
      <c r="G206" s="12" t="inlineStr">
        <is>
          <t>East</t>
        </is>
      </c>
      <c r="H206" s="12" t="inlineStr">
        <is>
          <t>West Bengal</t>
        </is>
      </c>
      <c r="I206" s="12" t="inlineStr">
        <is>
          <t>Kolkata</t>
        </is>
      </c>
      <c r="J206" s="12" t="inlineStr">
        <is>
          <t>Furniture</t>
        </is>
      </c>
      <c r="K206" s="12" t="inlineStr">
        <is>
          <t>Tables</t>
        </is>
      </c>
      <c r="L206" s="12" t="inlineStr">
        <is>
          <t>Elite Tables 318</t>
        </is>
      </c>
      <c r="M206" s="12" t="inlineStr">
        <is>
          <t>Second Class</t>
        </is>
      </c>
      <c r="N206" s="12" t="n">
        <v>4</v>
      </c>
      <c r="O206" s="12" t="n">
        <v>477.69</v>
      </c>
      <c r="P206" s="12" t="n">
        <v>0.15</v>
      </c>
      <c r="Q206" s="12" t="n">
        <v>1624.15</v>
      </c>
      <c r="R206" s="12" t="n">
        <v>1217.99</v>
      </c>
      <c r="S206" s="12" t="n">
        <v>406.16</v>
      </c>
      <c r="T206" s="12" t="inlineStr">
        <is>
          <t>Paid</t>
        </is>
      </c>
      <c r="U206" s="12" t="inlineStr">
        <is>
          <t>Completed</t>
        </is>
      </c>
      <c r="V206">
        <f>IF(OR(P206="",P206&lt;0,P206&gt;0.5),0,P206)</f>
        <v/>
      </c>
      <c r="W206">
        <f>N206*O206*(1-V206)</f>
        <v/>
      </c>
      <c r="X206">
        <f>W206-R206</f>
        <v/>
      </c>
      <c r="Y206">
        <f>IF(W206=0,0,X206/W206)</f>
        <v/>
      </c>
      <c r="Z206">
        <f>C206-B206</f>
        <v/>
      </c>
      <c r="AA206">
        <f>TEXT(B206,"mmmm")</f>
        <v/>
      </c>
      <c r="AB206">
        <f>YEAR(B206)</f>
        <v/>
      </c>
      <c r="AC206">
        <f>IF(OR(P206&lt;0,P206&gt;0.5,C206&lt;B206),"INVALID","CLEAN")</f>
        <v/>
      </c>
    </row>
    <row r="207">
      <c r="A207" s="12" t="inlineStr">
        <is>
          <t>ORD-2025-10206</t>
        </is>
      </c>
      <c r="B207" s="12" t="inlineStr">
        <is>
          <t>21-04-2025</t>
        </is>
      </c>
      <c r="C207" s="12" t="inlineStr">
        <is>
          <t>04/26/2025</t>
        </is>
      </c>
      <c r="D207" s="12" t="inlineStr">
        <is>
          <t>CUST-3338</t>
        </is>
      </c>
      <c r="E207" s="12" t="inlineStr">
        <is>
          <t>Ananya Rao</t>
        </is>
      </c>
      <c r="F207" s="12" t="inlineStr">
        <is>
          <t>Consumer</t>
        </is>
      </c>
      <c r="G207" s="12" t="inlineStr">
        <is>
          <t>West</t>
        </is>
      </c>
      <c r="H207" s="12" t="inlineStr">
        <is>
          <t>Maharashtra</t>
        </is>
      </c>
      <c r="I207" s="12" t="inlineStr">
        <is>
          <t>Mumbai</t>
        </is>
      </c>
      <c r="J207" s="12" t="inlineStr">
        <is>
          <t>OFFICE SUPPLIES</t>
        </is>
      </c>
      <c r="K207" s="12" t="inlineStr">
        <is>
          <t>Labels</t>
        </is>
      </c>
      <c r="L207" s="12" t="inlineStr">
        <is>
          <t>Smart Labels 354</t>
        </is>
      </c>
      <c r="M207" s="12" t="inlineStr">
        <is>
          <t>Same Day</t>
        </is>
      </c>
      <c r="N207" s="12" t="n">
        <v>6</v>
      </c>
      <c r="O207" s="12" t="n">
        <v>873.59</v>
      </c>
      <c r="P207" s="12" t="n">
        <v>0.2</v>
      </c>
      <c r="Q207" s="12" t="n">
        <v>4193.23</v>
      </c>
      <c r="R207" s="12" t="n">
        <v>3329.99</v>
      </c>
      <c r="S207" s="12" t="n">
        <v>863.24</v>
      </c>
      <c r="T207" s="12" t="inlineStr">
        <is>
          <t>Paid</t>
        </is>
      </c>
      <c r="U207" s="12" t="inlineStr">
        <is>
          <t>Completed</t>
        </is>
      </c>
      <c r="V207">
        <f>IF(OR(P207="",P207&lt;0,P207&gt;0.5),0,P207)</f>
        <v/>
      </c>
      <c r="W207">
        <f>N207*O207*(1-V207)</f>
        <v/>
      </c>
      <c r="X207">
        <f>W207-R207</f>
        <v/>
      </c>
      <c r="Y207">
        <f>IF(W207=0,0,X207/W207)</f>
        <v/>
      </c>
      <c r="Z207">
        <f>C207-B207</f>
        <v/>
      </c>
      <c r="AA207">
        <f>TEXT(B207,"mmmm")</f>
        <v/>
      </c>
      <c r="AB207">
        <f>YEAR(B207)</f>
        <v/>
      </c>
      <c r="AC207">
        <f>IF(OR(P207&lt;0,P207&gt;0.5,C207&lt;B207),"INVALID","CLEAN")</f>
        <v/>
      </c>
    </row>
    <row r="208">
      <c r="A208" s="12" t="inlineStr">
        <is>
          <t>ORD-2025-10207</t>
        </is>
      </c>
      <c r="B208" s="12" t="inlineStr">
        <is>
          <t>05/18/2025</t>
        </is>
      </c>
      <c r="C208" s="12" t="inlineStr">
        <is>
          <t>20 May 2025</t>
        </is>
      </c>
      <c r="D208" s="12" t="inlineStr">
        <is>
          <t>CUST-2343</t>
        </is>
      </c>
      <c r="E208" s="12" t="inlineStr">
        <is>
          <t>Diya Patel</t>
        </is>
      </c>
      <c r="F208" s="12" t="inlineStr">
        <is>
          <t>Small Business</t>
        </is>
      </c>
      <c r="G208" s="12" t="inlineStr">
        <is>
          <t xml:space="preserve">  North </t>
        </is>
      </c>
      <c r="H208" s="12" t="inlineStr">
        <is>
          <t>Uttar Pradesh</t>
        </is>
      </c>
      <c r="I208" s="12" t="inlineStr">
        <is>
          <t>Noida</t>
        </is>
      </c>
      <c r="J208" s="12" t="inlineStr">
        <is>
          <t>Furniture</t>
        </is>
      </c>
      <c r="K208" s="12" t="inlineStr">
        <is>
          <t>Furnishings</t>
        </is>
      </c>
      <c r="L208" s="12" t="inlineStr">
        <is>
          <t>Pro Furnishings 981</t>
        </is>
      </c>
      <c r="M208" s="12" t="inlineStr">
        <is>
          <t>First Class</t>
        </is>
      </c>
      <c r="N208" s="12" t="n">
        <v>2</v>
      </c>
      <c r="O208" s="12" t="n">
        <v>215.13</v>
      </c>
      <c r="P208" s="12" t="n">
        <v>0</v>
      </c>
      <c r="Q208" s="12" t="n">
        <v>430.26</v>
      </c>
      <c r="R208" s="12" t="n">
        <v>286.38</v>
      </c>
      <c r="S208" s="12" t="n">
        <v>143.88</v>
      </c>
      <c r="T208" s="12" t="inlineStr">
        <is>
          <t>Paid</t>
        </is>
      </c>
      <c r="U208" s="12" t="inlineStr">
        <is>
          <t>Completed</t>
        </is>
      </c>
      <c r="V208">
        <f>IF(OR(P208="",P208&lt;0,P208&gt;0.5),0,P208)</f>
        <v/>
      </c>
      <c r="W208">
        <f>N208*O208*(1-V208)</f>
        <v/>
      </c>
      <c r="X208">
        <f>W208-R208</f>
        <v/>
      </c>
      <c r="Y208">
        <f>IF(W208=0,0,X208/W208)</f>
        <v/>
      </c>
      <c r="Z208">
        <f>C208-B208</f>
        <v/>
      </c>
      <c r="AA208">
        <f>TEXT(B208,"mmmm")</f>
        <v/>
      </c>
      <c r="AB208">
        <f>YEAR(B208)</f>
        <v/>
      </c>
      <c r="AC208">
        <f>IF(OR(P208&lt;0,P208&gt;0.5,C208&lt;B208),"INVALID","CLEAN")</f>
        <v/>
      </c>
    </row>
    <row r="209">
      <c r="A209" s="12" t="inlineStr">
        <is>
          <t>ORD-2024-10208</t>
        </is>
      </c>
      <c r="B209" s="12" t="inlineStr">
        <is>
          <t>10 Jul 2024</t>
        </is>
      </c>
      <c r="C209" s="12" t="inlineStr">
        <is>
          <t>2024-07-16</t>
        </is>
      </c>
      <c r="D209" s="12" t="inlineStr">
        <is>
          <t>CUST-3362</t>
        </is>
      </c>
      <c r="E209" s="12" t="inlineStr">
        <is>
          <t>Aarav Sharma</t>
        </is>
      </c>
      <c r="F209" s="12" t="inlineStr">
        <is>
          <t>Home Office</t>
        </is>
      </c>
      <c r="G209" s="12" t="inlineStr">
        <is>
          <t>West</t>
        </is>
      </c>
      <c r="H209" s="12" t="inlineStr">
        <is>
          <t>Goa</t>
        </is>
      </c>
      <c r="I209" s="12" t="inlineStr">
        <is>
          <t>Panaji</t>
        </is>
      </c>
      <c r="J209" s="12" t="inlineStr">
        <is>
          <t>Furniture</t>
        </is>
      </c>
      <c r="K209" s="12" t="inlineStr">
        <is>
          <t>Bookcases</t>
        </is>
      </c>
      <c r="L209" s="12" t="inlineStr">
        <is>
          <t>Eco Bookcases 671</t>
        </is>
      </c>
      <c r="M209" s="12" t="inlineStr">
        <is>
          <t>Second Class</t>
        </is>
      </c>
      <c r="N209" s="12" t="n">
        <v>2</v>
      </c>
      <c r="O209" s="12" t="n">
        <v>1095.45</v>
      </c>
      <c r="P209" s="12" t="n">
        <v>0.2</v>
      </c>
      <c r="Q209" s="12" t="n">
        <v>1752.72</v>
      </c>
      <c r="R209" s="12" t="n">
        <v>996.41</v>
      </c>
      <c r="S209" s="12" t="n">
        <v>756.3099999999999</v>
      </c>
      <c r="T209" s="12" t="inlineStr">
        <is>
          <t>Paid</t>
        </is>
      </c>
      <c r="U209" s="12" t="inlineStr">
        <is>
          <t>Completed</t>
        </is>
      </c>
      <c r="V209">
        <f>IF(OR(P209="",P209&lt;0,P209&gt;0.5),0,P209)</f>
        <v/>
      </c>
      <c r="W209">
        <f>N209*O209*(1-V209)</f>
        <v/>
      </c>
      <c r="X209">
        <f>W209-R209</f>
        <v/>
      </c>
      <c r="Y209">
        <f>IF(W209=0,0,X209/W209)</f>
        <v/>
      </c>
      <c r="Z209">
        <f>C209-B209</f>
        <v/>
      </c>
      <c r="AA209">
        <f>TEXT(B209,"mmmm")</f>
        <v/>
      </c>
      <c r="AB209">
        <f>YEAR(B209)</f>
        <v/>
      </c>
      <c r="AC209">
        <f>IF(OR(P209&lt;0,P209&gt;0.5,C209&lt;B209),"INVALID","CLEAN")</f>
        <v/>
      </c>
    </row>
    <row r="210">
      <c r="A210" s="12" t="inlineStr">
        <is>
          <t>ORD-2025-10209</t>
        </is>
      </c>
      <c r="B210" s="12" t="inlineStr">
        <is>
          <t>06/29/2025</t>
        </is>
      </c>
      <c r="C210" s="12" t="inlineStr">
        <is>
          <t>05-07-2025</t>
        </is>
      </c>
      <c r="D210" s="12" t="inlineStr">
        <is>
          <t>CUST-3662</t>
        </is>
      </c>
      <c r="E210" s="12" t="inlineStr">
        <is>
          <t>Diya Patel</t>
        </is>
      </c>
      <c r="F210" s="12" t="inlineStr">
        <is>
          <t>Consumer</t>
        </is>
      </c>
      <c r="G210" s="12" t="inlineStr">
        <is>
          <t>North</t>
        </is>
      </c>
      <c r="H210" s="12" t="inlineStr">
        <is>
          <t>Punjab</t>
        </is>
      </c>
      <c r="I210" s="12" t="inlineStr">
        <is>
          <t>Ludhiana</t>
        </is>
      </c>
      <c r="J210" s="12" t="inlineStr">
        <is>
          <t>Furniture</t>
        </is>
      </c>
      <c r="K210" s="12" t="inlineStr">
        <is>
          <t>Chairs</t>
        </is>
      </c>
      <c r="L210" s="12" t="inlineStr">
        <is>
          <t>Max Chairs 151</t>
        </is>
      </c>
      <c r="M210" s="12" t="inlineStr">
        <is>
          <t>Same Day</t>
        </is>
      </c>
      <c r="N210" s="12" t="n">
        <v>1</v>
      </c>
      <c r="O210" s="12" t="n">
        <v>999.83</v>
      </c>
      <c r="P210" s="12" t="n">
        <v>0</v>
      </c>
      <c r="Q210" s="12" t="n">
        <v>999.83</v>
      </c>
      <c r="R210" s="12" t="n">
        <v>634.91</v>
      </c>
      <c r="S210" s="12" t="n">
        <v>364.92</v>
      </c>
      <c r="T210" s="12" t="inlineStr">
        <is>
          <t>Paid</t>
        </is>
      </c>
      <c r="U210" s="12" t="inlineStr">
        <is>
          <t>Completed</t>
        </is>
      </c>
      <c r="V210">
        <f>IF(OR(P210="",P210&lt;0,P210&gt;0.5),0,P210)</f>
        <v/>
      </c>
      <c r="W210">
        <f>N210*O210*(1-V210)</f>
        <v/>
      </c>
      <c r="X210">
        <f>W210-R210</f>
        <v/>
      </c>
      <c r="Y210">
        <f>IF(W210=0,0,X210/W210)</f>
        <v/>
      </c>
      <c r="Z210">
        <f>C210-B210</f>
        <v/>
      </c>
      <c r="AA210">
        <f>TEXT(B210,"mmmm")</f>
        <v/>
      </c>
      <c r="AB210">
        <f>YEAR(B210)</f>
        <v/>
      </c>
      <c r="AC210">
        <f>IF(OR(P210&lt;0,P210&gt;0.5,C210&lt;B210),"INVALID","CLEAN")</f>
        <v/>
      </c>
    </row>
    <row r="211">
      <c r="A211" s="12" t="inlineStr">
        <is>
          <t>ORD-2025-10210</t>
        </is>
      </c>
      <c r="B211" s="12" t="inlineStr">
        <is>
          <t>08/13/2025</t>
        </is>
      </c>
      <c r="C211" s="12" t="inlineStr">
        <is>
          <t>08/14/2025</t>
        </is>
      </c>
      <c r="D211" s="12" t="inlineStr">
        <is>
          <t>CUST-4947</t>
        </is>
      </c>
      <c r="E211" s="12" t="inlineStr">
        <is>
          <t>Rohan Mehta</t>
        </is>
      </c>
      <c r="F211" s="12" t="inlineStr">
        <is>
          <t>Small Business</t>
        </is>
      </c>
      <c r="G211" s="12" t="inlineStr">
        <is>
          <t>South</t>
        </is>
      </c>
      <c r="H211" s="12" t="inlineStr">
        <is>
          <t>Andhra Pradesh</t>
        </is>
      </c>
      <c r="I211" s="12" t="inlineStr">
        <is>
          <t>Vijayawada</t>
        </is>
      </c>
      <c r="J211" s="12" t="inlineStr">
        <is>
          <t>Office Supplies</t>
        </is>
      </c>
      <c r="K211" s="12" t="inlineStr">
        <is>
          <t>Paper</t>
        </is>
      </c>
      <c r="L211" s="12" t="inlineStr">
        <is>
          <t>Prime Paper 903</t>
        </is>
      </c>
      <c r="M211" s="12" t="inlineStr">
        <is>
          <t>First Class</t>
        </is>
      </c>
      <c r="N211" s="12" t="n">
        <v>9</v>
      </c>
      <c r="O211" s="12" t="n">
        <v>864.98</v>
      </c>
      <c r="P211" s="12" t="n">
        <v>0.1</v>
      </c>
      <c r="Q211" s="12" t="n">
        <v>7006.34</v>
      </c>
      <c r="R211" s="12" t="n">
        <v>4640.88</v>
      </c>
      <c r="S211" s="12" t="n">
        <v>2365.46</v>
      </c>
      <c r="T211" s="12" t="inlineStr">
        <is>
          <t>Paid</t>
        </is>
      </c>
      <c r="U211" s="12" t="inlineStr">
        <is>
          <t>Completed</t>
        </is>
      </c>
      <c r="V211">
        <f>IF(OR(P211="",P211&lt;0,P211&gt;0.5),0,P211)</f>
        <v/>
      </c>
      <c r="W211">
        <f>N211*O211*(1-V211)</f>
        <v/>
      </c>
      <c r="X211">
        <f>W211-R211</f>
        <v/>
      </c>
      <c r="Y211">
        <f>IF(W211=0,0,X211/W211)</f>
        <v/>
      </c>
      <c r="Z211">
        <f>C211-B211</f>
        <v/>
      </c>
      <c r="AA211">
        <f>TEXT(B211,"mmmm")</f>
        <v/>
      </c>
      <c r="AB211">
        <f>YEAR(B211)</f>
        <v/>
      </c>
      <c r="AC211">
        <f>IF(OR(P211&lt;0,P211&gt;0.5,C211&lt;B211),"INVALID","CLEAN")</f>
        <v/>
      </c>
    </row>
    <row r="212">
      <c r="A212" s="12" t="inlineStr">
        <is>
          <t>ORD-2024-10211</t>
        </is>
      </c>
      <c r="B212" s="12" t="inlineStr">
        <is>
          <t>03/15/2024</t>
        </is>
      </c>
      <c r="C212" s="12" t="inlineStr">
        <is>
          <t>18-03-2024</t>
        </is>
      </c>
      <c r="D212" s="12" t="inlineStr">
        <is>
          <t>CUST-3076</t>
        </is>
      </c>
      <c r="E212" s="12" t="inlineStr">
        <is>
          <t>Kabir Singh</t>
        </is>
      </c>
      <c r="F212" s="12" t="inlineStr">
        <is>
          <t>Home Office</t>
        </is>
      </c>
      <c r="G212" s="12" t="inlineStr">
        <is>
          <t>South</t>
        </is>
      </c>
      <c r="H212" s="12" t="inlineStr">
        <is>
          <t>Karnataka</t>
        </is>
      </c>
      <c r="I212" s="12" t="inlineStr">
        <is>
          <t>Bengaluru</t>
        </is>
      </c>
      <c r="J212" s="12" t="inlineStr">
        <is>
          <t>Technology</t>
        </is>
      </c>
      <c r="K212" s="12" t="inlineStr">
        <is>
          <t>Machines</t>
        </is>
      </c>
      <c r="L212" s="12" t="inlineStr">
        <is>
          <t>Classic Machines 944</t>
        </is>
      </c>
      <c r="M212" s="12" t="inlineStr">
        <is>
          <t>Second Class</t>
        </is>
      </c>
      <c r="N212" s="12" t="n">
        <v>1</v>
      </c>
      <c r="O212" s="12" t="n">
        <v>4131.36</v>
      </c>
      <c r="P212" s="12" t="n">
        <v>0</v>
      </c>
      <c r="Q212" s="12" t="n">
        <v>4131.36</v>
      </c>
      <c r="R212" s="12" t="n">
        <v>2937.07</v>
      </c>
      <c r="S212" s="12" t="n">
        <v>1194.29</v>
      </c>
      <c r="T212" s="12" t="inlineStr">
        <is>
          <t>Failed</t>
        </is>
      </c>
      <c r="U212" s="12" t="inlineStr">
        <is>
          <t>Returned</t>
        </is>
      </c>
      <c r="V212">
        <f>IF(OR(P212="",P212&lt;0,P212&gt;0.5),0,P212)</f>
        <v/>
      </c>
      <c r="W212">
        <f>N212*O212*(1-V212)</f>
        <v/>
      </c>
      <c r="X212">
        <f>W212-R212</f>
        <v/>
      </c>
      <c r="Y212">
        <f>IF(W212=0,0,X212/W212)</f>
        <v/>
      </c>
      <c r="Z212">
        <f>C212-B212</f>
        <v/>
      </c>
      <c r="AA212">
        <f>TEXT(B212,"mmmm")</f>
        <v/>
      </c>
      <c r="AB212">
        <f>YEAR(B212)</f>
        <v/>
      </c>
      <c r="AC212">
        <f>IF(OR(P212&lt;0,P212&gt;0.5,C212&lt;B212),"INVALID","CLEAN")</f>
        <v/>
      </c>
    </row>
    <row r="213">
      <c r="A213" s="12" t="inlineStr">
        <is>
          <t>ORD-2024-10212</t>
        </is>
      </c>
      <c r="B213" s="12" t="inlineStr">
        <is>
          <t>05/16/2024</t>
        </is>
      </c>
      <c r="C213" s="12" t="inlineStr">
        <is>
          <t>05/17/2024</t>
        </is>
      </c>
      <c r="D213" s="12" t="inlineStr">
        <is>
          <t>CUST-2222</t>
        </is>
      </c>
      <c r="E213" s="12" t="inlineStr">
        <is>
          <t>Rohan Mehta</t>
        </is>
      </c>
      <c r="F213" s="12" t="inlineStr">
        <is>
          <t>Corporate</t>
        </is>
      </c>
      <c r="G213" s="12" t="inlineStr">
        <is>
          <t>EAST</t>
        </is>
      </c>
      <c r="H213" s="12" t="inlineStr">
        <is>
          <t>West Bengal</t>
        </is>
      </c>
      <c r="I213" s="12" t="inlineStr">
        <is>
          <t>Kolkata</t>
        </is>
      </c>
      <c r="J213" s="12" t="inlineStr">
        <is>
          <t>Technology</t>
        </is>
      </c>
      <c r="K213" s="12" t="inlineStr">
        <is>
          <t>Copiers</t>
        </is>
      </c>
      <c r="L213" s="12" t="inlineStr">
        <is>
          <t>Basic Copiers 222</t>
        </is>
      </c>
      <c r="M213" s="12" t="inlineStr">
        <is>
          <t>Second Class</t>
        </is>
      </c>
      <c r="N213" s="12" t="n">
        <v>8</v>
      </c>
      <c r="O213" s="12" t="n">
        <v>4221.95</v>
      </c>
      <c r="P213" s="12" t="n">
        <v>0.2</v>
      </c>
      <c r="Q213" s="12" t="n">
        <v>27020.48</v>
      </c>
      <c r="R213" s="12" t="n">
        <v>22885.24</v>
      </c>
      <c r="S213" s="12" t="n">
        <v>4135.24</v>
      </c>
      <c r="T213" s="12" t="inlineStr">
        <is>
          <t>Paid</t>
        </is>
      </c>
      <c r="U213" s="12" t="inlineStr">
        <is>
          <t>Completed</t>
        </is>
      </c>
      <c r="V213">
        <f>IF(OR(P213="",P213&lt;0,P213&gt;0.5),0,P213)</f>
        <v/>
      </c>
      <c r="W213">
        <f>N213*O213*(1-V213)</f>
        <v/>
      </c>
      <c r="X213">
        <f>W213-R213</f>
        <v/>
      </c>
      <c r="Y213">
        <f>IF(W213=0,0,X213/W213)</f>
        <v/>
      </c>
      <c r="Z213">
        <f>C213-B213</f>
        <v/>
      </c>
      <c r="AA213">
        <f>TEXT(B213,"mmmm")</f>
        <v/>
      </c>
      <c r="AB213">
        <f>YEAR(B213)</f>
        <v/>
      </c>
      <c r="AC213">
        <f>IF(OR(P213&lt;0,P213&gt;0.5,C213&lt;B213),"INVALID","CLEAN")</f>
        <v/>
      </c>
    </row>
    <row r="214">
      <c r="A214" s="12" t="inlineStr">
        <is>
          <t>ORD-2024-10213</t>
        </is>
      </c>
      <c r="B214" s="12" t="inlineStr">
        <is>
          <t>09/21/2024</t>
        </is>
      </c>
      <c r="C214" s="12" t="inlineStr">
        <is>
          <t>2024-09-21</t>
        </is>
      </c>
      <c r="D214" s="12" t="inlineStr">
        <is>
          <t>CUST-3610</t>
        </is>
      </c>
      <c r="E214" s="12" t="inlineStr">
        <is>
          <t>Ananya Rao</t>
        </is>
      </c>
      <c r="F214" s="12" t="inlineStr">
        <is>
          <t>Small Business</t>
        </is>
      </c>
      <c r="G214" s="12" t="inlineStr">
        <is>
          <t>East</t>
        </is>
      </c>
      <c r="H214" s="12" t="inlineStr">
        <is>
          <t>Odisha</t>
        </is>
      </c>
      <c r="I214" s="12" t="inlineStr">
        <is>
          <t>Bhubaneswar</t>
        </is>
      </c>
      <c r="J214" s="12" t="inlineStr">
        <is>
          <t>Technology</t>
        </is>
      </c>
      <c r="K214" s="12" t="inlineStr">
        <is>
          <t>Phones</t>
        </is>
      </c>
      <c r="L214" s="12" t="inlineStr">
        <is>
          <t>Max Phones 329</t>
        </is>
      </c>
      <c r="M214" s="12" t="inlineStr">
        <is>
          <t>Same Day</t>
        </is>
      </c>
      <c r="N214" s="12" t="n">
        <v>2</v>
      </c>
      <c r="O214" s="12" t="n">
        <v>214.5</v>
      </c>
      <c r="P214" s="12" t="n">
        <v>0.15</v>
      </c>
      <c r="Q214" s="12" t="n">
        <v>364.65</v>
      </c>
      <c r="R214" s="12" t="n">
        <v>280.74</v>
      </c>
      <c r="S214" s="12" t="n">
        <v>83.91</v>
      </c>
      <c r="T214" s="12" t="inlineStr">
        <is>
          <t>Paid</t>
        </is>
      </c>
      <c r="U214" s="12" t="inlineStr">
        <is>
          <t>Completed</t>
        </is>
      </c>
      <c r="V214">
        <f>IF(OR(P214="",P214&lt;0,P214&gt;0.5),0,P214)</f>
        <v/>
      </c>
      <c r="W214">
        <f>N214*O214*(1-V214)</f>
        <v/>
      </c>
      <c r="X214">
        <f>W214-R214</f>
        <v/>
      </c>
      <c r="Y214">
        <f>IF(W214=0,0,X214/W214)</f>
        <v/>
      </c>
      <c r="Z214">
        <f>C214-B214</f>
        <v/>
      </c>
      <c r="AA214">
        <f>TEXT(B214,"mmmm")</f>
        <v/>
      </c>
      <c r="AB214">
        <f>YEAR(B214)</f>
        <v/>
      </c>
      <c r="AC214">
        <f>IF(OR(P214&lt;0,P214&gt;0.5,C214&lt;B214),"INVALID","CLEAN")</f>
        <v/>
      </c>
    </row>
    <row r="215">
      <c r="A215" s="12" t="inlineStr">
        <is>
          <t>ORD-2024-10214</t>
        </is>
      </c>
      <c r="B215" s="12" t="inlineStr">
        <is>
          <t>15 May 2024</t>
        </is>
      </c>
      <c r="C215" s="12" t="inlineStr">
        <is>
          <t>21-05-2024</t>
        </is>
      </c>
      <c r="D215" s="12" t="inlineStr">
        <is>
          <t>CUST-9136</t>
        </is>
      </c>
      <c r="E215" s="12" t="inlineStr">
        <is>
          <t>Isha Nair</t>
        </is>
      </c>
      <c r="F215" s="12" t="inlineStr">
        <is>
          <t>Small Business</t>
        </is>
      </c>
      <c r="G215" s="12" t="inlineStr">
        <is>
          <t>East</t>
        </is>
      </c>
      <c r="H215" s="12" t="inlineStr">
        <is>
          <t>Bihar</t>
        </is>
      </c>
      <c r="I215" s="12" t="inlineStr">
        <is>
          <t>Patna</t>
        </is>
      </c>
      <c r="J215" s="12" t="inlineStr">
        <is>
          <t>Technology</t>
        </is>
      </c>
      <c r="K215" s="12" t="inlineStr">
        <is>
          <t>Accessories</t>
        </is>
      </c>
      <c r="L215" s="12" t="inlineStr">
        <is>
          <t>Classic Accessories 840</t>
        </is>
      </c>
      <c r="M215" s="12" t="inlineStr">
        <is>
          <t xml:space="preserve">  Second Class </t>
        </is>
      </c>
      <c r="N215" s="12" t="n">
        <v>4</v>
      </c>
      <c r="O215" s="12" t="n">
        <v>4332.73</v>
      </c>
      <c r="P215" s="12" t="n">
        <v>0.2</v>
      </c>
      <c r="Q215" s="12" t="n">
        <v>13864.74</v>
      </c>
      <c r="R215" s="12" t="n">
        <v>11294.06</v>
      </c>
      <c r="S215" s="12" t="n">
        <v>2570.68</v>
      </c>
      <c r="T215" s="12" t="inlineStr">
        <is>
          <t>Paid</t>
        </is>
      </c>
      <c r="U215" s="12" t="inlineStr">
        <is>
          <t>Completed</t>
        </is>
      </c>
      <c r="V215">
        <f>IF(OR(P215="",P215&lt;0,P215&gt;0.5),0,P215)</f>
        <v/>
      </c>
      <c r="W215">
        <f>N215*O215*(1-V215)</f>
        <v/>
      </c>
      <c r="X215">
        <f>W215-R215</f>
        <v/>
      </c>
      <c r="Y215">
        <f>IF(W215=0,0,X215/W215)</f>
        <v/>
      </c>
      <c r="Z215">
        <f>C215-B215</f>
        <v/>
      </c>
      <c r="AA215">
        <f>TEXT(B215,"mmmm")</f>
        <v/>
      </c>
      <c r="AB215">
        <f>YEAR(B215)</f>
        <v/>
      </c>
      <c r="AC215">
        <f>IF(OR(P215&lt;0,P215&gt;0.5,C215&lt;B215),"INVALID","CLEAN")</f>
        <v/>
      </c>
    </row>
    <row r="216">
      <c r="A216" s="12" t="inlineStr">
        <is>
          <t>ORD-2024-10215</t>
        </is>
      </c>
      <c r="B216" s="12" t="inlineStr">
        <is>
          <t>17 Mar 2024</t>
        </is>
      </c>
      <c r="C216" s="12" t="inlineStr">
        <is>
          <t>23-03-2024</t>
        </is>
      </c>
      <c r="D216" s="12" t="inlineStr">
        <is>
          <t>CUST-1301</t>
        </is>
      </c>
      <c r="E216" s="12" t="inlineStr">
        <is>
          <t>Rahul Verma</t>
        </is>
      </c>
      <c r="F216" s="12" t="inlineStr">
        <is>
          <t>Consumer</t>
        </is>
      </c>
      <c r="G216" s="12" t="inlineStr">
        <is>
          <t>North</t>
        </is>
      </c>
      <c r="H216" s="12" t="inlineStr">
        <is>
          <t>Haryana</t>
        </is>
      </c>
      <c r="I216" s="12" t="inlineStr">
        <is>
          <t>Gurugram</t>
        </is>
      </c>
      <c r="J216" s="12" t="inlineStr">
        <is>
          <t>Technology</t>
        </is>
      </c>
      <c r="K216" s="12" t="inlineStr">
        <is>
          <t>Accessories</t>
        </is>
      </c>
      <c r="L216" s="12" t="inlineStr">
        <is>
          <t>Classic Accessories 757</t>
        </is>
      </c>
      <c r="M216" s="12" t="inlineStr">
        <is>
          <t xml:space="preserve">  First Class </t>
        </is>
      </c>
      <c r="N216" s="12" t="n">
        <v>3</v>
      </c>
      <c r="O216" s="12" t="n">
        <v>248.18</v>
      </c>
      <c r="P216" s="12" t="n">
        <v>0.05</v>
      </c>
      <c r="Q216" s="12" t="n">
        <v>707.3099999999999</v>
      </c>
      <c r="R216" s="12" t="n">
        <v>569</v>
      </c>
      <c r="S216" s="12" t="n">
        <v>138.31</v>
      </c>
      <c r="T216" s="12" t="inlineStr">
        <is>
          <t>Paid</t>
        </is>
      </c>
      <c r="U216" s="12" t="inlineStr">
        <is>
          <t>Completed</t>
        </is>
      </c>
      <c r="V216">
        <f>IF(OR(P216="",P216&lt;0,P216&gt;0.5),0,P216)</f>
        <v/>
      </c>
      <c r="W216">
        <f>N216*O216*(1-V216)</f>
        <v/>
      </c>
      <c r="X216">
        <f>W216-R216</f>
        <v/>
      </c>
      <c r="Y216">
        <f>IF(W216=0,0,X216/W216)</f>
        <v/>
      </c>
      <c r="Z216">
        <f>C216-B216</f>
        <v/>
      </c>
      <c r="AA216">
        <f>TEXT(B216,"mmmm")</f>
        <v/>
      </c>
      <c r="AB216">
        <f>YEAR(B216)</f>
        <v/>
      </c>
      <c r="AC216">
        <f>IF(OR(P216&lt;0,P216&gt;0.5,C216&lt;B216),"INVALID","CLEAN")</f>
        <v/>
      </c>
    </row>
    <row r="217">
      <c r="A217" s="12" t="inlineStr">
        <is>
          <t>ORD-2024-10216</t>
        </is>
      </c>
      <c r="B217" s="12" t="inlineStr">
        <is>
          <t>01-03-2024</t>
        </is>
      </c>
      <c r="C217" s="12" t="inlineStr">
        <is>
          <t>2024-03-04</t>
        </is>
      </c>
      <c r="D217" s="12" t="inlineStr">
        <is>
          <t>CUST-8603</t>
        </is>
      </c>
      <c r="E217" s="12" t="inlineStr">
        <is>
          <t>Mira Das</t>
        </is>
      </c>
      <c r="F217" s="12" t="inlineStr">
        <is>
          <t>Consumer</t>
        </is>
      </c>
      <c r="G217" s="12" t="inlineStr">
        <is>
          <t>West</t>
        </is>
      </c>
      <c r="H217" s="12" t="inlineStr">
        <is>
          <t>Madhya Pradesh</t>
        </is>
      </c>
      <c r="I217" s="12" t="inlineStr">
        <is>
          <t>Indore</t>
        </is>
      </c>
      <c r="J217" s="12" t="inlineStr">
        <is>
          <t>Office Supplies</t>
        </is>
      </c>
      <c r="K217" s="12" t="inlineStr">
        <is>
          <t>Paper</t>
        </is>
      </c>
      <c r="L217" s="12" t="inlineStr">
        <is>
          <t>Prime Paper 286</t>
        </is>
      </c>
      <c r="M217" s="12" t="inlineStr">
        <is>
          <t>First Class</t>
        </is>
      </c>
      <c r="N217" s="12" t="n">
        <v>8</v>
      </c>
      <c r="O217" s="12" t="n">
        <v>3202.4</v>
      </c>
      <c r="P217" s="12" t="n">
        <v>0.25</v>
      </c>
      <c r="Q217" s="12" t="n">
        <v>19214.4</v>
      </c>
      <c r="R217" s="12" t="n">
        <v>10916.01</v>
      </c>
      <c r="S217" s="12" t="n">
        <v>8298.389999999999</v>
      </c>
      <c r="T217" s="12" t="inlineStr">
        <is>
          <t>Paid</t>
        </is>
      </c>
      <c r="U217" s="12" t="inlineStr">
        <is>
          <t>Completed</t>
        </is>
      </c>
      <c r="V217">
        <f>IF(OR(P217="",P217&lt;0,P217&gt;0.5),0,P217)</f>
        <v/>
      </c>
      <c r="W217">
        <f>N217*O217*(1-V217)</f>
        <v/>
      </c>
      <c r="X217">
        <f>W217-R217</f>
        <v/>
      </c>
      <c r="Y217">
        <f>IF(W217=0,0,X217/W217)</f>
        <v/>
      </c>
      <c r="Z217">
        <f>C217-B217</f>
        <v/>
      </c>
      <c r="AA217">
        <f>TEXT(B217,"mmmm")</f>
        <v/>
      </c>
      <c r="AB217">
        <f>YEAR(B217)</f>
        <v/>
      </c>
      <c r="AC217">
        <f>IF(OR(P217&lt;0,P217&gt;0.5,C217&lt;B217),"INVALID","CLEAN")</f>
        <v/>
      </c>
    </row>
    <row r="218">
      <c r="A218" s="12" t="inlineStr">
        <is>
          <t>ORD-2025-10217</t>
        </is>
      </c>
      <c r="B218" s="12" t="inlineStr">
        <is>
          <t>04/10/2025</t>
        </is>
      </c>
      <c r="C218" s="12" t="inlineStr">
        <is>
          <t>15 Apr 2025</t>
        </is>
      </c>
      <c r="D218" s="12" t="inlineStr">
        <is>
          <t>CUST-4330</t>
        </is>
      </c>
      <c r="E218" s="12" t="inlineStr">
        <is>
          <t>Isha Nair</t>
        </is>
      </c>
      <c r="F218" s="12" t="inlineStr">
        <is>
          <t>Consumer</t>
        </is>
      </c>
      <c r="G218" s="12" t="inlineStr">
        <is>
          <t>West</t>
        </is>
      </c>
      <c r="H218" s="12" t="inlineStr">
        <is>
          <t>Gujarat</t>
        </is>
      </c>
      <c r="I218" s="12" t="inlineStr">
        <is>
          <t>Ahmedabad</t>
        </is>
      </c>
      <c r="J218" s="12" t="inlineStr">
        <is>
          <t>Furniture</t>
        </is>
      </c>
      <c r="K218" s="12" t="inlineStr">
        <is>
          <t>Tables</t>
        </is>
      </c>
      <c r="L218" s="12" t="inlineStr">
        <is>
          <t>Basic Tables 400</t>
        </is>
      </c>
      <c r="M218" s="12" t="inlineStr">
        <is>
          <t>Standard Class</t>
        </is>
      </c>
      <c r="N218" s="12" t="n">
        <v>8</v>
      </c>
      <c r="O218" s="12" t="n">
        <v>1839.87</v>
      </c>
      <c r="P218" s="12" t="n">
        <v>0.25</v>
      </c>
      <c r="Q218" s="12" t="n">
        <v>11039.22</v>
      </c>
      <c r="R218" s="12" t="n">
        <v>7642.91</v>
      </c>
      <c r="S218" s="12" t="n">
        <v>3396.31</v>
      </c>
      <c r="T218" s="12" t="inlineStr">
        <is>
          <t>Failed</t>
        </is>
      </c>
      <c r="U218" s="12" t="inlineStr">
        <is>
          <t>Returned</t>
        </is>
      </c>
      <c r="V218">
        <f>IF(OR(P218="",P218&lt;0,P218&gt;0.5),0,P218)</f>
        <v/>
      </c>
      <c r="W218">
        <f>N218*O218*(1-V218)</f>
        <v/>
      </c>
      <c r="X218">
        <f>W218-R218</f>
        <v/>
      </c>
      <c r="Y218">
        <f>IF(W218=0,0,X218/W218)</f>
        <v/>
      </c>
      <c r="Z218">
        <f>C218-B218</f>
        <v/>
      </c>
      <c r="AA218">
        <f>TEXT(B218,"mmmm")</f>
        <v/>
      </c>
      <c r="AB218">
        <f>YEAR(B218)</f>
        <v/>
      </c>
      <c r="AC218">
        <f>IF(OR(P218&lt;0,P218&gt;0.5,C218&lt;B218),"INVALID","CLEAN")</f>
        <v/>
      </c>
    </row>
    <row r="219">
      <c r="A219" s="12" t="inlineStr">
        <is>
          <t>ORD-2025-10218</t>
        </is>
      </c>
      <c r="B219" s="12" t="inlineStr">
        <is>
          <t>01-04-2025</t>
        </is>
      </c>
      <c r="C219" s="12" t="inlineStr">
        <is>
          <t>04/08/2025</t>
        </is>
      </c>
      <c r="D219" s="12" t="inlineStr">
        <is>
          <t>CUST-4533</t>
        </is>
      </c>
      <c r="E219" s="12" t="inlineStr">
        <is>
          <t>Aditi Sen</t>
        </is>
      </c>
      <c r="F219" s="12" t="inlineStr">
        <is>
          <t>Consumer</t>
        </is>
      </c>
      <c r="G219" s="12" t="inlineStr">
        <is>
          <t>East</t>
        </is>
      </c>
      <c r="H219" s="12" t="inlineStr">
        <is>
          <t>Odisha</t>
        </is>
      </c>
      <c r="I219" s="12" t="inlineStr">
        <is>
          <t>Bhubaneswar</t>
        </is>
      </c>
      <c r="J219" s="12" t="inlineStr">
        <is>
          <t>Furniture</t>
        </is>
      </c>
      <c r="K219" s="12" t="inlineStr">
        <is>
          <t>Bookcases</t>
        </is>
      </c>
      <c r="L219" s="12" t="inlineStr">
        <is>
          <t>Basic Bookcases 405</t>
        </is>
      </c>
      <c r="M219" s="12" t="inlineStr">
        <is>
          <t>Second Class</t>
        </is>
      </c>
      <c r="N219" s="12" t="n">
        <v>5</v>
      </c>
      <c r="O219" s="12" t="n">
        <v>1021.28</v>
      </c>
      <c r="P219" s="12" t="n">
        <v>0.1</v>
      </c>
      <c r="Q219" s="12" t="n">
        <v>4595.76</v>
      </c>
      <c r="R219" s="12" t="n">
        <v>3396.8</v>
      </c>
      <c r="S219" s="12" t="n">
        <v>1198.96</v>
      </c>
      <c r="T219" s="12" t="inlineStr">
        <is>
          <t>Refunded</t>
        </is>
      </c>
      <c r="U219" s="12" t="inlineStr">
        <is>
          <t>Cancelled</t>
        </is>
      </c>
      <c r="V219">
        <f>IF(OR(P219="",P219&lt;0,P219&gt;0.5),0,P219)</f>
        <v/>
      </c>
      <c r="W219">
        <f>N219*O219*(1-V219)</f>
        <v/>
      </c>
      <c r="X219">
        <f>W219-R219</f>
        <v/>
      </c>
      <c r="Y219">
        <f>IF(W219=0,0,X219/W219)</f>
        <v/>
      </c>
      <c r="Z219">
        <f>C219-B219</f>
        <v/>
      </c>
      <c r="AA219">
        <f>TEXT(B219,"mmmm")</f>
        <v/>
      </c>
      <c r="AB219">
        <f>YEAR(B219)</f>
        <v/>
      </c>
      <c r="AC219">
        <f>IF(OR(P219&lt;0,P219&gt;0.5,C219&lt;B219),"INVALID","CLEAN")</f>
        <v/>
      </c>
    </row>
    <row r="220">
      <c r="A220" s="12" t="inlineStr">
        <is>
          <t>ORD-2025-10219</t>
        </is>
      </c>
      <c r="B220" s="12" t="inlineStr">
        <is>
          <t>26 Feb 2025</t>
        </is>
      </c>
      <c r="C220" s="12" t="inlineStr">
        <is>
          <t>27-02-2025</t>
        </is>
      </c>
      <c r="D220" s="12" t="inlineStr">
        <is>
          <t>CUST-8270</t>
        </is>
      </c>
      <c r="E220" s="12" t="inlineStr">
        <is>
          <t>Priya Menon</t>
        </is>
      </c>
      <c r="F220" s="12" t="inlineStr">
        <is>
          <t>Corporate</t>
        </is>
      </c>
      <c r="G220" s="12" t="inlineStr">
        <is>
          <t>West</t>
        </is>
      </c>
      <c r="H220" s="12" t="inlineStr">
        <is>
          <t>Gujarat</t>
        </is>
      </c>
      <c r="I220" s="12" t="inlineStr">
        <is>
          <t>Ahmedabad</t>
        </is>
      </c>
      <c r="J220" s="12" t="inlineStr">
        <is>
          <t>Furniture</t>
        </is>
      </c>
      <c r="K220" s="12" t="inlineStr">
        <is>
          <t>Bookcases</t>
        </is>
      </c>
      <c r="L220" s="12" t="inlineStr">
        <is>
          <t>Classic Bookcases 139</t>
        </is>
      </c>
      <c r="M220" s="12" t="inlineStr">
        <is>
          <t>Standard Class</t>
        </is>
      </c>
      <c r="N220" s="12" t="n">
        <v>5</v>
      </c>
      <c r="O220" s="12" t="n">
        <v>258.28</v>
      </c>
      <c r="P220" s="12" t="n">
        <v>0</v>
      </c>
      <c r="Q220" s="12" t="n">
        <v>1291.4</v>
      </c>
      <c r="R220" s="12" t="n">
        <v>756.9299999999999</v>
      </c>
      <c r="S220" s="12" t="n">
        <v>534.47</v>
      </c>
      <c r="T220" s="12" t="inlineStr">
        <is>
          <t>Paid</t>
        </is>
      </c>
      <c r="U220" s="12" t="inlineStr">
        <is>
          <t>Completed</t>
        </is>
      </c>
      <c r="V220">
        <f>IF(OR(P220="",P220&lt;0,P220&gt;0.5),0,P220)</f>
        <v/>
      </c>
      <c r="W220">
        <f>N220*O220*(1-V220)</f>
        <v/>
      </c>
      <c r="X220">
        <f>W220-R220</f>
        <v/>
      </c>
      <c r="Y220">
        <f>IF(W220=0,0,X220/W220)</f>
        <v/>
      </c>
      <c r="Z220">
        <f>C220-B220</f>
        <v/>
      </c>
      <c r="AA220">
        <f>TEXT(B220,"mmmm")</f>
        <v/>
      </c>
      <c r="AB220">
        <f>YEAR(B220)</f>
        <v/>
      </c>
      <c r="AC220">
        <f>IF(OR(P220&lt;0,P220&gt;0.5,C220&lt;B220),"INVALID","CLEAN")</f>
        <v/>
      </c>
    </row>
    <row r="221">
      <c r="A221" s="12" t="inlineStr">
        <is>
          <t>ORD-2024-10220</t>
        </is>
      </c>
      <c r="B221" s="12" t="inlineStr">
        <is>
          <t>2024-06-18</t>
        </is>
      </c>
      <c r="C221" s="12" t="inlineStr">
        <is>
          <t>06/19/2024</t>
        </is>
      </c>
      <c r="D221" s="12" t="inlineStr">
        <is>
          <t>CUST-1472</t>
        </is>
      </c>
      <c r="E221" s="12" t="inlineStr">
        <is>
          <t>Rahul Verma</t>
        </is>
      </c>
      <c r="F221" s="12" t="inlineStr">
        <is>
          <t>Consumer</t>
        </is>
      </c>
      <c r="G221" s="12" t="inlineStr">
        <is>
          <t>East</t>
        </is>
      </c>
      <c r="H221" s="12" t="inlineStr">
        <is>
          <t>Bihar</t>
        </is>
      </c>
      <c r="I221" s="12" t="inlineStr">
        <is>
          <t>Patna</t>
        </is>
      </c>
      <c r="J221" s="12" t="inlineStr">
        <is>
          <t>Technology</t>
        </is>
      </c>
      <c r="K221" s="12" t="inlineStr">
        <is>
          <t>Machines</t>
        </is>
      </c>
      <c r="L221" s="12" t="inlineStr">
        <is>
          <t>Elite Machines 290</t>
        </is>
      </c>
      <c r="M221" s="12" t="inlineStr">
        <is>
          <t>First Class</t>
        </is>
      </c>
      <c r="N221" s="12" t="n">
        <v>2</v>
      </c>
      <c r="O221" s="12" t="n">
        <v>121.49</v>
      </c>
      <c r="P221" s="12" t="inlineStr">
        <is>
          <t>85%</t>
        </is>
      </c>
      <c r="Q221" s="12" t="n">
        <v>242.98</v>
      </c>
      <c r="R221" s="12" t="n">
        <v>161.42</v>
      </c>
      <c r="S221" s="12" t="n">
        <v>81.56</v>
      </c>
      <c r="T221" s="12" t="inlineStr">
        <is>
          <t>Paid</t>
        </is>
      </c>
      <c r="U221" s="12" t="inlineStr">
        <is>
          <t>Completed</t>
        </is>
      </c>
      <c r="V221">
        <f>IF(OR(P221="",P221&lt;0,P221&gt;0.5),0,P221)</f>
        <v/>
      </c>
      <c r="W221">
        <f>N221*O221*(1-V221)</f>
        <v/>
      </c>
      <c r="X221">
        <f>W221-R221</f>
        <v/>
      </c>
      <c r="Y221">
        <f>IF(W221=0,0,X221/W221)</f>
        <v/>
      </c>
      <c r="Z221">
        <f>C221-B221</f>
        <v/>
      </c>
      <c r="AA221">
        <f>TEXT(B221,"mmmm")</f>
        <v/>
      </c>
      <c r="AB221">
        <f>YEAR(B221)</f>
        <v/>
      </c>
      <c r="AC221">
        <f>IF(OR(P221&lt;0,P221&gt;0.5,C221&lt;B221),"INVALID","CLEAN")</f>
        <v/>
      </c>
    </row>
    <row r="222">
      <c r="A222" s="12" t="inlineStr">
        <is>
          <t>ORD-2024-10221</t>
        </is>
      </c>
      <c r="B222" s="12" t="inlineStr">
        <is>
          <t>09/03/2024</t>
        </is>
      </c>
      <c r="C222" s="12" t="inlineStr">
        <is>
          <t>09/03/2024</t>
        </is>
      </c>
      <c r="D222" s="12" t="inlineStr">
        <is>
          <t>CUST-1031</t>
        </is>
      </c>
      <c r="E222" s="12" t="inlineStr">
        <is>
          <t>Sneha Kapoor</t>
        </is>
      </c>
      <c r="F222" s="12" t="inlineStr">
        <is>
          <t>Consumer</t>
        </is>
      </c>
      <c r="G222" s="12" t="inlineStr">
        <is>
          <t>South</t>
        </is>
      </c>
      <c r="H222" s="12" t="inlineStr">
        <is>
          <t>Kerala</t>
        </is>
      </c>
      <c r="I222" s="12" t="inlineStr">
        <is>
          <t>Kochi</t>
        </is>
      </c>
      <c r="J222" s="12" t="inlineStr">
        <is>
          <t>Office Supplies</t>
        </is>
      </c>
      <c r="K222" s="12" t="inlineStr">
        <is>
          <t>Storage</t>
        </is>
      </c>
      <c r="L222" s="12" t="inlineStr">
        <is>
          <t>Elite Storage 925</t>
        </is>
      </c>
      <c r="M222" s="12" t="inlineStr">
        <is>
          <t>First Class</t>
        </is>
      </c>
      <c r="N222" s="12" t="n">
        <v>4</v>
      </c>
      <c r="O222" s="12" t="n">
        <v>2810.17</v>
      </c>
      <c r="P222" s="12" t="n">
        <v>0.15</v>
      </c>
      <c r="Q222" s="12" t="n">
        <v>9554.58</v>
      </c>
      <c r="R222" s="12" t="n">
        <v>6068.47</v>
      </c>
      <c r="S222" s="12" t="n">
        <v>3486.11</v>
      </c>
      <c r="T222" s="12" t="inlineStr">
        <is>
          <t>Refunded</t>
        </is>
      </c>
      <c r="U222" s="12" t="inlineStr">
        <is>
          <t>Cancelled</t>
        </is>
      </c>
      <c r="V222">
        <f>IF(OR(P222="",P222&lt;0,P222&gt;0.5),0,P222)</f>
        <v/>
      </c>
      <c r="W222">
        <f>N222*O222*(1-V222)</f>
        <v/>
      </c>
      <c r="X222">
        <f>W222-R222</f>
        <v/>
      </c>
      <c r="Y222">
        <f>IF(W222=0,0,X222/W222)</f>
        <v/>
      </c>
      <c r="Z222">
        <f>C222-B222</f>
        <v/>
      </c>
      <c r="AA222">
        <f>TEXT(B222,"mmmm")</f>
        <v/>
      </c>
      <c r="AB222">
        <f>YEAR(B222)</f>
        <v/>
      </c>
      <c r="AC222">
        <f>IF(OR(P222&lt;0,P222&gt;0.5,C222&lt;B222),"INVALID","CLEAN")</f>
        <v/>
      </c>
    </row>
    <row r="223">
      <c r="A223" s="12" t="inlineStr">
        <is>
          <t>ORD-2025-10222</t>
        </is>
      </c>
      <c r="B223" s="12" t="inlineStr">
        <is>
          <t>12-01-2025</t>
        </is>
      </c>
      <c r="C223" s="12" t="inlineStr">
        <is>
          <t>2025-01-15</t>
        </is>
      </c>
      <c r="D223" s="12" t="inlineStr">
        <is>
          <t>CUST-2495</t>
        </is>
      </c>
      <c r="E223" s="12" t="inlineStr">
        <is>
          <t>Mira Das</t>
        </is>
      </c>
      <c r="F223" s="12" t="inlineStr">
        <is>
          <t>Corporate</t>
        </is>
      </c>
      <c r="G223" s="12" t="inlineStr">
        <is>
          <t>South</t>
        </is>
      </c>
      <c r="H223" s="12" t="inlineStr">
        <is>
          <t>Karnataka</t>
        </is>
      </c>
      <c r="I223" s="12" t="inlineStr">
        <is>
          <t>Bengaluru</t>
        </is>
      </c>
      <c r="J223" s="12" t="inlineStr">
        <is>
          <t>Furniture</t>
        </is>
      </c>
      <c r="K223" s="12" t="inlineStr">
        <is>
          <t>Chairs</t>
        </is>
      </c>
      <c r="L223" s="12" t="inlineStr">
        <is>
          <t>Classic Chairs 231</t>
        </is>
      </c>
      <c r="M223" s="12" t="inlineStr">
        <is>
          <t>Same Day</t>
        </is>
      </c>
      <c r="N223" s="12" t="n">
        <v>4</v>
      </c>
      <c r="O223" s="12" t="n">
        <v>1531.53</v>
      </c>
      <c r="P223" s="12" t="n">
        <v>0.2</v>
      </c>
      <c r="Q223" s="12" t="n">
        <v>4900.9</v>
      </c>
      <c r="R223" s="12" t="n">
        <v>3552.69</v>
      </c>
      <c r="S223" s="12" t="n">
        <v>1348.21</v>
      </c>
      <c r="T223" s="12" t="inlineStr">
        <is>
          <t>Paid</t>
        </is>
      </c>
      <c r="U223" s="12" t="inlineStr">
        <is>
          <t>Completed</t>
        </is>
      </c>
      <c r="V223">
        <f>IF(OR(P223="",P223&lt;0,P223&gt;0.5),0,P223)</f>
        <v/>
      </c>
      <c r="W223">
        <f>N223*O223*(1-V223)</f>
        <v/>
      </c>
      <c r="X223">
        <f>W223-R223</f>
        <v/>
      </c>
      <c r="Y223">
        <f>IF(W223=0,0,X223/W223)</f>
        <v/>
      </c>
      <c r="Z223">
        <f>C223-B223</f>
        <v/>
      </c>
      <c r="AA223">
        <f>TEXT(B223,"mmmm")</f>
        <v/>
      </c>
      <c r="AB223">
        <f>YEAR(B223)</f>
        <v/>
      </c>
      <c r="AC223">
        <f>IF(OR(P223&lt;0,P223&gt;0.5,C223&lt;B223),"INVALID","CLEAN")</f>
        <v/>
      </c>
    </row>
    <row r="224">
      <c r="A224" s="12" t="inlineStr">
        <is>
          <t>ORD-2025-10223</t>
        </is>
      </c>
      <c r="B224" s="12" t="inlineStr">
        <is>
          <t>04/29/2025</t>
        </is>
      </c>
      <c r="C224" s="12" t="inlineStr">
        <is>
          <t>02 May 2025</t>
        </is>
      </c>
      <c r="D224" s="12" t="inlineStr">
        <is>
          <t>CUST-4583</t>
        </is>
      </c>
      <c r="E224" s="12" t="inlineStr">
        <is>
          <t>Vikram Iyer</t>
        </is>
      </c>
      <c r="F224" s="12" t="inlineStr">
        <is>
          <t>Small Business</t>
        </is>
      </c>
      <c r="G224" s="12" t="inlineStr">
        <is>
          <t>West</t>
        </is>
      </c>
      <c r="H224" s="12" t="inlineStr">
        <is>
          <t>Goa</t>
        </is>
      </c>
      <c r="I224" s="12" t="inlineStr">
        <is>
          <t>Panaji</t>
        </is>
      </c>
      <c r="J224" s="12" t="inlineStr">
        <is>
          <t>Office Supplies</t>
        </is>
      </c>
      <c r="K224" s="12" t="inlineStr">
        <is>
          <t>Storage</t>
        </is>
      </c>
      <c r="L224" s="12" t="inlineStr">
        <is>
          <t>Prime Storage 818</t>
        </is>
      </c>
      <c r="M224" s="12" t="inlineStr">
        <is>
          <t>First Class</t>
        </is>
      </c>
      <c r="N224" s="12" t="n">
        <v>6</v>
      </c>
      <c r="O224" s="12" t="n">
        <v>4308.09</v>
      </c>
      <c r="P224" s="12" t="n">
        <v>0</v>
      </c>
      <c r="Q224" s="12" t="n">
        <v>25848.54</v>
      </c>
      <c r="R224" s="12" t="n">
        <v>17729.09</v>
      </c>
      <c r="S224" s="12" t="n">
        <v>8119.45</v>
      </c>
      <c r="T224" s="12" t="inlineStr">
        <is>
          <t>Paid</t>
        </is>
      </c>
      <c r="U224" s="12" t="inlineStr">
        <is>
          <t>Completed</t>
        </is>
      </c>
      <c r="V224">
        <f>IF(OR(P224="",P224&lt;0,P224&gt;0.5),0,P224)</f>
        <v/>
      </c>
      <c r="W224">
        <f>N224*O224*(1-V224)</f>
        <v/>
      </c>
      <c r="X224">
        <f>W224-R224</f>
        <v/>
      </c>
      <c r="Y224">
        <f>IF(W224=0,0,X224/W224)</f>
        <v/>
      </c>
      <c r="Z224">
        <f>C224-B224</f>
        <v/>
      </c>
      <c r="AA224">
        <f>TEXT(B224,"mmmm")</f>
        <v/>
      </c>
      <c r="AB224">
        <f>YEAR(B224)</f>
        <v/>
      </c>
      <c r="AC224">
        <f>IF(OR(P224&lt;0,P224&gt;0.5,C224&lt;B224),"INVALID","CLEAN")</f>
        <v/>
      </c>
    </row>
    <row r="225">
      <c r="A225" s="12" t="inlineStr">
        <is>
          <t>ORD-2025-10224</t>
        </is>
      </c>
      <c r="B225" s="12" t="inlineStr">
        <is>
          <t>19-02-2025</t>
        </is>
      </c>
      <c r="C225" s="12" t="inlineStr">
        <is>
          <t>02/26/2025</t>
        </is>
      </c>
      <c r="D225" s="12" t="inlineStr">
        <is>
          <t>CUST-5319</t>
        </is>
      </c>
      <c r="E225" s="12" t="inlineStr">
        <is>
          <t>Mira Das</t>
        </is>
      </c>
      <c r="F225" s="12" t="inlineStr">
        <is>
          <t>Corporate</t>
        </is>
      </c>
      <c r="G225" s="12" t="inlineStr">
        <is>
          <t>West</t>
        </is>
      </c>
      <c r="H225" s="12" t="inlineStr">
        <is>
          <t>Maharashtra</t>
        </is>
      </c>
      <c r="I225" s="12" t="inlineStr">
        <is>
          <t>Mumbai</t>
        </is>
      </c>
      <c r="J225" s="12" t="inlineStr">
        <is>
          <t>Furniture</t>
        </is>
      </c>
      <c r="K225" s="12" t="inlineStr">
        <is>
          <t>Furnishings</t>
        </is>
      </c>
      <c r="L225" s="12" t="inlineStr">
        <is>
          <t>Elite Furnishings 449</t>
        </is>
      </c>
      <c r="M225" s="12" t="inlineStr">
        <is>
          <t>First Class</t>
        </is>
      </c>
      <c r="N225" s="12" t="n">
        <v>3</v>
      </c>
      <c r="O225" s="12" t="n">
        <v>490.3</v>
      </c>
      <c r="P225" s="12" t="n">
        <v>0.2</v>
      </c>
      <c r="Q225" s="12" t="n">
        <v>1176.72</v>
      </c>
      <c r="R225" s="12" t="n">
        <v>654.33</v>
      </c>
      <c r="S225" s="12" t="n">
        <v>522.39</v>
      </c>
      <c r="T225" s="12" t="inlineStr">
        <is>
          <t>Pending</t>
        </is>
      </c>
      <c r="U225" s="12" t="inlineStr">
        <is>
          <t>Returned</t>
        </is>
      </c>
      <c r="V225">
        <f>IF(OR(P225="",P225&lt;0,P225&gt;0.5),0,P225)</f>
        <v/>
      </c>
      <c r="W225">
        <f>N225*O225*(1-V225)</f>
        <v/>
      </c>
      <c r="X225">
        <f>W225-R225</f>
        <v/>
      </c>
      <c r="Y225">
        <f>IF(W225=0,0,X225/W225)</f>
        <v/>
      </c>
      <c r="Z225">
        <f>C225-B225</f>
        <v/>
      </c>
      <c r="AA225">
        <f>TEXT(B225,"mmmm")</f>
        <v/>
      </c>
      <c r="AB225">
        <f>YEAR(B225)</f>
        <v/>
      </c>
      <c r="AC225">
        <f>IF(OR(P225&lt;0,P225&gt;0.5,C225&lt;B225),"INVALID","CLEAN")</f>
        <v/>
      </c>
    </row>
    <row r="226">
      <c r="A226" s="12" t="inlineStr">
        <is>
          <t>ORD-2025-10225</t>
        </is>
      </c>
      <c r="B226" s="12" t="inlineStr">
        <is>
          <t>10/02/2025</t>
        </is>
      </c>
      <c r="C226" s="12" t="inlineStr">
        <is>
          <t>08 Oct 2025</t>
        </is>
      </c>
      <c r="D226" s="12" t="inlineStr">
        <is>
          <t>CUST-9871</t>
        </is>
      </c>
      <c r="E226" s="12" t="inlineStr">
        <is>
          <t>Isha Nair</t>
        </is>
      </c>
      <c r="F226" s="12" t="inlineStr">
        <is>
          <t>Small Business</t>
        </is>
      </c>
      <c r="G226" s="12" t="inlineStr">
        <is>
          <t>North</t>
        </is>
      </c>
      <c r="H226" s="12" t="inlineStr">
        <is>
          <t>Punjab</t>
        </is>
      </c>
      <c r="I226" s="12" t="inlineStr">
        <is>
          <t>Ludhiana</t>
        </is>
      </c>
      <c r="J226" s="12" t="inlineStr">
        <is>
          <t>Furniture</t>
        </is>
      </c>
      <c r="K226" s="12" t="inlineStr">
        <is>
          <t>Furnishings</t>
        </is>
      </c>
      <c r="L226" s="12" t="inlineStr">
        <is>
          <t>Classic Furnishings 109</t>
        </is>
      </c>
      <c r="M226" s="12" t="inlineStr">
        <is>
          <t>Standard Class</t>
        </is>
      </c>
      <c r="N226" s="12" t="n">
        <v>4</v>
      </c>
      <c r="O226" s="12" t="n">
        <v>3944.64</v>
      </c>
      <c r="P226" s="12" t="n">
        <v>0.25</v>
      </c>
      <c r="Q226" s="12" t="n">
        <v>11833.92</v>
      </c>
      <c r="R226" s="12" t="n">
        <v>6682.92</v>
      </c>
      <c r="S226" s="12" t="n">
        <v>5151</v>
      </c>
      <c r="T226" s="12" t="inlineStr">
        <is>
          <t>Paid</t>
        </is>
      </c>
      <c r="U226" s="12" t="inlineStr">
        <is>
          <t>Cancelled</t>
        </is>
      </c>
      <c r="V226">
        <f>IF(OR(P226="",P226&lt;0,P226&gt;0.5),0,P226)</f>
        <v/>
      </c>
      <c r="W226">
        <f>N226*O226*(1-V226)</f>
        <v/>
      </c>
      <c r="X226">
        <f>W226-R226</f>
        <v/>
      </c>
      <c r="Y226">
        <f>IF(W226=0,0,X226/W226)</f>
        <v/>
      </c>
      <c r="Z226">
        <f>C226-B226</f>
        <v/>
      </c>
      <c r="AA226">
        <f>TEXT(B226,"mmmm")</f>
        <v/>
      </c>
      <c r="AB226">
        <f>YEAR(B226)</f>
        <v/>
      </c>
      <c r="AC226">
        <f>IF(OR(P226&lt;0,P226&gt;0.5,C226&lt;B226),"INVALID","CLEAN")</f>
        <v/>
      </c>
    </row>
    <row r="227">
      <c r="A227" s="12" t="inlineStr">
        <is>
          <t>ORD-2024-10226</t>
        </is>
      </c>
      <c r="B227" s="12" t="inlineStr">
        <is>
          <t>02 Sep 2024</t>
        </is>
      </c>
      <c r="C227" s="12" t="inlineStr">
        <is>
          <t>2024-09-10</t>
        </is>
      </c>
      <c r="D227" s="12" t="inlineStr">
        <is>
          <t>CUST-1266</t>
        </is>
      </c>
      <c r="E227" s="12" t="inlineStr">
        <is>
          <t>Mira Das</t>
        </is>
      </c>
      <c r="F227" s="12" t="inlineStr">
        <is>
          <t>Corporate</t>
        </is>
      </c>
      <c r="G227" s="12" t="inlineStr">
        <is>
          <t>West</t>
        </is>
      </c>
      <c r="H227" s="12" t="inlineStr">
        <is>
          <t>Goa</t>
        </is>
      </c>
      <c r="I227" s="12" t="inlineStr">
        <is>
          <t>Panaji</t>
        </is>
      </c>
      <c r="J227" s="12" t="inlineStr">
        <is>
          <t>Technology</t>
        </is>
      </c>
      <c r="K227" s="12" t="inlineStr">
        <is>
          <t>Phones</t>
        </is>
      </c>
      <c r="L227" s="12" t="inlineStr">
        <is>
          <t>Classic Phones 548</t>
        </is>
      </c>
      <c r="M227" s="12" t="inlineStr">
        <is>
          <t>Standard Class</t>
        </is>
      </c>
      <c r="N227" s="12" t="n">
        <v>6</v>
      </c>
      <c r="O227" s="12" t="n">
        <v>1032.47</v>
      </c>
      <c r="P227" s="12" t="n">
        <v>0.15</v>
      </c>
      <c r="Q227" s="12" t="n">
        <v>5265.6</v>
      </c>
      <c r="R227" s="12" t="n">
        <v>4293.11</v>
      </c>
      <c r="S227" s="12" t="n">
        <v>787.5700000000001</v>
      </c>
      <c r="T227" s="12" t="inlineStr">
        <is>
          <t>Paid</t>
        </is>
      </c>
      <c r="U227" s="12" t="inlineStr">
        <is>
          <t>Completed</t>
        </is>
      </c>
      <c r="V227">
        <f>IF(OR(P227="",P227&lt;0,P227&gt;0.5),0,P227)</f>
        <v/>
      </c>
      <c r="W227">
        <f>N227*O227*(1-V227)</f>
        <v/>
      </c>
      <c r="X227">
        <f>W227-R227</f>
        <v/>
      </c>
      <c r="Y227">
        <f>IF(W227=0,0,X227/W227)</f>
        <v/>
      </c>
      <c r="Z227">
        <f>C227-B227</f>
        <v/>
      </c>
      <c r="AA227">
        <f>TEXT(B227,"mmmm")</f>
        <v/>
      </c>
      <c r="AB227">
        <f>YEAR(B227)</f>
        <v/>
      </c>
      <c r="AC227">
        <f>IF(OR(P227&lt;0,P227&gt;0.5,C227&lt;B227),"INVALID","CLEAN")</f>
        <v/>
      </c>
    </row>
    <row r="228">
      <c r="A228" s="12" t="inlineStr">
        <is>
          <t>ORD-2025-10227</t>
        </is>
      </c>
      <c r="B228" s="12" t="inlineStr">
        <is>
          <t>10-04-2025</t>
        </is>
      </c>
      <c r="C228" s="12" t="inlineStr">
        <is>
          <t>15 Apr 2025</t>
        </is>
      </c>
      <c r="D228" s="12" t="inlineStr">
        <is>
          <t>CUST-2545</t>
        </is>
      </c>
      <c r="E228" s="12" t="inlineStr">
        <is>
          <t>Diya Patel</t>
        </is>
      </c>
      <c r="F228" s="12" t="inlineStr">
        <is>
          <t>Home Office</t>
        </is>
      </c>
      <c r="G228" s="12" t="n"/>
      <c r="H228" s="12" t="inlineStr">
        <is>
          <t>Kerala</t>
        </is>
      </c>
      <c r="I228" s="12" t="inlineStr">
        <is>
          <t>Kochi</t>
        </is>
      </c>
      <c r="J228" s="12" t="inlineStr">
        <is>
          <t>Technology</t>
        </is>
      </c>
      <c r="K228" s="12" t="inlineStr">
        <is>
          <t>Copiers</t>
        </is>
      </c>
      <c r="L228" s="12" t="inlineStr">
        <is>
          <t>Max Copiers 363</t>
        </is>
      </c>
      <c r="M228" s="12" t="inlineStr">
        <is>
          <t>Same Day</t>
        </is>
      </c>
      <c r="N228" s="12" t="n">
        <v>1</v>
      </c>
      <c r="O228" s="12" t="n">
        <v>2208.27</v>
      </c>
      <c r="P228" s="12" t="n">
        <v>0.1</v>
      </c>
      <c r="Q228" s="12" t="n">
        <v>1987.44</v>
      </c>
      <c r="R228" s="12" t="n">
        <v>1110.23</v>
      </c>
      <c r="S228" s="12" t="n">
        <v>877.21</v>
      </c>
      <c r="T228" s="12" t="inlineStr">
        <is>
          <t>Paid</t>
        </is>
      </c>
      <c r="U228" s="12" t="inlineStr">
        <is>
          <t>Completed</t>
        </is>
      </c>
      <c r="V228">
        <f>IF(OR(P228="",P228&lt;0,P228&gt;0.5),0,P228)</f>
        <v/>
      </c>
      <c r="W228">
        <f>N228*O228*(1-V228)</f>
        <v/>
      </c>
      <c r="X228">
        <f>W228-R228</f>
        <v/>
      </c>
      <c r="Y228">
        <f>IF(W228=0,0,X228/W228)</f>
        <v/>
      </c>
      <c r="Z228">
        <f>C228-B228</f>
        <v/>
      </c>
      <c r="AA228">
        <f>TEXT(B228,"mmmm")</f>
        <v/>
      </c>
      <c r="AB228">
        <f>YEAR(B228)</f>
        <v/>
      </c>
      <c r="AC228">
        <f>IF(OR(P228&lt;0,P228&gt;0.5,C228&lt;B228),"INVALID","CLEAN")</f>
        <v/>
      </c>
    </row>
    <row r="229">
      <c r="A229" s="12" t="inlineStr">
        <is>
          <t>ORD-2024-10228</t>
        </is>
      </c>
      <c r="B229" s="12" t="inlineStr">
        <is>
          <t>2024-07-05</t>
        </is>
      </c>
      <c r="C229" s="12" t="inlineStr">
        <is>
          <t>12 Jul 2024</t>
        </is>
      </c>
      <c r="D229" s="12" t="inlineStr">
        <is>
          <t>CUST-2819</t>
        </is>
      </c>
      <c r="E229" s="12" t="inlineStr">
        <is>
          <t>Ananya Rao</t>
        </is>
      </c>
      <c r="F229" s="12" t="inlineStr">
        <is>
          <t>SMALL BUSINESS</t>
        </is>
      </c>
      <c r="G229" s="12" t="inlineStr">
        <is>
          <t>West</t>
        </is>
      </c>
      <c r="H229" s="12" t="inlineStr">
        <is>
          <t>Goa</t>
        </is>
      </c>
      <c r="I229" s="12" t="inlineStr">
        <is>
          <t>Panaji</t>
        </is>
      </c>
      <c r="J229" s="12" t="inlineStr">
        <is>
          <t>Office Supplies</t>
        </is>
      </c>
      <c r="K229" s="12" t="inlineStr">
        <is>
          <t>Binders</t>
        </is>
      </c>
      <c r="L229" s="12" t="inlineStr">
        <is>
          <t>Prime Binders 507</t>
        </is>
      </c>
      <c r="M229" s="12" t="inlineStr">
        <is>
          <t>First Class</t>
        </is>
      </c>
      <c r="N229" s="12" t="n">
        <v>3</v>
      </c>
      <c r="O229" s="12" t="n">
        <v>577.75</v>
      </c>
      <c r="P229" s="12" t="n">
        <v>0.15</v>
      </c>
      <c r="Q229" s="12" t="n">
        <v>1473.26</v>
      </c>
      <c r="R229" s="12" t="n">
        <v>899.86</v>
      </c>
      <c r="S229" s="12" t="n">
        <v>573.4</v>
      </c>
      <c r="T229" s="12" t="inlineStr">
        <is>
          <t>Paid</t>
        </is>
      </c>
      <c r="U229" s="12" t="inlineStr">
        <is>
          <t>Completed</t>
        </is>
      </c>
      <c r="V229">
        <f>IF(OR(P229="",P229&lt;0,P229&gt;0.5),0,P229)</f>
        <v/>
      </c>
      <c r="W229">
        <f>N229*O229*(1-V229)</f>
        <v/>
      </c>
      <c r="X229">
        <f>W229-R229</f>
        <v/>
      </c>
      <c r="Y229">
        <f>IF(W229=0,0,X229/W229)</f>
        <v/>
      </c>
      <c r="Z229">
        <f>C229-B229</f>
        <v/>
      </c>
      <c r="AA229">
        <f>TEXT(B229,"mmmm")</f>
        <v/>
      </c>
      <c r="AB229">
        <f>YEAR(B229)</f>
        <v/>
      </c>
      <c r="AC229">
        <f>IF(OR(P229&lt;0,P229&gt;0.5,C229&lt;B229),"INVALID","CLEAN")</f>
        <v/>
      </c>
    </row>
    <row r="230">
      <c r="A230" s="12" t="inlineStr">
        <is>
          <t>ORD-2024-10229</t>
        </is>
      </c>
      <c r="B230" s="12" t="inlineStr">
        <is>
          <t>24-04-2024</t>
        </is>
      </c>
      <c r="C230" s="12" t="inlineStr">
        <is>
          <t>28 Apr 2024</t>
        </is>
      </c>
      <c r="D230" s="12" t="inlineStr">
        <is>
          <t>CUST-1076</t>
        </is>
      </c>
      <c r="E230" s="12" t="inlineStr">
        <is>
          <t>Karan Malhotra</t>
        </is>
      </c>
      <c r="F230" s="12" t="inlineStr">
        <is>
          <t>Small Business</t>
        </is>
      </c>
      <c r="G230" s="12" t="inlineStr">
        <is>
          <t>South</t>
        </is>
      </c>
      <c r="H230" s="12" t="inlineStr">
        <is>
          <t>Telangana</t>
        </is>
      </c>
      <c r="I230" s="12" t="inlineStr">
        <is>
          <t>Hyderabad</t>
        </is>
      </c>
      <c r="J230" s="12" t="inlineStr">
        <is>
          <t>Office Supplies</t>
        </is>
      </c>
      <c r="K230" s="12" t="inlineStr">
        <is>
          <t>Labels</t>
        </is>
      </c>
      <c r="L230" s="12" t="inlineStr">
        <is>
          <t>Smart Labels 914</t>
        </is>
      </c>
      <c r="M230" s="12" t="inlineStr">
        <is>
          <t>Second Class</t>
        </is>
      </c>
      <c r="N230" s="12" t="n">
        <v>1</v>
      </c>
      <c r="O230" s="12" t="n">
        <v>3194.37</v>
      </c>
      <c r="P230" s="12" t="n">
        <v>0.15</v>
      </c>
      <c r="Q230" s="12" t="n">
        <v>2715.21</v>
      </c>
      <c r="R230" s="12" t="n">
        <v>1551.55</v>
      </c>
      <c r="S230" s="12" t="n">
        <v>1163.66</v>
      </c>
      <c r="T230" s="12" t="inlineStr">
        <is>
          <t>Paid</t>
        </is>
      </c>
      <c r="U230" s="12" t="inlineStr">
        <is>
          <t>Completed</t>
        </is>
      </c>
      <c r="V230">
        <f>IF(OR(P230="",P230&lt;0,P230&gt;0.5),0,P230)</f>
        <v/>
      </c>
      <c r="W230">
        <f>N230*O230*(1-V230)</f>
        <v/>
      </c>
      <c r="X230">
        <f>W230-R230</f>
        <v/>
      </c>
      <c r="Y230">
        <f>IF(W230=0,0,X230/W230)</f>
        <v/>
      </c>
      <c r="Z230">
        <f>C230-B230</f>
        <v/>
      </c>
      <c r="AA230">
        <f>TEXT(B230,"mmmm")</f>
        <v/>
      </c>
      <c r="AB230">
        <f>YEAR(B230)</f>
        <v/>
      </c>
      <c r="AC230">
        <f>IF(OR(P230&lt;0,P230&gt;0.5,C230&lt;B230),"INVALID","CLEAN")</f>
        <v/>
      </c>
    </row>
    <row r="231">
      <c r="A231" s="12" t="inlineStr">
        <is>
          <t>ORD-2025-10230</t>
        </is>
      </c>
      <c r="B231" s="12" t="inlineStr">
        <is>
          <t>2025-06-28</t>
        </is>
      </c>
      <c r="C231" s="12" t="inlineStr">
        <is>
          <t>07/04/2025</t>
        </is>
      </c>
      <c r="D231" s="12" t="inlineStr">
        <is>
          <t>CUST-1943</t>
        </is>
      </c>
      <c r="E231" s="12" t="inlineStr">
        <is>
          <t>Rohan Mehta</t>
        </is>
      </c>
      <c r="F231" s="12" t="inlineStr">
        <is>
          <t>Consumer</t>
        </is>
      </c>
      <c r="G231" s="12" t="inlineStr">
        <is>
          <t>South</t>
        </is>
      </c>
      <c r="H231" s="12" t="inlineStr">
        <is>
          <t>Telangana</t>
        </is>
      </c>
      <c r="I231" s="12" t="inlineStr">
        <is>
          <t>Hyderabad</t>
        </is>
      </c>
      <c r="J231" s="12" t="inlineStr">
        <is>
          <t>Furniture</t>
        </is>
      </c>
      <c r="K231" s="12" t="inlineStr">
        <is>
          <t>Bookcases</t>
        </is>
      </c>
      <c r="L231" s="12" t="inlineStr">
        <is>
          <t>Smart Bookcases 662</t>
        </is>
      </c>
      <c r="M231" s="12" t="inlineStr">
        <is>
          <t>First Class</t>
        </is>
      </c>
      <c r="N231" s="12" t="n">
        <v>3</v>
      </c>
      <c r="O231" s="12" t="n">
        <v>2886.23</v>
      </c>
      <c r="P231" s="12" t="n">
        <v>0</v>
      </c>
      <c r="Q231" s="12" t="n">
        <v>8658.690000000001</v>
      </c>
      <c r="R231" s="12" t="n">
        <v>5535.94</v>
      </c>
      <c r="S231" s="12" t="n">
        <v>3122.75</v>
      </c>
      <c r="T231" s="12" t="inlineStr">
        <is>
          <t>Refunded</t>
        </is>
      </c>
      <c r="U231" s="12" t="inlineStr">
        <is>
          <t>Returned</t>
        </is>
      </c>
      <c r="V231">
        <f>IF(OR(P231="",P231&lt;0,P231&gt;0.5),0,P231)</f>
        <v/>
      </c>
      <c r="W231">
        <f>N231*O231*(1-V231)</f>
        <v/>
      </c>
      <c r="X231">
        <f>W231-R231</f>
        <v/>
      </c>
      <c r="Y231">
        <f>IF(W231=0,0,X231/W231)</f>
        <v/>
      </c>
      <c r="Z231">
        <f>C231-B231</f>
        <v/>
      </c>
      <c r="AA231">
        <f>TEXT(B231,"mmmm")</f>
        <v/>
      </c>
      <c r="AB231">
        <f>YEAR(B231)</f>
        <v/>
      </c>
      <c r="AC231">
        <f>IF(OR(P231&lt;0,P231&gt;0.5,C231&lt;B231),"INVALID","CLEAN")</f>
        <v/>
      </c>
    </row>
    <row r="232">
      <c r="A232" s="12" t="inlineStr">
        <is>
          <t>ORD-2024-10231</t>
        </is>
      </c>
      <c r="B232" s="12" t="inlineStr">
        <is>
          <t>28-05-2024</t>
        </is>
      </c>
      <c r="C232" s="12" t="inlineStr">
        <is>
          <t>03-06-2024</t>
        </is>
      </c>
      <c r="D232" s="12" t="inlineStr">
        <is>
          <t>CUST-3434</t>
        </is>
      </c>
      <c r="E232" s="12" t="inlineStr">
        <is>
          <t>Neha Gupta</t>
        </is>
      </c>
      <c r="F232" s="12" t="inlineStr">
        <is>
          <t>Small Business</t>
        </is>
      </c>
      <c r="G232" s="12" t="inlineStr">
        <is>
          <t>North</t>
        </is>
      </c>
      <c r="H232" s="12" t="inlineStr">
        <is>
          <t>Rajasthan</t>
        </is>
      </c>
      <c r="I232" s="12" t="inlineStr">
        <is>
          <t>Jaipur</t>
        </is>
      </c>
      <c r="J232" s="12" t="inlineStr">
        <is>
          <t>Office Supplies</t>
        </is>
      </c>
      <c r="K232" s="12" t="inlineStr">
        <is>
          <t>Paper</t>
        </is>
      </c>
      <c r="L232" s="12" t="inlineStr">
        <is>
          <t>Eco Paper 937</t>
        </is>
      </c>
      <c r="M232" s="12" t="inlineStr">
        <is>
          <t>Standard Class</t>
        </is>
      </c>
      <c r="N232" s="12" t="n">
        <v>8</v>
      </c>
      <c r="O232" s="12" t="n">
        <v>1540.33</v>
      </c>
      <c r="P232" s="12" t="n">
        <v>0.1</v>
      </c>
      <c r="Q232" s="12" t="n">
        <v>11090.38</v>
      </c>
      <c r="R232" s="12" t="n">
        <v>8840.950000000001</v>
      </c>
      <c r="S232" s="12" t="n">
        <v>2249.43</v>
      </c>
      <c r="T232" s="12" t="inlineStr">
        <is>
          <t>Paid</t>
        </is>
      </c>
      <c r="U232" s="12" t="inlineStr">
        <is>
          <t>Completed</t>
        </is>
      </c>
      <c r="V232">
        <f>IF(OR(P232="",P232&lt;0,P232&gt;0.5),0,P232)</f>
        <v/>
      </c>
      <c r="W232">
        <f>N232*O232*(1-V232)</f>
        <v/>
      </c>
      <c r="X232">
        <f>W232-R232</f>
        <v/>
      </c>
      <c r="Y232">
        <f>IF(W232=0,0,X232/W232)</f>
        <v/>
      </c>
      <c r="Z232">
        <f>C232-B232</f>
        <v/>
      </c>
      <c r="AA232">
        <f>TEXT(B232,"mmmm")</f>
        <v/>
      </c>
      <c r="AB232">
        <f>YEAR(B232)</f>
        <v/>
      </c>
      <c r="AC232">
        <f>IF(OR(P232&lt;0,P232&gt;0.5,C232&lt;B232),"INVALID","CLEAN")</f>
        <v/>
      </c>
    </row>
    <row r="233">
      <c r="A233" s="12" t="inlineStr">
        <is>
          <t>ORD-2024-10232</t>
        </is>
      </c>
      <c r="B233" s="12" t="inlineStr">
        <is>
          <t>2024-05-02</t>
        </is>
      </c>
      <c r="C233" s="12" t="inlineStr">
        <is>
          <t>05/02/2024</t>
        </is>
      </c>
      <c r="D233" s="12" t="inlineStr">
        <is>
          <t>CUST-9139</t>
        </is>
      </c>
      <c r="E233" s="12" t="inlineStr">
        <is>
          <t>Ananya Rao</t>
        </is>
      </c>
      <c r="F233" s="12" t="inlineStr">
        <is>
          <t>Corporate</t>
        </is>
      </c>
      <c r="G233" s="12" t="inlineStr">
        <is>
          <t>North</t>
        </is>
      </c>
      <c r="H233" s="12" t="inlineStr">
        <is>
          <t>Rajasthan</t>
        </is>
      </c>
      <c r="I233" s="12" t="inlineStr">
        <is>
          <t>Jaipur</t>
        </is>
      </c>
      <c r="J233" s="12" t="inlineStr">
        <is>
          <t>Office  Supplies</t>
        </is>
      </c>
      <c r="K233" s="12" t="inlineStr">
        <is>
          <t>Labels</t>
        </is>
      </c>
      <c r="L233" s="12" t="inlineStr">
        <is>
          <t>Max Labels 370</t>
        </is>
      </c>
      <c r="M233" s="12" t="inlineStr">
        <is>
          <t>First Class</t>
        </is>
      </c>
      <c r="N233" s="12" t="n">
        <v>7</v>
      </c>
      <c r="O233" s="12" t="n">
        <v>2183.38</v>
      </c>
      <c r="P233" s="12" t="n">
        <v>0.25</v>
      </c>
      <c r="Q233" s="12" t="n">
        <v>11462.74</v>
      </c>
      <c r="R233" s="12" t="n">
        <v>7163.54</v>
      </c>
      <c r="S233" s="12" t="n">
        <v>4299.2</v>
      </c>
      <c r="T233" s="12" t="inlineStr">
        <is>
          <t>Refunded</t>
        </is>
      </c>
      <c r="U233" s="12" t="inlineStr">
        <is>
          <t>Cancelled</t>
        </is>
      </c>
      <c r="V233">
        <f>IF(OR(P233="",P233&lt;0,P233&gt;0.5),0,P233)</f>
        <v/>
      </c>
      <c r="W233">
        <f>N233*O233*(1-V233)</f>
        <v/>
      </c>
      <c r="X233">
        <f>W233-R233</f>
        <v/>
      </c>
      <c r="Y233">
        <f>IF(W233=0,0,X233/W233)</f>
        <v/>
      </c>
      <c r="Z233">
        <f>C233-B233</f>
        <v/>
      </c>
      <c r="AA233">
        <f>TEXT(B233,"mmmm")</f>
        <v/>
      </c>
      <c r="AB233">
        <f>YEAR(B233)</f>
        <v/>
      </c>
      <c r="AC233">
        <f>IF(OR(P233&lt;0,P233&gt;0.5,C233&lt;B233),"INVALID","CLEAN")</f>
        <v/>
      </c>
    </row>
    <row r="234">
      <c r="A234" s="12" t="inlineStr">
        <is>
          <t>ORD-2025-10233</t>
        </is>
      </c>
      <c r="B234" s="12" t="inlineStr">
        <is>
          <t>2025-06-04</t>
        </is>
      </c>
      <c r="C234" s="12" t="inlineStr">
        <is>
          <t>2025-06-10</t>
        </is>
      </c>
      <c r="D234" s="12" t="inlineStr">
        <is>
          <t>CUST-5341</t>
        </is>
      </c>
      <c r="E234" s="12" t="inlineStr">
        <is>
          <t>Rahul Verma</t>
        </is>
      </c>
      <c r="F234" s="12" t="inlineStr">
        <is>
          <t>Consumer</t>
        </is>
      </c>
      <c r="G234" s="12" t="inlineStr">
        <is>
          <t>South</t>
        </is>
      </c>
      <c r="H234" s="12" t="inlineStr">
        <is>
          <t>Andhra Pradesh</t>
        </is>
      </c>
      <c r="I234" s="12" t="inlineStr">
        <is>
          <t>Vijayawada</t>
        </is>
      </c>
      <c r="J234" s="12" t="inlineStr">
        <is>
          <t>Technology</t>
        </is>
      </c>
      <c r="K234" s="12" t="inlineStr">
        <is>
          <t>Phones</t>
        </is>
      </c>
      <c r="L234" s="12" t="inlineStr">
        <is>
          <t>Classic Phones 530</t>
        </is>
      </c>
      <c r="M234" s="12" t="inlineStr">
        <is>
          <t>Standard Class</t>
        </is>
      </c>
      <c r="N234" s="12" t="n">
        <v>4</v>
      </c>
      <c r="O234" s="12" t="n">
        <v>223.37</v>
      </c>
      <c r="P234" s="12" t="n">
        <v>0.25</v>
      </c>
      <c r="Q234" s="12" t="n">
        <v>670.11</v>
      </c>
      <c r="R234" s="12" t="n">
        <v>559.5700000000001</v>
      </c>
      <c r="S234" s="12" t="n">
        <v>110.54</v>
      </c>
      <c r="T234" s="12" t="inlineStr">
        <is>
          <t>Paid</t>
        </is>
      </c>
      <c r="U234" s="12" t="inlineStr">
        <is>
          <t>Completed</t>
        </is>
      </c>
      <c r="V234">
        <f>IF(OR(P234="",P234&lt;0,P234&gt;0.5),0,P234)</f>
        <v/>
      </c>
      <c r="W234">
        <f>N234*O234*(1-V234)</f>
        <v/>
      </c>
      <c r="X234">
        <f>W234-R234</f>
        <v/>
      </c>
      <c r="Y234">
        <f>IF(W234=0,0,X234/W234)</f>
        <v/>
      </c>
      <c r="Z234">
        <f>C234-B234</f>
        <v/>
      </c>
      <c r="AA234">
        <f>TEXT(B234,"mmmm")</f>
        <v/>
      </c>
      <c r="AB234">
        <f>YEAR(B234)</f>
        <v/>
      </c>
      <c r="AC234">
        <f>IF(OR(P234&lt;0,P234&gt;0.5,C234&lt;B234),"INVALID","CLEAN")</f>
        <v/>
      </c>
    </row>
    <row r="235">
      <c r="A235" s="12" t="inlineStr">
        <is>
          <t>ORD-2024-10234</t>
        </is>
      </c>
      <c r="B235" s="12" t="inlineStr">
        <is>
          <t>14-10-2024</t>
        </is>
      </c>
      <c r="C235" s="12" t="inlineStr">
        <is>
          <t>10/14/2024</t>
        </is>
      </c>
      <c r="D235" s="12" t="inlineStr">
        <is>
          <t>CUST-3710</t>
        </is>
      </c>
      <c r="E235" s="12" t="inlineStr">
        <is>
          <t>Vikram Iyer</t>
        </is>
      </c>
      <c r="F235" s="12" t="inlineStr">
        <is>
          <t>Corporate</t>
        </is>
      </c>
      <c r="G235" s="12" t="inlineStr">
        <is>
          <t>South</t>
        </is>
      </c>
      <c r="H235" s="12" t="inlineStr">
        <is>
          <t>Karnataka</t>
        </is>
      </c>
      <c r="I235" s="12" t="inlineStr">
        <is>
          <t>Bengaluru</t>
        </is>
      </c>
      <c r="J235" s="12" t="inlineStr">
        <is>
          <t>Furniture</t>
        </is>
      </c>
      <c r="K235" s="12" t="inlineStr">
        <is>
          <t>Bookcases</t>
        </is>
      </c>
      <c r="L235" s="12" t="inlineStr">
        <is>
          <t>Smart Bookcases 328</t>
        </is>
      </c>
      <c r="M235" s="12" t="n"/>
      <c r="N235" s="12" t="n">
        <v>8</v>
      </c>
      <c r="O235" s="12" t="n">
        <v>3904.59</v>
      </c>
      <c r="P235" s="12" t="n">
        <v>0</v>
      </c>
      <c r="Q235" s="12" t="n">
        <v>31236.72</v>
      </c>
      <c r="R235" s="12" t="n">
        <v>26377.7</v>
      </c>
      <c r="S235" s="12" t="n">
        <v>4859.02</v>
      </c>
      <c r="T235" s="12" t="inlineStr">
        <is>
          <t>Paid</t>
        </is>
      </c>
      <c r="U235" s="12" t="inlineStr">
        <is>
          <t>Completed</t>
        </is>
      </c>
      <c r="V235">
        <f>IF(OR(P235="",P235&lt;0,P235&gt;0.5),0,P235)</f>
        <v/>
      </c>
      <c r="W235">
        <f>N235*O235*(1-V235)</f>
        <v/>
      </c>
      <c r="X235">
        <f>W235-R235</f>
        <v/>
      </c>
      <c r="Y235">
        <f>IF(W235=0,0,X235/W235)</f>
        <v/>
      </c>
      <c r="Z235">
        <f>C235-B235</f>
        <v/>
      </c>
      <c r="AA235">
        <f>TEXT(B235,"mmmm")</f>
        <v/>
      </c>
      <c r="AB235">
        <f>YEAR(B235)</f>
        <v/>
      </c>
      <c r="AC235">
        <f>IF(OR(P235&lt;0,P235&gt;0.5,C235&lt;B235),"INVALID","CLEAN")</f>
        <v/>
      </c>
    </row>
    <row r="236">
      <c r="A236" s="12" t="inlineStr">
        <is>
          <t>ORD-2024-10235</t>
        </is>
      </c>
      <c r="B236" s="12" t="inlineStr">
        <is>
          <t>09/02/2024</t>
        </is>
      </c>
      <c r="C236" s="12" t="inlineStr">
        <is>
          <t>03 Sep 2024</t>
        </is>
      </c>
      <c r="D236" s="12" t="inlineStr">
        <is>
          <t>CUST-9754</t>
        </is>
      </c>
      <c r="E236" s="12" t="inlineStr">
        <is>
          <t>Kabir Singh</t>
        </is>
      </c>
      <c r="F236" s="12" t="inlineStr">
        <is>
          <t>Home Office</t>
        </is>
      </c>
      <c r="G236" s="12" t="inlineStr">
        <is>
          <t>North</t>
        </is>
      </c>
      <c r="H236" s="12" t="inlineStr">
        <is>
          <t>Delhi</t>
        </is>
      </c>
      <c r="I236" s="12" t="inlineStr">
        <is>
          <t>New Delhi</t>
        </is>
      </c>
      <c r="J236" s="12" t="inlineStr">
        <is>
          <t>Furniture</t>
        </is>
      </c>
      <c r="K236" s="12" t="inlineStr">
        <is>
          <t>Furnishings</t>
        </is>
      </c>
      <c r="L236" s="12" t="inlineStr">
        <is>
          <t>Eco Furnishings 981</t>
        </is>
      </c>
      <c r="M236" s="12" t="inlineStr">
        <is>
          <t>First Class</t>
        </is>
      </c>
      <c r="N236" s="12" t="n">
        <v>9</v>
      </c>
      <c r="O236" s="12" t="n">
        <v>1353.61</v>
      </c>
      <c r="P236" s="12" t="n">
        <v>0.1</v>
      </c>
      <c r="Q236" s="12" t="n">
        <v>10964.24</v>
      </c>
      <c r="R236" s="12" t="n">
        <v>9262.469999999999</v>
      </c>
      <c r="S236" s="12" t="n">
        <v>1701.77</v>
      </c>
      <c r="T236" s="12" t="inlineStr">
        <is>
          <t>Paid</t>
        </is>
      </c>
      <c r="U236" s="12" t="inlineStr">
        <is>
          <t>Completed</t>
        </is>
      </c>
      <c r="V236">
        <f>IF(OR(P236="",P236&lt;0,P236&gt;0.5),0,P236)</f>
        <v/>
      </c>
      <c r="W236">
        <f>N236*O236*(1-V236)</f>
        <v/>
      </c>
      <c r="X236">
        <f>W236-R236</f>
        <v/>
      </c>
      <c r="Y236">
        <f>IF(W236=0,0,X236/W236)</f>
        <v/>
      </c>
      <c r="Z236">
        <f>C236-B236</f>
        <v/>
      </c>
      <c r="AA236">
        <f>TEXT(B236,"mmmm")</f>
        <v/>
      </c>
      <c r="AB236">
        <f>YEAR(B236)</f>
        <v/>
      </c>
      <c r="AC236">
        <f>IF(OR(P236&lt;0,P236&gt;0.5,C236&lt;B236),"INVALID","CLEAN")</f>
        <v/>
      </c>
    </row>
    <row r="237">
      <c r="A237" s="12" t="inlineStr">
        <is>
          <t>ORD-2024-10236</t>
        </is>
      </c>
      <c r="B237" s="12" t="inlineStr">
        <is>
          <t>11/02/2024</t>
        </is>
      </c>
      <c r="C237" s="12" t="inlineStr">
        <is>
          <t>11/03/2024</t>
        </is>
      </c>
      <c r="D237" s="12" t="inlineStr">
        <is>
          <t>CUST-6256</t>
        </is>
      </c>
      <c r="E237" s="12" t="inlineStr">
        <is>
          <t>Rahul Verma</t>
        </is>
      </c>
      <c r="F237" s="12" t="inlineStr">
        <is>
          <t>Small Business</t>
        </is>
      </c>
      <c r="G237" s="12" t="inlineStr">
        <is>
          <t>West</t>
        </is>
      </c>
      <c r="H237" s="12" t="inlineStr">
        <is>
          <t>Rajasthan</t>
        </is>
      </c>
      <c r="I237" s="12" t="inlineStr">
        <is>
          <t>Udaipur</t>
        </is>
      </c>
      <c r="J237" s="12" t="inlineStr">
        <is>
          <t>Office Supplies</t>
        </is>
      </c>
      <c r="K237" s="12" t="inlineStr">
        <is>
          <t>Storage</t>
        </is>
      </c>
      <c r="L237" s="12" t="inlineStr">
        <is>
          <t>Basic Storage 195</t>
        </is>
      </c>
      <c r="M237" s="12" t="inlineStr">
        <is>
          <t>Standard Class</t>
        </is>
      </c>
      <c r="N237" s="12" t="n">
        <v>6</v>
      </c>
      <c r="O237" s="12" t="n">
        <v>2671.29</v>
      </c>
      <c r="P237" s="12" t="n">
        <v>0.05</v>
      </c>
      <c r="Q237" s="12" t="n">
        <v>15226.35</v>
      </c>
      <c r="R237" s="12" t="n">
        <v>11145.28</v>
      </c>
      <c r="S237" s="12" t="n">
        <v>4081.07</v>
      </c>
      <c r="T237" s="12" t="inlineStr">
        <is>
          <t>Paid</t>
        </is>
      </c>
      <c r="U237" s="12" t="inlineStr">
        <is>
          <t>Completed</t>
        </is>
      </c>
      <c r="V237">
        <f>IF(OR(P237="",P237&lt;0,P237&gt;0.5),0,P237)</f>
        <v/>
      </c>
      <c r="W237">
        <f>N237*O237*(1-V237)</f>
        <v/>
      </c>
      <c r="X237">
        <f>W237-R237</f>
        <v/>
      </c>
      <c r="Y237">
        <f>IF(W237=0,0,X237/W237)</f>
        <v/>
      </c>
      <c r="Z237">
        <f>C237-B237</f>
        <v/>
      </c>
      <c r="AA237">
        <f>TEXT(B237,"mmmm")</f>
        <v/>
      </c>
      <c r="AB237">
        <f>YEAR(B237)</f>
        <v/>
      </c>
      <c r="AC237">
        <f>IF(OR(P237&lt;0,P237&gt;0.5,C237&lt;B237),"INVALID","CLEAN")</f>
        <v/>
      </c>
    </row>
    <row r="238">
      <c r="A238" s="12" t="inlineStr">
        <is>
          <t>ORD-2024-10237</t>
        </is>
      </c>
      <c r="B238" s="12" t="inlineStr">
        <is>
          <t>10/14/2024</t>
        </is>
      </c>
      <c r="C238" s="12" t="inlineStr">
        <is>
          <t>21 Oct 2024</t>
        </is>
      </c>
      <c r="D238" s="12" t="inlineStr">
        <is>
          <t>CUST-7113</t>
        </is>
      </c>
      <c r="E238" s="12" t="inlineStr">
        <is>
          <t>Priya Menon</t>
        </is>
      </c>
      <c r="F238" s="12" t="inlineStr">
        <is>
          <t>Corporate</t>
        </is>
      </c>
      <c r="G238" s="12" t="inlineStr">
        <is>
          <t>North</t>
        </is>
      </c>
      <c r="H238" s="12" t="inlineStr">
        <is>
          <t>Uttar Pradesh</t>
        </is>
      </c>
      <c r="I238" s="12" t="inlineStr">
        <is>
          <t>Noida</t>
        </is>
      </c>
      <c r="J238" s="12" t="inlineStr">
        <is>
          <t>Furniture</t>
        </is>
      </c>
      <c r="K238" s="12" t="inlineStr">
        <is>
          <t>Bookcases</t>
        </is>
      </c>
      <c r="L238" s="12" t="inlineStr">
        <is>
          <t>Elite Bookcases 907</t>
        </is>
      </c>
      <c r="M238" s="12" t="inlineStr">
        <is>
          <t>First Class</t>
        </is>
      </c>
      <c r="N238" s="12" t="n">
        <v>6</v>
      </c>
      <c r="O238" s="12" t="n">
        <v>4062.78</v>
      </c>
      <c r="P238" s="12" t="n">
        <v>0</v>
      </c>
      <c r="Q238" s="12" t="n">
        <v>24376.68</v>
      </c>
      <c r="R238" s="12" t="n">
        <v>18533.39</v>
      </c>
      <c r="S238" s="12" t="n">
        <v>5843.29</v>
      </c>
      <c r="T238" s="12" t="inlineStr">
        <is>
          <t>Paid</t>
        </is>
      </c>
      <c r="U238" s="12" t="inlineStr">
        <is>
          <t>Completed</t>
        </is>
      </c>
      <c r="V238">
        <f>IF(OR(P238="",P238&lt;0,P238&gt;0.5),0,P238)</f>
        <v/>
      </c>
      <c r="W238">
        <f>N238*O238*(1-V238)</f>
        <v/>
      </c>
      <c r="X238">
        <f>W238-R238</f>
        <v/>
      </c>
      <c r="Y238">
        <f>IF(W238=0,0,X238/W238)</f>
        <v/>
      </c>
      <c r="Z238">
        <f>C238-B238</f>
        <v/>
      </c>
      <c r="AA238">
        <f>TEXT(B238,"mmmm")</f>
        <v/>
      </c>
      <c r="AB238">
        <f>YEAR(B238)</f>
        <v/>
      </c>
      <c r="AC238">
        <f>IF(OR(P238&lt;0,P238&gt;0.5,C238&lt;B238),"INVALID","CLEAN")</f>
        <v/>
      </c>
    </row>
    <row r="239">
      <c r="A239" s="12" t="inlineStr">
        <is>
          <t>ORD-2024-10238</t>
        </is>
      </c>
      <c r="B239" s="12" t="inlineStr">
        <is>
          <t>2024-08-27</t>
        </is>
      </c>
      <c r="C239" s="12" t="inlineStr">
        <is>
          <t>2024-08-27</t>
        </is>
      </c>
      <c r="D239" s="12" t="inlineStr">
        <is>
          <t>CUST-3827</t>
        </is>
      </c>
      <c r="E239" s="12" t="inlineStr">
        <is>
          <t>Mira Das</t>
        </is>
      </c>
      <c r="F239" s="12" t="inlineStr">
        <is>
          <t>Consumer</t>
        </is>
      </c>
      <c r="G239" s="12" t="inlineStr">
        <is>
          <t>North</t>
        </is>
      </c>
      <c r="H239" s="12" t="inlineStr">
        <is>
          <t>Haryana</t>
        </is>
      </c>
      <c r="I239" s="12" t="inlineStr">
        <is>
          <t>Gurugram</t>
        </is>
      </c>
      <c r="J239" s="12" t="inlineStr">
        <is>
          <t>Technology</t>
        </is>
      </c>
      <c r="K239" s="12" t="inlineStr">
        <is>
          <t>Copiers</t>
        </is>
      </c>
      <c r="L239" s="12" t="inlineStr">
        <is>
          <t>Smart Copiers 471</t>
        </is>
      </c>
      <c r="M239" s="12" t="inlineStr">
        <is>
          <t>Standard Class</t>
        </is>
      </c>
      <c r="N239" s="12" t="n">
        <v>9</v>
      </c>
      <c r="O239" s="12" t="n">
        <v>2330.3</v>
      </c>
      <c r="P239" s="12" t="n">
        <v>0</v>
      </c>
      <c r="Q239" s="12" t="n">
        <v>20972.7</v>
      </c>
      <c r="R239" s="12" t="n">
        <v>13504.88</v>
      </c>
      <c r="S239" s="12" t="n">
        <v>7467.82</v>
      </c>
      <c r="T239" s="12" t="inlineStr">
        <is>
          <t>Paid</t>
        </is>
      </c>
      <c r="U239" s="12" t="inlineStr">
        <is>
          <t>Completed</t>
        </is>
      </c>
      <c r="V239">
        <f>IF(OR(P239="",P239&lt;0,P239&gt;0.5),0,P239)</f>
        <v/>
      </c>
      <c r="W239">
        <f>N239*O239*(1-V239)</f>
        <v/>
      </c>
      <c r="X239">
        <f>W239-R239</f>
        <v/>
      </c>
      <c r="Y239">
        <f>IF(W239=0,0,X239/W239)</f>
        <v/>
      </c>
      <c r="Z239">
        <f>C239-B239</f>
        <v/>
      </c>
      <c r="AA239">
        <f>TEXT(B239,"mmmm")</f>
        <v/>
      </c>
      <c r="AB239">
        <f>YEAR(B239)</f>
        <v/>
      </c>
      <c r="AC239">
        <f>IF(OR(P239&lt;0,P239&gt;0.5,C239&lt;B239),"INVALID","CLEAN")</f>
        <v/>
      </c>
    </row>
    <row r="240">
      <c r="A240" s="12" t="inlineStr">
        <is>
          <t>ORD-2024-10239</t>
        </is>
      </c>
      <c r="B240" s="12" t="inlineStr">
        <is>
          <t>01/12/2024</t>
        </is>
      </c>
      <c r="C240" s="12" t="inlineStr">
        <is>
          <t>01/17/2024</t>
        </is>
      </c>
      <c r="D240" s="12" t="inlineStr">
        <is>
          <t>CUST-2375</t>
        </is>
      </c>
      <c r="E240" s="12" t="inlineStr">
        <is>
          <t>Arjun Bose</t>
        </is>
      </c>
      <c r="F240" s="12" t="inlineStr">
        <is>
          <t>Consumer</t>
        </is>
      </c>
      <c r="G240" s="12" t="inlineStr">
        <is>
          <t>South</t>
        </is>
      </c>
      <c r="H240" s="12" t="inlineStr">
        <is>
          <t>Andhra Pradesh</t>
        </is>
      </c>
      <c r="I240" s="12" t="inlineStr">
        <is>
          <t>Vijayawada</t>
        </is>
      </c>
      <c r="J240" s="12" t="inlineStr">
        <is>
          <t>Office Supplies</t>
        </is>
      </c>
      <c r="K240" s="12" t="inlineStr">
        <is>
          <t>Storage</t>
        </is>
      </c>
      <c r="L240" s="12" t="inlineStr">
        <is>
          <t>Prime Storage 625</t>
        </is>
      </c>
      <c r="M240" s="12" t="inlineStr">
        <is>
          <t>First Class</t>
        </is>
      </c>
      <c r="N240" s="12" t="n">
        <v>7</v>
      </c>
      <c r="O240" s="12" t="n">
        <v>4005.05</v>
      </c>
      <c r="P240" s="12" t="n">
        <v>0.55</v>
      </c>
      <c r="Q240" s="12" t="n">
        <v>26633.58</v>
      </c>
      <c r="R240" s="12" t="n">
        <v>18838.75</v>
      </c>
      <c r="S240" s="12" t="n">
        <v>7794.83</v>
      </c>
      <c r="T240" s="12" t="inlineStr">
        <is>
          <t>Paid</t>
        </is>
      </c>
      <c r="U240" s="12" t="inlineStr">
        <is>
          <t>Completed</t>
        </is>
      </c>
      <c r="V240">
        <f>IF(OR(P240="",P240&lt;0,P240&gt;0.5),0,P240)</f>
        <v/>
      </c>
      <c r="W240">
        <f>N240*O240*(1-V240)</f>
        <v/>
      </c>
      <c r="X240">
        <f>W240-R240</f>
        <v/>
      </c>
      <c r="Y240">
        <f>IF(W240=0,0,X240/W240)</f>
        <v/>
      </c>
      <c r="Z240">
        <f>C240-B240</f>
        <v/>
      </c>
      <c r="AA240">
        <f>TEXT(B240,"mmmm")</f>
        <v/>
      </c>
      <c r="AB240">
        <f>YEAR(B240)</f>
        <v/>
      </c>
      <c r="AC240">
        <f>IF(OR(P240&lt;0,P240&gt;0.5,C240&lt;B240),"INVALID","CLEAN")</f>
        <v/>
      </c>
    </row>
    <row r="241">
      <c r="A241" s="12" t="inlineStr">
        <is>
          <t>ORD-2024-10240</t>
        </is>
      </c>
      <c r="B241" s="12" t="inlineStr">
        <is>
          <t>21-09-2024</t>
        </is>
      </c>
      <c r="C241" s="12" t="inlineStr">
        <is>
          <t>09/21/2024</t>
        </is>
      </c>
      <c r="D241" s="12" t="inlineStr">
        <is>
          <t>CUST-2233</t>
        </is>
      </c>
      <c r="E241" s="12" t="inlineStr">
        <is>
          <t>Kabir Singh</t>
        </is>
      </c>
      <c r="F241" s="12" t="inlineStr">
        <is>
          <t>Corporate</t>
        </is>
      </c>
      <c r="G241" s="12" t="inlineStr">
        <is>
          <t>South</t>
        </is>
      </c>
      <c r="H241" s="12" t="inlineStr">
        <is>
          <t>Karnataka</t>
        </is>
      </c>
      <c r="I241" s="12" t="inlineStr">
        <is>
          <t>Bengaluru</t>
        </is>
      </c>
      <c r="J241" s="12" t="inlineStr">
        <is>
          <t>Technology</t>
        </is>
      </c>
      <c r="K241" s="12" t="inlineStr">
        <is>
          <t>Machines</t>
        </is>
      </c>
      <c r="L241" s="12" t="inlineStr">
        <is>
          <t>Smart Machines 801</t>
        </is>
      </c>
      <c r="M241" s="12" t="inlineStr">
        <is>
          <t>First Class</t>
        </is>
      </c>
      <c r="N241" s="12" t="n">
        <v>2</v>
      </c>
      <c r="O241" s="12" t="n">
        <v>1960.06</v>
      </c>
      <c r="P241" s="12" t="n">
        <v>0.2</v>
      </c>
      <c r="Q241" s="12" t="n">
        <v>3136.1</v>
      </c>
      <c r="R241" s="12" t="n">
        <v>2279.49</v>
      </c>
      <c r="S241" s="12" t="n">
        <v>856.61</v>
      </c>
      <c r="T241" s="12" t="inlineStr">
        <is>
          <t>Paid</t>
        </is>
      </c>
      <c r="U241" s="12" t="inlineStr">
        <is>
          <t>Completed</t>
        </is>
      </c>
      <c r="V241">
        <f>IF(OR(P241="",P241&lt;0,P241&gt;0.5),0,P241)</f>
        <v/>
      </c>
      <c r="W241">
        <f>N241*O241*(1-V241)</f>
        <v/>
      </c>
      <c r="X241">
        <f>W241-R241</f>
        <v/>
      </c>
      <c r="Y241">
        <f>IF(W241=0,0,X241/W241)</f>
        <v/>
      </c>
      <c r="Z241">
        <f>C241-B241</f>
        <v/>
      </c>
      <c r="AA241">
        <f>TEXT(B241,"mmmm")</f>
        <v/>
      </c>
      <c r="AB241">
        <f>YEAR(B241)</f>
        <v/>
      </c>
      <c r="AC241">
        <f>IF(OR(P241&lt;0,P241&gt;0.5,C241&lt;B241),"INVALID","CLEAN")</f>
        <v/>
      </c>
    </row>
    <row r="242">
      <c r="A242" s="12" t="inlineStr">
        <is>
          <t>ORD-2024-10241</t>
        </is>
      </c>
      <c r="B242" s="12" t="inlineStr">
        <is>
          <t>17 Dec 2024</t>
        </is>
      </c>
      <c r="C242" s="12" t="inlineStr">
        <is>
          <t>23-12-2024</t>
        </is>
      </c>
      <c r="D242" s="12" t="inlineStr">
        <is>
          <t>CUST-9778</t>
        </is>
      </c>
      <c r="E242" s="12" t="inlineStr">
        <is>
          <t>Aarav Sharma</t>
        </is>
      </c>
      <c r="F242" s="12" t="inlineStr">
        <is>
          <t>Corporate</t>
        </is>
      </c>
      <c r="G242" s="12" t="inlineStr">
        <is>
          <t>South</t>
        </is>
      </c>
      <c r="H242" s="12" t="inlineStr">
        <is>
          <t>Telangana</t>
        </is>
      </c>
      <c r="I242" s="12" t="inlineStr">
        <is>
          <t>Hyderabad</t>
        </is>
      </c>
      <c r="J242" s="12" t="inlineStr">
        <is>
          <t>Office Supplies</t>
        </is>
      </c>
      <c r="K242" s="12" t="inlineStr">
        <is>
          <t>Binders</t>
        </is>
      </c>
      <c r="L242" s="12" t="inlineStr">
        <is>
          <t>Max Binders 170</t>
        </is>
      </c>
      <c r="M242" s="12" t="inlineStr">
        <is>
          <t>First Class</t>
        </is>
      </c>
      <c r="N242" s="12" t="n">
        <v>9</v>
      </c>
      <c r="O242" s="12" t="n">
        <v>2315.1</v>
      </c>
      <c r="P242" s="12" t="n">
        <v>0</v>
      </c>
      <c r="Q242" s="12" t="n">
        <v>20835.9</v>
      </c>
      <c r="R242" s="12" t="n">
        <v>13928.19</v>
      </c>
      <c r="S242" s="12" t="n">
        <v>6907.71</v>
      </c>
      <c r="T242" s="12" t="inlineStr">
        <is>
          <t>Paid</t>
        </is>
      </c>
      <c r="U242" s="12" t="inlineStr">
        <is>
          <t>Completed</t>
        </is>
      </c>
      <c r="V242">
        <f>IF(OR(P242="",P242&lt;0,P242&gt;0.5),0,P242)</f>
        <v/>
      </c>
      <c r="W242">
        <f>N242*O242*(1-V242)</f>
        <v/>
      </c>
      <c r="X242">
        <f>W242-R242</f>
        <v/>
      </c>
      <c r="Y242">
        <f>IF(W242=0,0,X242/W242)</f>
        <v/>
      </c>
      <c r="Z242">
        <f>C242-B242</f>
        <v/>
      </c>
      <c r="AA242">
        <f>TEXT(B242,"mmmm")</f>
        <v/>
      </c>
      <c r="AB242">
        <f>YEAR(B242)</f>
        <v/>
      </c>
      <c r="AC242">
        <f>IF(OR(P242&lt;0,P242&gt;0.5,C242&lt;B242),"INVALID","CLEAN")</f>
        <v/>
      </c>
    </row>
    <row r="243">
      <c r="A243" s="12" t="inlineStr">
        <is>
          <t>ORD-2025-10242</t>
        </is>
      </c>
      <c r="B243" s="12" t="inlineStr">
        <is>
          <t>07/06/2025</t>
        </is>
      </c>
      <c r="C243" s="12" t="inlineStr">
        <is>
          <t>06-07-2025</t>
        </is>
      </c>
      <c r="D243" s="12" t="inlineStr">
        <is>
          <t>CUST-6949</t>
        </is>
      </c>
      <c r="E243" s="12" t="inlineStr">
        <is>
          <t>Sneha Kapoor</t>
        </is>
      </c>
      <c r="F243" s="12" t="inlineStr">
        <is>
          <t>Corporate</t>
        </is>
      </c>
      <c r="G243" s="12" t="inlineStr">
        <is>
          <t>North</t>
        </is>
      </c>
      <c r="H243" s="12" t="inlineStr">
        <is>
          <t>Haryana</t>
        </is>
      </c>
      <c r="I243" s="12" t="inlineStr">
        <is>
          <t>Gurugram</t>
        </is>
      </c>
      <c r="J243" s="12" t="inlineStr">
        <is>
          <t>Office Supplies</t>
        </is>
      </c>
      <c r="K243" s="12" t="inlineStr">
        <is>
          <t>Storage</t>
        </is>
      </c>
      <c r="L243" s="12" t="inlineStr">
        <is>
          <t>Basic Storage 737</t>
        </is>
      </c>
      <c r="M243" s="12" t="inlineStr">
        <is>
          <t>Standard Class</t>
        </is>
      </c>
      <c r="N243" s="12" t="n">
        <v>1</v>
      </c>
      <c r="O243" s="12" t="n">
        <v>1617.2</v>
      </c>
      <c r="P243" s="12" t="n">
        <v>0.25</v>
      </c>
      <c r="Q243" s="12" t="n">
        <v>1212.9</v>
      </c>
      <c r="R243" s="12" t="n">
        <v>690.52</v>
      </c>
      <c r="S243" s="12" t="n">
        <v>522.38</v>
      </c>
      <c r="T243" s="12" t="inlineStr">
        <is>
          <t>Pending</t>
        </is>
      </c>
      <c r="U243" s="12" t="inlineStr">
        <is>
          <t>Returned</t>
        </is>
      </c>
      <c r="V243">
        <f>IF(OR(P243="",P243&lt;0,P243&gt;0.5),0,P243)</f>
        <v/>
      </c>
      <c r="W243">
        <f>N243*O243*(1-V243)</f>
        <v/>
      </c>
      <c r="X243">
        <f>W243-R243</f>
        <v/>
      </c>
      <c r="Y243">
        <f>IF(W243=0,0,X243/W243)</f>
        <v/>
      </c>
      <c r="Z243">
        <f>C243-B243</f>
        <v/>
      </c>
      <c r="AA243">
        <f>TEXT(B243,"mmmm")</f>
        <v/>
      </c>
      <c r="AB243">
        <f>YEAR(B243)</f>
        <v/>
      </c>
      <c r="AC243">
        <f>IF(OR(P243&lt;0,P243&gt;0.5,C243&lt;B243),"INVALID","CLEAN")</f>
        <v/>
      </c>
    </row>
    <row r="244">
      <c r="A244" s="12" t="inlineStr">
        <is>
          <t>ORD-2025-10243</t>
        </is>
      </c>
      <c r="B244" s="12" t="inlineStr">
        <is>
          <t>07 Feb 2025</t>
        </is>
      </c>
      <c r="C244" s="12" t="inlineStr">
        <is>
          <t>2025-02-07</t>
        </is>
      </c>
      <c r="D244" s="12" t="inlineStr">
        <is>
          <t>CUST-3430</t>
        </is>
      </c>
      <c r="E244" s="12" t="inlineStr">
        <is>
          <t>Arjun Bose</t>
        </is>
      </c>
      <c r="F244" s="12" t="inlineStr">
        <is>
          <t>Consumer</t>
        </is>
      </c>
      <c r="G244" s="12" t="inlineStr">
        <is>
          <t>North</t>
        </is>
      </c>
      <c r="H244" s="12" t="inlineStr">
        <is>
          <t>Uttar Pradesh</t>
        </is>
      </c>
      <c r="I244" s="12" t="inlineStr">
        <is>
          <t>Noida</t>
        </is>
      </c>
      <c r="J244" s="12" t="inlineStr">
        <is>
          <t>Office Supplies</t>
        </is>
      </c>
      <c r="K244" s="12" t="inlineStr">
        <is>
          <t>Art</t>
        </is>
      </c>
      <c r="L244" s="12" t="inlineStr">
        <is>
          <t>Classic Art 126</t>
        </is>
      </c>
      <c r="M244" s="12" t="inlineStr">
        <is>
          <t>Second Class</t>
        </is>
      </c>
      <c r="N244" s="12" t="n">
        <v>3</v>
      </c>
      <c r="O244" s="12" t="n">
        <v>1999.24</v>
      </c>
      <c r="P244" s="12" t="n">
        <v>0.05</v>
      </c>
      <c r="Q244" s="12" t="n">
        <v>5697.83</v>
      </c>
      <c r="R244" s="12" t="n">
        <v>4251.5</v>
      </c>
      <c r="S244" s="12" t="n">
        <v>1446.33</v>
      </c>
      <c r="T244" s="12" t="inlineStr">
        <is>
          <t>Paid</t>
        </is>
      </c>
      <c r="U244" s="12" t="inlineStr">
        <is>
          <t>Completed</t>
        </is>
      </c>
      <c r="V244">
        <f>IF(OR(P244="",P244&lt;0,P244&gt;0.5),0,P244)</f>
        <v/>
      </c>
      <c r="W244">
        <f>N244*O244*(1-V244)</f>
        <v/>
      </c>
      <c r="X244">
        <f>W244-R244</f>
        <v/>
      </c>
      <c r="Y244">
        <f>IF(W244=0,0,X244/W244)</f>
        <v/>
      </c>
      <c r="Z244">
        <f>C244-B244</f>
        <v/>
      </c>
      <c r="AA244">
        <f>TEXT(B244,"mmmm")</f>
        <v/>
      </c>
      <c r="AB244">
        <f>YEAR(B244)</f>
        <v/>
      </c>
      <c r="AC244">
        <f>IF(OR(P244&lt;0,P244&gt;0.5,C244&lt;B244),"INVALID","CLEAN")</f>
        <v/>
      </c>
    </row>
    <row r="245">
      <c r="A245" s="12" t="inlineStr">
        <is>
          <t>ORD-2025-10244</t>
        </is>
      </c>
      <c r="B245" s="12" t="inlineStr">
        <is>
          <t>29-07-2025</t>
        </is>
      </c>
      <c r="C245" s="12" t="inlineStr">
        <is>
          <t>02 Aug 2025</t>
        </is>
      </c>
      <c r="D245" s="12" t="inlineStr">
        <is>
          <t>CUST-6310</t>
        </is>
      </c>
      <c r="E245" s="12" t="inlineStr">
        <is>
          <t>Sneha Kapoor</t>
        </is>
      </c>
      <c r="F245" s="12" t="inlineStr">
        <is>
          <t>Small Business</t>
        </is>
      </c>
      <c r="G245" s="12" t="n"/>
      <c r="H245" s="12" t="inlineStr">
        <is>
          <t>Madhya Pradesh</t>
        </is>
      </c>
      <c r="I245" s="12" t="inlineStr">
        <is>
          <t>Indore</t>
        </is>
      </c>
      <c r="J245" s="12" t="inlineStr">
        <is>
          <t>Technology</t>
        </is>
      </c>
      <c r="K245" s="12" t="inlineStr">
        <is>
          <t>Accessories</t>
        </is>
      </c>
      <c r="L245" s="12" t="inlineStr">
        <is>
          <t>Prime Accessories 243</t>
        </is>
      </c>
      <c r="M245" s="12" t="inlineStr">
        <is>
          <t>First Class</t>
        </is>
      </c>
      <c r="N245" s="12" t="n">
        <v>1</v>
      </c>
      <c r="O245" s="12" t="n">
        <v>4499.46</v>
      </c>
      <c r="P245" s="12" t="n">
        <v>0.1</v>
      </c>
      <c r="Q245" s="12" t="n">
        <v>4049.51</v>
      </c>
      <c r="R245" s="12" t="n">
        <v>2509.2</v>
      </c>
      <c r="S245" s="12" t="n">
        <v>1540.31</v>
      </c>
      <c r="T245" s="12" t="inlineStr">
        <is>
          <t>Paid</t>
        </is>
      </c>
      <c r="U245" s="12" t="inlineStr">
        <is>
          <t>completed</t>
        </is>
      </c>
      <c r="V245">
        <f>IF(OR(P245="",P245&lt;0,P245&gt;0.5),0,P245)</f>
        <v/>
      </c>
      <c r="W245">
        <f>N245*O245*(1-V245)</f>
        <v/>
      </c>
      <c r="X245">
        <f>W245-R245</f>
        <v/>
      </c>
      <c r="Y245">
        <f>IF(W245=0,0,X245/W245)</f>
        <v/>
      </c>
      <c r="Z245">
        <f>C245-B245</f>
        <v/>
      </c>
      <c r="AA245">
        <f>TEXT(B245,"mmmm")</f>
        <v/>
      </c>
      <c r="AB245">
        <f>YEAR(B245)</f>
        <v/>
      </c>
      <c r="AC245">
        <f>IF(OR(P245&lt;0,P245&gt;0.5,C245&lt;B245),"INVALID","CLEAN")</f>
        <v/>
      </c>
    </row>
    <row r="246">
      <c r="A246" s="12" t="inlineStr">
        <is>
          <t>ORD-2024-10245</t>
        </is>
      </c>
      <c r="B246" s="12" t="inlineStr">
        <is>
          <t>08/23/2024</t>
        </is>
      </c>
      <c r="C246" s="12" t="inlineStr">
        <is>
          <t>2024-08-24</t>
        </is>
      </c>
      <c r="D246" s="12" t="inlineStr">
        <is>
          <t>CUST-6008</t>
        </is>
      </c>
      <c r="E246" s="12" t="inlineStr">
        <is>
          <t>Neha Gupta</t>
        </is>
      </c>
      <c r="F246" s="12" t="inlineStr">
        <is>
          <t>Consumer</t>
        </is>
      </c>
      <c r="G246" s="12" t="inlineStr">
        <is>
          <t>South</t>
        </is>
      </c>
      <c r="H246" s="12" t="inlineStr">
        <is>
          <t>Telangana</t>
        </is>
      </c>
      <c r="I246" s="12" t="inlineStr">
        <is>
          <t>Hyderabad</t>
        </is>
      </c>
      <c r="J246" s="12" t="inlineStr">
        <is>
          <t>Furniture</t>
        </is>
      </c>
      <c r="K246" s="12" t="inlineStr">
        <is>
          <t>Bookcases</t>
        </is>
      </c>
      <c r="L246" s="12" t="inlineStr">
        <is>
          <t>Eco Bookcases 768</t>
        </is>
      </c>
      <c r="M246" s="12" t="inlineStr">
        <is>
          <t>Same Day</t>
        </is>
      </c>
      <c r="N246" s="12" t="n">
        <v>6</v>
      </c>
      <c r="O246" s="12" t="n">
        <v>1021.89</v>
      </c>
      <c r="P246" s="12" t="n">
        <v>0</v>
      </c>
      <c r="Q246" s="12" t="n">
        <v>6131.34</v>
      </c>
      <c r="R246" s="12" t="n">
        <v>4060.88</v>
      </c>
      <c r="S246" s="12" t="n">
        <v>2070.46</v>
      </c>
      <c r="T246" s="12" t="inlineStr">
        <is>
          <t>Paid</t>
        </is>
      </c>
      <c r="U246" s="12" t="inlineStr">
        <is>
          <t>Completed</t>
        </is>
      </c>
      <c r="V246">
        <f>IF(OR(P246="",P246&lt;0,P246&gt;0.5),0,P246)</f>
        <v/>
      </c>
      <c r="W246">
        <f>N246*O246*(1-V246)</f>
        <v/>
      </c>
      <c r="X246">
        <f>W246-R246</f>
        <v/>
      </c>
      <c r="Y246">
        <f>IF(W246=0,0,X246/W246)</f>
        <v/>
      </c>
      <c r="Z246">
        <f>C246-B246</f>
        <v/>
      </c>
      <c r="AA246">
        <f>TEXT(B246,"mmmm")</f>
        <v/>
      </c>
      <c r="AB246">
        <f>YEAR(B246)</f>
        <v/>
      </c>
      <c r="AC246">
        <f>IF(OR(P246&lt;0,P246&gt;0.5,C246&lt;B246),"INVALID","CLEAN")</f>
        <v/>
      </c>
    </row>
    <row r="247">
      <c r="A247" s="12" t="inlineStr">
        <is>
          <t>ORD-2024-10246</t>
        </is>
      </c>
      <c r="B247" s="12" t="inlineStr">
        <is>
          <t>10/18/2024</t>
        </is>
      </c>
      <c r="C247" s="12" t="inlineStr">
        <is>
          <t>24-10-2024</t>
        </is>
      </c>
      <c r="D247" s="12" t="inlineStr">
        <is>
          <t>CUST-1704</t>
        </is>
      </c>
      <c r="E247" s="12" t="inlineStr">
        <is>
          <t>Neha Gupta</t>
        </is>
      </c>
      <c r="F247" s="12" t="inlineStr">
        <is>
          <t>Home Office</t>
        </is>
      </c>
      <c r="G247" s="12" t="inlineStr">
        <is>
          <t>South</t>
        </is>
      </c>
      <c r="H247" s="12" t="inlineStr">
        <is>
          <t>Kerala</t>
        </is>
      </c>
      <c r="I247" s="12" t="inlineStr">
        <is>
          <t>Kochi</t>
        </is>
      </c>
      <c r="J247" s="12" t="inlineStr">
        <is>
          <t>FURNITURE</t>
        </is>
      </c>
      <c r="K247" s="12" t="inlineStr">
        <is>
          <t>Chairs</t>
        </is>
      </c>
      <c r="L247" s="12" t="inlineStr">
        <is>
          <t>Pro Chairs 316</t>
        </is>
      </c>
      <c r="M247" s="12" t="inlineStr">
        <is>
          <t>Second Class</t>
        </is>
      </c>
      <c r="N247" s="12" t="n">
        <v>3</v>
      </c>
      <c r="O247" s="12" t="n">
        <v>3275.93</v>
      </c>
      <c r="P247" s="12" t="n">
        <v>0</v>
      </c>
      <c r="Q247" s="12" t="n">
        <v>9827.790000000001</v>
      </c>
      <c r="R247" s="12" t="n">
        <v>5478.28</v>
      </c>
      <c r="S247" s="12" t="n">
        <v>4349.51</v>
      </c>
      <c r="T247" s="12" t="inlineStr">
        <is>
          <t>Paid</t>
        </is>
      </c>
      <c r="U247" s="12" t="inlineStr">
        <is>
          <t>Completed</t>
        </is>
      </c>
      <c r="V247">
        <f>IF(OR(P247="",P247&lt;0,P247&gt;0.5),0,P247)</f>
        <v/>
      </c>
      <c r="W247">
        <f>N247*O247*(1-V247)</f>
        <v/>
      </c>
      <c r="X247">
        <f>W247-R247</f>
        <v/>
      </c>
      <c r="Y247">
        <f>IF(W247=0,0,X247/W247)</f>
        <v/>
      </c>
      <c r="Z247">
        <f>C247-B247</f>
        <v/>
      </c>
      <c r="AA247">
        <f>TEXT(B247,"mmmm")</f>
        <v/>
      </c>
      <c r="AB247">
        <f>YEAR(B247)</f>
        <v/>
      </c>
      <c r="AC247">
        <f>IF(OR(P247&lt;0,P247&gt;0.5,C247&lt;B247),"INVALID","CLEAN")</f>
        <v/>
      </c>
    </row>
    <row r="248">
      <c r="A248" s="12" t="inlineStr">
        <is>
          <t>ORD-2024-10247</t>
        </is>
      </c>
      <c r="B248" s="12" t="inlineStr">
        <is>
          <t>04 May 2024</t>
        </is>
      </c>
      <c r="C248" s="12" t="inlineStr">
        <is>
          <t>09 May 2024</t>
        </is>
      </c>
      <c r="D248" s="12" t="inlineStr">
        <is>
          <t>CUST-1827</t>
        </is>
      </c>
      <c r="E248" s="12" t="inlineStr">
        <is>
          <t>Ananya Rao</t>
        </is>
      </c>
      <c r="F248" s="12" t="inlineStr">
        <is>
          <t>Corporate</t>
        </is>
      </c>
      <c r="G248" s="12" t="inlineStr">
        <is>
          <t>North</t>
        </is>
      </c>
      <c r="H248" s="12" t="inlineStr">
        <is>
          <t>Punjab</t>
        </is>
      </c>
      <c r="I248" s="12" t="inlineStr">
        <is>
          <t>Ludhiana</t>
        </is>
      </c>
      <c r="J248" s="12" t="inlineStr">
        <is>
          <t>Technology</t>
        </is>
      </c>
      <c r="K248" s="12" t="inlineStr">
        <is>
          <t>Machines</t>
        </is>
      </c>
      <c r="L248" s="12" t="inlineStr">
        <is>
          <t>Classic Machines 819</t>
        </is>
      </c>
      <c r="M248" s="12" t="inlineStr">
        <is>
          <t>Same Day</t>
        </is>
      </c>
      <c r="N248" s="12" t="n">
        <v>3</v>
      </c>
      <c r="O248" s="12" t="n">
        <v>231.95</v>
      </c>
      <c r="P248" s="12" t="n">
        <v>0.25</v>
      </c>
      <c r="Q248" s="12" t="n">
        <v>521.89</v>
      </c>
      <c r="R248" s="12" t="n">
        <v>444.52</v>
      </c>
      <c r="S248" s="12" t="n">
        <v>77.37</v>
      </c>
      <c r="T248" s="12" t="inlineStr">
        <is>
          <t>Refunded</t>
        </is>
      </c>
      <c r="U248" s="12" t="inlineStr">
        <is>
          <t>Cancelled</t>
        </is>
      </c>
      <c r="V248">
        <f>IF(OR(P248="",P248&lt;0,P248&gt;0.5),0,P248)</f>
        <v/>
      </c>
      <c r="W248">
        <f>N248*O248*(1-V248)</f>
        <v/>
      </c>
      <c r="X248">
        <f>W248-R248</f>
        <v/>
      </c>
      <c r="Y248">
        <f>IF(W248=0,0,X248/W248)</f>
        <v/>
      </c>
      <c r="Z248">
        <f>C248-B248</f>
        <v/>
      </c>
      <c r="AA248">
        <f>TEXT(B248,"mmmm")</f>
        <v/>
      </c>
      <c r="AB248">
        <f>YEAR(B248)</f>
        <v/>
      </c>
      <c r="AC248">
        <f>IF(OR(P248&lt;0,P248&gt;0.5,C248&lt;B248),"INVALID","CLEAN")</f>
        <v/>
      </c>
    </row>
    <row r="249">
      <c r="A249" s="12" t="inlineStr">
        <is>
          <t>ORD-2024-10248</t>
        </is>
      </c>
      <c r="B249" s="12" t="inlineStr">
        <is>
          <t>07/25/2024</t>
        </is>
      </c>
      <c r="C249" s="12" t="inlineStr">
        <is>
          <t>01 Aug 2024</t>
        </is>
      </c>
      <c r="D249" s="12" t="inlineStr">
        <is>
          <t>CUST-6663</t>
        </is>
      </c>
      <c r="E249" s="12" t="inlineStr">
        <is>
          <t>Rahul Verma</t>
        </is>
      </c>
      <c r="F249" s="12" t="inlineStr">
        <is>
          <t>Corporate</t>
        </is>
      </c>
      <c r="G249" s="12" t="inlineStr">
        <is>
          <t>North</t>
        </is>
      </c>
      <c r="H249" s="12" t="inlineStr">
        <is>
          <t>Rajasthan</t>
        </is>
      </c>
      <c r="I249" s="12" t="inlineStr">
        <is>
          <t>Jaipur</t>
        </is>
      </c>
      <c r="J249" s="12" t="inlineStr">
        <is>
          <t>Technology</t>
        </is>
      </c>
      <c r="K249" s="12" t="inlineStr">
        <is>
          <t>Accessories</t>
        </is>
      </c>
      <c r="L249" s="12" t="inlineStr">
        <is>
          <t>Smart Accessories 572</t>
        </is>
      </c>
      <c r="M249" s="12" t="inlineStr">
        <is>
          <t>Second Class</t>
        </is>
      </c>
      <c r="N249" s="12" t="n">
        <v>8</v>
      </c>
      <c r="O249" s="12" t="n">
        <v>2493.4</v>
      </c>
      <c r="P249" s="12" t="n">
        <v>0.25</v>
      </c>
      <c r="Q249" s="12" t="n">
        <v>14960.4</v>
      </c>
      <c r="R249" s="12" t="n">
        <v>12500.84</v>
      </c>
      <c r="S249" s="12" t="n">
        <v>2459.56</v>
      </c>
      <c r="T249" s="12" t="inlineStr">
        <is>
          <t>Paid</t>
        </is>
      </c>
      <c r="U249" s="12" t="inlineStr">
        <is>
          <t>Completed</t>
        </is>
      </c>
      <c r="V249">
        <f>IF(OR(P249="",P249&lt;0,P249&gt;0.5),0,P249)</f>
        <v/>
      </c>
      <c r="W249">
        <f>N249*O249*(1-V249)</f>
        <v/>
      </c>
      <c r="X249">
        <f>W249-R249</f>
        <v/>
      </c>
      <c r="Y249">
        <f>IF(W249=0,0,X249/W249)</f>
        <v/>
      </c>
      <c r="Z249">
        <f>C249-B249</f>
        <v/>
      </c>
      <c r="AA249">
        <f>TEXT(B249,"mmmm")</f>
        <v/>
      </c>
      <c r="AB249">
        <f>YEAR(B249)</f>
        <v/>
      </c>
      <c r="AC249">
        <f>IF(OR(P249&lt;0,P249&gt;0.5,C249&lt;B249),"INVALID","CLEAN")</f>
        <v/>
      </c>
    </row>
    <row r="250">
      <c r="A250" s="12" t="inlineStr">
        <is>
          <t>ORD-2024-10249</t>
        </is>
      </c>
      <c r="B250" s="12" t="inlineStr">
        <is>
          <t>06/02/2024</t>
        </is>
      </c>
      <c r="C250" s="12" t="inlineStr">
        <is>
          <t>07-06-2024</t>
        </is>
      </c>
      <c r="D250" s="12" t="inlineStr">
        <is>
          <t>CUST-6278</t>
        </is>
      </c>
      <c r="E250" s="12" t="inlineStr">
        <is>
          <t>Rohan Mehta</t>
        </is>
      </c>
      <c r="F250" s="12" t="inlineStr">
        <is>
          <t>Home Office</t>
        </is>
      </c>
      <c r="G250" s="12" t="inlineStr">
        <is>
          <t>East</t>
        </is>
      </c>
      <c r="H250" s="12" t="inlineStr">
        <is>
          <t>Odisha</t>
        </is>
      </c>
      <c r="I250" s="12" t="inlineStr">
        <is>
          <t>Bhubaneswar</t>
        </is>
      </c>
      <c r="J250" s="12" t="inlineStr">
        <is>
          <t>Office Supplies</t>
        </is>
      </c>
      <c r="K250" s="12" t="inlineStr">
        <is>
          <t>Labels</t>
        </is>
      </c>
      <c r="L250" s="12" t="inlineStr">
        <is>
          <t>Basic Labels 432</t>
        </is>
      </c>
      <c r="M250" s="12" t="inlineStr">
        <is>
          <t>Second Class</t>
        </is>
      </c>
      <c r="N250" s="12" t="n">
        <v>9</v>
      </c>
      <c r="O250" s="12" t="n">
        <v>787.91</v>
      </c>
      <c r="P250" s="12" t="n">
        <v>0.15</v>
      </c>
      <c r="Q250" s="12" t="n">
        <v>6027.51</v>
      </c>
      <c r="R250" s="12" t="n">
        <v>4883.82</v>
      </c>
      <c r="S250" s="12" t="n">
        <v>1143.69</v>
      </c>
      <c r="T250" s="12" t="inlineStr">
        <is>
          <t>Paid</t>
        </is>
      </c>
      <c r="U250" s="12" t="inlineStr">
        <is>
          <t>Completed</t>
        </is>
      </c>
      <c r="V250">
        <f>IF(OR(P250="",P250&lt;0,P250&gt;0.5),0,P250)</f>
        <v/>
      </c>
      <c r="W250">
        <f>N250*O250*(1-V250)</f>
        <v/>
      </c>
      <c r="X250">
        <f>W250-R250</f>
        <v/>
      </c>
      <c r="Y250">
        <f>IF(W250=0,0,X250/W250)</f>
        <v/>
      </c>
      <c r="Z250">
        <f>C250-B250</f>
        <v/>
      </c>
      <c r="AA250">
        <f>TEXT(B250,"mmmm")</f>
        <v/>
      </c>
      <c r="AB250">
        <f>YEAR(B250)</f>
        <v/>
      </c>
      <c r="AC250">
        <f>IF(OR(P250&lt;0,P250&gt;0.5,C250&lt;B250),"INVALID","CLEAN")</f>
        <v/>
      </c>
    </row>
    <row r="251">
      <c r="A251" s="12" t="inlineStr">
        <is>
          <t>ORD-2025-10250</t>
        </is>
      </c>
      <c r="B251" s="12" t="inlineStr">
        <is>
          <t>08/01/2025</t>
        </is>
      </c>
      <c r="C251" s="12" t="inlineStr">
        <is>
          <t>08/02/2025</t>
        </is>
      </c>
      <c r="D251" s="12" t="inlineStr">
        <is>
          <t>CUST-2305</t>
        </is>
      </c>
      <c r="E251" s="12" t="inlineStr">
        <is>
          <t>Mira Das</t>
        </is>
      </c>
      <c r="F251" s="12" t="inlineStr">
        <is>
          <t>Corporate</t>
        </is>
      </c>
      <c r="G251" s="12" t="inlineStr">
        <is>
          <t>North</t>
        </is>
      </c>
      <c r="H251" s="12" t="inlineStr">
        <is>
          <t>Rajasthan</t>
        </is>
      </c>
      <c r="I251" s="12" t="inlineStr">
        <is>
          <t>Jaipur</t>
        </is>
      </c>
      <c r="J251" s="12" t="inlineStr">
        <is>
          <t>Furniture</t>
        </is>
      </c>
      <c r="K251" s="12" t="inlineStr">
        <is>
          <t>Furnishings</t>
        </is>
      </c>
      <c r="L251" s="12" t="inlineStr">
        <is>
          <t>Classic Furnishings 378</t>
        </is>
      </c>
      <c r="M251" s="12" t="inlineStr">
        <is>
          <t>First Class</t>
        </is>
      </c>
      <c r="N251" s="12" t="n">
        <v>4</v>
      </c>
      <c r="O251" s="12" t="n">
        <v>2790.29</v>
      </c>
      <c r="P251" s="12" t="n">
        <v>0.2</v>
      </c>
      <c r="Q251" s="12" t="n">
        <v>8928.93</v>
      </c>
      <c r="R251" s="12" t="n">
        <v>5634.38</v>
      </c>
      <c r="S251" s="12" t="n">
        <v>3294.55</v>
      </c>
      <c r="T251" s="12" t="inlineStr">
        <is>
          <t>Paid</t>
        </is>
      </c>
      <c r="U251" s="12" t="inlineStr">
        <is>
          <t>Completed</t>
        </is>
      </c>
      <c r="V251">
        <f>IF(OR(P251="",P251&lt;0,P251&gt;0.5),0,P251)</f>
        <v/>
      </c>
      <c r="W251">
        <f>N251*O251*(1-V251)</f>
        <v/>
      </c>
      <c r="X251">
        <f>W251-R251</f>
        <v/>
      </c>
      <c r="Y251">
        <f>IF(W251=0,0,X251/W251)</f>
        <v/>
      </c>
      <c r="Z251">
        <f>C251-B251</f>
        <v/>
      </c>
      <c r="AA251">
        <f>TEXT(B251,"mmmm")</f>
        <v/>
      </c>
      <c r="AB251">
        <f>YEAR(B251)</f>
        <v/>
      </c>
      <c r="AC251">
        <f>IF(OR(P251&lt;0,P251&gt;0.5,C251&lt;B251),"INVALID","CLEAN")</f>
        <v/>
      </c>
    </row>
    <row r="252">
      <c r="A252" s="12" t="inlineStr">
        <is>
          <t>ORD-2024-10251</t>
        </is>
      </c>
      <c r="B252" s="12" t="inlineStr">
        <is>
          <t>02/21/2024</t>
        </is>
      </c>
      <c r="C252" s="12" t="inlineStr">
        <is>
          <t>02/27/2024</t>
        </is>
      </c>
      <c r="D252" s="12" t="inlineStr">
        <is>
          <t>CUST-5351</t>
        </is>
      </c>
      <c r="E252" s="12" t="inlineStr">
        <is>
          <t>Arjun Bose</t>
        </is>
      </c>
      <c r="F252" s="12" t="inlineStr">
        <is>
          <t>Small Business</t>
        </is>
      </c>
      <c r="G252" s="12" t="inlineStr">
        <is>
          <t>East</t>
        </is>
      </c>
      <c r="H252" s="12" t="inlineStr">
        <is>
          <t>West Bengal</t>
        </is>
      </c>
      <c r="I252" s="12" t="inlineStr">
        <is>
          <t>Kolkata</t>
        </is>
      </c>
      <c r="J252" s="12" t="inlineStr">
        <is>
          <t>Furniture</t>
        </is>
      </c>
      <c r="K252" s="12" t="inlineStr">
        <is>
          <t>Furnishings</t>
        </is>
      </c>
      <c r="L252" s="12" t="inlineStr">
        <is>
          <t>Prime Furnishings 781</t>
        </is>
      </c>
      <c r="M252" s="12" t="inlineStr">
        <is>
          <t>Standard Class</t>
        </is>
      </c>
      <c r="N252" s="12" t="n">
        <v>5</v>
      </c>
      <c r="O252" s="12" t="n">
        <v>3373.86</v>
      </c>
      <c r="P252" s="12" t="n">
        <v>0.15</v>
      </c>
      <c r="Q252" s="12" t="n">
        <v>14338.9</v>
      </c>
      <c r="R252" s="12" t="n">
        <v>11897.65</v>
      </c>
      <c r="S252" s="12" t="n">
        <v>2441.25</v>
      </c>
      <c r="T252" s="12" t="inlineStr">
        <is>
          <t>Pending</t>
        </is>
      </c>
      <c r="U252" s="12" t="inlineStr">
        <is>
          <t>Returned</t>
        </is>
      </c>
      <c r="V252">
        <f>IF(OR(P252="",P252&lt;0,P252&gt;0.5),0,P252)</f>
        <v/>
      </c>
      <c r="W252">
        <f>N252*O252*(1-V252)</f>
        <v/>
      </c>
      <c r="X252">
        <f>W252-R252</f>
        <v/>
      </c>
      <c r="Y252">
        <f>IF(W252=0,0,X252/W252)</f>
        <v/>
      </c>
      <c r="Z252">
        <f>C252-B252</f>
        <v/>
      </c>
      <c r="AA252">
        <f>TEXT(B252,"mmmm")</f>
        <v/>
      </c>
      <c r="AB252">
        <f>YEAR(B252)</f>
        <v/>
      </c>
      <c r="AC252">
        <f>IF(OR(P252&lt;0,P252&gt;0.5,C252&lt;B252),"INVALID","CLEAN")</f>
        <v/>
      </c>
    </row>
    <row r="253">
      <c r="A253" s="12" t="inlineStr">
        <is>
          <t>ORD-2025-10252</t>
        </is>
      </c>
      <c r="B253" s="12" t="inlineStr">
        <is>
          <t>2025-04-06</t>
        </is>
      </c>
      <c r="C253" s="12" t="inlineStr">
        <is>
          <t>04/10/2025</t>
        </is>
      </c>
      <c r="D253" s="12" t="inlineStr">
        <is>
          <t>CUST-6268</t>
        </is>
      </c>
      <c r="E253" s="12" t="inlineStr">
        <is>
          <t>Ananya Rao</t>
        </is>
      </c>
      <c r="F253" s="12" t="inlineStr">
        <is>
          <t>Corporate</t>
        </is>
      </c>
      <c r="G253" s="12" t="inlineStr">
        <is>
          <t>West</t>
        </is>
      </c>
      <c r="H253" s="12" t="inlineStr">
        <is>
          <t>Gujarat</t>
        </is>
      </c>
      <c r="I253" s="12" t="inlineStr">
        <is>
          <t>Ahmedabad</t>
        </is>
      </c>
      <c r="J253" s="12" t="inlineStr">
        <is>
          <t>Furniture</t>
        </is>
      </c>
      <c r="K253" s="12" t="inlineStr">
        <is>
          <t>Tables</t>
        </is>
      </c>
      <c r="L253" s="12" t="inlineStr">
        <is>
          <t>Prime Tables 263</t>
        </is>
      </c>
      <c r="M253" s="12" t="inlineStr">
        <is>
          <t>Second Class</t>
        </is>
      </c>
      <c r="N253" s="12" t="n">
        <v>6</v>
      </c>
      <c r="O253" s="12" t="n">
        <v>1022.16</v>
      </c>
      <c r="P253" s="12" t="n">
        <v>0</v>
      </c>
      <c r="Q253" s="12" t="n">
        <v>6132.96</v>
      </c>
      <c r="R253" s="12" t="n">
        <v>4881.1</v>
      </c>
      <c r="S253" s="12" t="n">
        <v>1251.86</v>
      </c>
      <c r="T253" s="12" t="inlineStr">
        <is>
          <t>Paid</t>
        </is>
      </c>
      <c r="U253" s="12" t="inlineStr">
        <is>
          <t>Completed</t>
        </is>
      </c>
      <c r="V253">
        <f>IF(OR(P253="",P253&lt;0,P253&gt;0.5),0,P253)</f>
        <v/>
      </c>
      <c r="W253">
        <f>N253*O253*(1-V253)</f>
        <v/>
      </c>
      <c r="X253">
        <f>W253-R253</f>
        <v/>
      </c>
      <c r="Y253">
        <f>IF(W253=0,0,X253/W253)</f>
        <v/>
      </c>
      <c r="Z253">
        <f>C253-B253</f>
        <v/>
      </c>
      <c r="AA253">
        <f>TEXT(B253,"mmmm")</f>
        <v/>
      </c>
      <c r="AB253">
        <f>YEAR(B253)</f>
        <v/>
      </c>
      <c r="AC253">
        <f>IF(OR(P253&lt;0,P253&gt;0.5,C253&lt;B253),"INVALID","CLEAN")</f>
        <v/>
      </c>
    </row>
    <row r="254">
      <c r="A254" s="12" t="inlineStr">
        <is>
          <t>ORD-2025-10253</t>
        </is>
      </c>
      <c r="B254" s="12" t="inlineStr">
        <is>
          <t>25-06-2025</t>
        </is>
      </c>
      <c r="C254" s="12" t="inlineStr">
        <is>
          <t>2025-06-28</t>
        </is>
      </c>
      <c r="D254" s="12" t="inlineStr">
        <is>
          <t>CUST-2103</t>
        </is>
      </c>
      <c r="E254" s="12" t="inlineStr">
        <is>
          <t>Arjun Bose</t>
        </is>
      </c>
      <c r="F254" s="12" t="inlineStr">
        <is>
          <t>Corporate</t>
        </is>
      </c>
      <c r="G254" s="12" t="inlineStr">
        <is>
          <t>North</t>
        </is>
      </c>
      <c r="H254" s="12" t="inlineStr">
        <is>
          <t>Haryana</t>
        </is>
      </c>
      <c r="I254" s="12" t="inlineStr">
        <is>
          <t>Gurugram</t>
        </is>
      </c>
      <c r="J254" s="12" t="inlineStr">
        <is>
          <t>Office Supplies</t>
        </is>
      </c>
      <c r="K254" s="12" t="inlineStr">
        <is>
          <t>Storage</t>
        </is>
      </c>
      <c r="L254" s="12" t="inlineStr">
        <is>
          <t>Basic Storage 269</t>
        </is>
      </c>
      <c r="M254" s="12" t="inlineStr">
        <is>
          <t>First Class</t>
        </is>
      </c>
      <c r="N254" s="12" t="n">
        <v>2</v>
      </c>
      <c r="O254" s="12" t="n">
        <v>1455.92</v>
      </c>
      <c r="P254" s="12" t="n">
        <v>0.2</v>
      </c>
      <c r="Q254" s="12" t="n">
        <v>2329.47</v>
      </c>
      <c r="R254" s="12" t="n">
        <v>1603.62</v>
      </c>
      <c r="S254" s="12" t="n">
        <v>725.85</v>
      </c>
      <c r="T254" s="12" t="inlineStr">
        <is>
          <t>Pending</t>
        </is>
      </c>
      <c r="U254" s="12" t="inlineStr">
        <is>
          <t>Returned</t>
        </is>
      </c>
      <c r="V254">
        <f>IF(OR(P254="",P254&lt;0,P254&gt;0.5),0,P254)</f>
        <v/>
      </c>
      <c r="W254">
        <f>N254*O254*(1-V254)</f>
        <v/>
      </c>
      <c r="X254">
        <f>W254-R254</f>
        <v/>
      </c>
      <c r="Y254">
        <f>IF(W254=0,0,X254/W254)</f>
        <v/>
      </c>
      <c r="Z254">
        <f>C254-B254</f>
        <v/>
      </c>
      <c r="AA254">
        <f>TEXT(B254,"mmmm")</f>
        <v/>
      </c>
      <c r="AB254">
        <f>YEAR(B254)</f>
        <v/>
      </c>
      <c r="AC254">
        <f>IF(OR(P254&lt;0,P254&gt;0.5,C254&lt;B254),"INVALID","CLEAN")</f>
        <v/>
      </c>
    </row>
    <row r="255">
      <c r="A255" s="12" t="inlineStr">
        <is>
          <t>ORD-2024-10254</t>
        </is>
      </c>
      <c r="B255" s="12" t="inlineStr">
        <is>
          <t>2024-09-12</t>
        </is>
      </c>
      <c r="C255" s="12" t="inlineStr">
        <is>
          <t>09/13/2024</t>
        </is>
      </c>
      <c r="D255" s="12" t="inlineStr">
        <is>
          <t>CUST-5394</t>
        </is>
      </c>
      <c r="E255" s="12" t="inlineStr">
        <is>
          <t>Priya Menon</t>
        </is>
      </c>
      <c r="F255" s="12" t="inlineStr">
        <is>
          <t>Small Business</t>
        </is>
      </c>
      <c r="G255" s="12" t="inlineStr">
        <is>
          <t>North</t>
        </is>
      </c>
      <c r="H255" s="12" t="inlineStr">
        <is>
          <t>Rajasthan</t>
        </is>
      </c>
      <c r="I255" s="12" t="inlineStr">
        <is>
          <t>Jaipur</t>
        </is>
      </c>
      <c r="J255" s="12" t="inlineStr">
        <is>
          <t>Technology</t>
        </is>
      </c>
      <c r="K255" s="12" t="inlineStr">
        <is>
          <t>Phones</t>
        </is>
      </c>
      <c r="L255" s="12" t="inlineStr">
        <is>
          <t>Classic Phones 442</t>
        </is>
      </c>
      <c r="M255" s="12" t="inlineStr">
        <is>
          <t>Same Day</t>
        </is>
      </c>
      <c r="N255" s="12" t="n">
        <v>6</v>
      </c>
      <c r="O255" s="12" t="n">
        <v>832.79</v>
      </c>
      <c r="P255" s="12" t="n">
        <v>0.05</v>
      </c>
      <c r="Q255" s="12" t="n">
        <v>4746.9</v>
      </c>
      <c r="R255" s="12" t="n">
        <v>2825.38</v>
      </c>
      <c r="S255" s="12" t="n">
        <v>1472.89</v>
      </c>
      <c r="T255" s="12" t="inlineStr">
        <is>
          <t>Refunded</t>
        </is>
      </c>
      <c r="U255" s="12" t="inlineStr">
        <is>
          <t>Cancelled</t>
        </is>
      </c>
      <c r="V255">
        <f>IF(OR(P255="",P255&lt;0,P255&gt;0.5),0,P255)</f>
        <v/>
      </c>
      <c r="W255">
        <f>N255*O255*(1-V255)</f>
        <v/>
      </c>
      <c r="X255">
        <f>W255-R255</f>
        <v/>
      </c>
      <c r="Y255">
        <f>IF(W255=0,0,X255/W255)</f>
        <v/>
      </c>
      <c r="Z255">
        <f>C255-B255</f>
        <v/>
      </c>
      <c r="AA255">
        <f>TEXT(B255,"mmmm")</f>
        <v/>
      </c>
      <c r="AB255">
        <f>YEAR(B255)</f>
        <v/>
      </c>
      <c r="AC255">
        <f>IF(OR(P255&lt;0,P255&gt;0.5,C255&lt;B255),"INVALID","CLEAN")</f>
        <v/>
      </c>
    </row>
    <row r="256">
      <c r="A256" s="12" t="inlineStr">
        <is>
          <t>ORD-2025-10255</t>
        </is>
      </c>
      <c r="B256" s="12" t="inlineStr">
        <is>
          <t>01/01/2025</t>
        </is>
      </c>
      <c r="C256" s="12" t="inlineStr">
        <is>
          <t>03-01-2025</t>
        </is>
      </c>
      <c r="D256" s="12" t="inlineStr">
        <is>
          <t>CUST-6853</t>
        </is>
      </c>
      <c r="E256" s="12" t="inlineStr">
        <is>
          <t>Ananya Rao</t>
        </is>
      </c>
      <c r="F256" s="12" t="inlineStr">
        <is>
          <t>Consumer</t>
        </is>
      </c>
      <c r="G256" s="12" t="inlineStr">
        <is>
          <t>West</t>
        </is>
      </c>
      <c r="H256" s="12" t="inlineStr">
        <is>
          <t>Madhya Pradesh</t>
        </is>
      </c>
      <c r="I256" s="12" t="inlineStr">
        <is>
          <t>Indore</t>
        </is>
      </c>
      <c r="J256" s="12" t="inlineStr">
        <is>
          <t>Technology</t>
        </is>
      </c>
      <c r="K256" s="12" t="inlineStr">
        <is>
          <t>Accessories</t>
        </is>
      </c>
      <c r="L256" s="12" t="inlineStr">
        <is>
          <t>Elite Accessories 978</t>
        </is>
      </c>
      <c r="M256" s="12" t="inlineStr">
        <is>
          <t>Same Day</t>
        </is>
      </c>
      <c r="N256" s="12" t="n">
        <v>7</v>
      </c>
      <c r="O256" s="12" t="n">
        <v>1000.55</v>
      </c>
      <c r="P256" s="12" t="n">
        <v>0.2</v>
      </c>
      <c r="Q256" s="12" t="n">
        <v>5603.08</v>
      </c>
      <c r="R256" s="12" t="n">
        <v>3132.52</v>
      </c>
      <c r="S256" s="12" t="n">
        <v>2470.56</v>
      </c>
      <c r="T256" s="12" t="inlineStr">
        <is>
          <t>Paid</t>
        </is>
      </c>
      <c r="U256" s="12" t="inlineStr">
        <is>
          <t>Returned</t>
        </is>
      </c>
      <c r="V256">
        <f>IF(OR(P256="",P256&lt;0,P256&gt;0.5),0,P256)</f>
        <v/>
      </c>
      <c r="W256">
        <f>N256*O256*(1-V256)</f>
        <v/>
      </c>
      <c r="X256">
        <f>W256-R256</f>
        <v/>
      </c>
      <c r="Y256">
        <f>IF(W256=0,0,X256/W256)</f>
        <v/>
      </c>
      <c r="Z256">
        <f>C256-B256</f>
        <v/>
      </c>
      <c r="AA256">
        <f>TEXT(B256,"mmmm")</f>
        <v/>
      </c>
      <c r="AB256">
        <f>YEAR(B256)</f>
        <v/>
      </c>
      <c r="AC256">
        <f>IF(OR(P256&lt;0,P256&gt;0.5,C256&lt;B256),"INVALID","CLEAN")</f>
        <v/>
      </c>
    </row>
    <row r="257">
      <c r="A257" s="12" t="inlineStr">
        <is>
          <t>ORD-2025-10256</t>
        </is>
      </c>
      <c r="B257" s="12" t="inlineStr">
        <is>
          <t>2025-02-04</t>
        </is>
      </c>
      <c r="C257" s="12" t="inlineStr">
        <is>
          <t>02/10/2025</t>
        </is>
      </c>
      <c r="D257" s="12" t="inlineStr">
        <is>
          <t>CUST-1549</t>
        </is>
      </c>
      <c r="E257" s="12" t="inlineStr">
        <is>
          <t>Isha Nair</t>
        </is>
      </c>
      <c r="F257" s="12" t="inlineStr">
        <is>
          <t>Corporate</t>
        </is>
      </c>
      <c r="G257" s="12" t="inlineStr">
        <is>
          <t>West</t>
        </is>
      </c>
      <c r="H257" s="12" t="inlineStr">
        <is>
          <t>Maharashtra</t>
        </is>
      </c>
      <c r="I257" s="12" t="inlineStr">
        <is>
          <t>Mumbai</t>
        </is>
      </c>
      <c r="J257" s="12" t="inlineStr">
        <is>
          <t>Technology</t>
        </is>
      </c>
      <c r="K257" s="12" t="inlineStr">
        <is>
          <t>Phones</t>
        </is>
      </c>
      <c r="L257" s="12" t="inlineStr">
        <is>
          <t>Eco Phones 132</t>
        </is>
      </c>
      <c r="M257" s="12" t="inlineStr">
        <is>
          <t>First Class</t>
        </is>
      </c>
      <c r="N257" s="12" t="n">
        <v>7</v>
      </c>
      <c r="O257" s="12" t="n">
        <v>1830</v>
      </c>
      <c r="P257" s="12" t="n">
        <v>0</v>
      </c>
      <c r="Q257" s="12" t="n">
        <v>12810</v>
      </c>
      <c r="R257" s="12" t="n">
        <v>9334.120000000001</v>
      </c>
      <c r="S257" s="12" t="n">
        <v>3475.88</v>
      </c>
      <c r="T257" s="12" t="inlineStr">
        <is>
          <t>Paid</t>
        </is>
      </c>
      <c r="U257" s="12" t="inlineStr">
        <is>
          <t>Completed</t>
        </is>
      </c>
      <c r="V257">
        <f>IF(OR(P257="",P257&lt;0,P257&gt;0.5),0,P257)</f>
        <v/>
      </c>
      <c r="W257">
        <f>N257*O257*(1-V257)</f>
        <v/>
      </c>
      <c r="X257">
        <f>W257-R257</f>
        <v/>
      </c>
      <c r="Y257">
        <f>IF(W257=0,0,X257/W257)</f>
        <v/>
      </c>
      <c r="Z257">
        <f>C257-B257</f>
        <v/>
      </c>
      <c r="AA257">
        <f>TEXT(B257,"mmmm")</f>
        <v/>
      </c>
      <c r="AB257">
        <f>YEAR(B257)</f>
        <v/>
      </c>
      <c r="AC257">
        <f>IF(OR(P257&lt;0,P257&gt;0.5,C257&lt;B257),"INVALID","CLEAN")</f>
        <v/>
      </c>
    </row>
    <row r="258">
      <c r="A258" s="12" t="inlineStr">
        <is>
          <t>ORD-2024-10257</t>
        </is>
      </c>
      <c r="B258" s="12" t="inlineStr">
        <is>
          <t>2024-11-05</t>
        </is>
      </c>
      <c r="C258" s="12" t="inlineStr">
        <is>
          <t>03 Nov 2024</t>
        </is>
      </c>
      <c r="D258" s="12" t="inlineStr">
        <is>
          <t>CUST-8411</t>
        </is>
      </c>
      <c r="E258" s="12" t="inlineStr">
        <is>
          <t>Ananya Rao</t>
        </is>
      </c>
      <c r="F258" s="12" t="inlineStr">
        <is>
          <t>Consumer</t>
        </is>
      </c>
      <c r="G258" s="12" t="inlineStr">
        <is>
          <t>East</t>
        </is>
      </c>
      <c r="H258" s="12" t="inlineStr">
        <is>
          <t>West Bengal</t>
        </is>
      </c>
      <c r="I258" s="12" t="inlineStr">
        <is>
          <t>Kolkata</t>
        </is>
      </c>
      <c r="J258" s="12" t="inlineStr">
        <is>
          <t>Furniture</t>
        </is>
      </c>
      <c r="K258" s="12" t="inlineStr">
        <is>
          <t>Tables</t>
        </is>
      </c>
      <c r="L258" s="12" t="inlineStr">
        <is>
          <t>Prime Tables 481</t>
        </is>
      </c>
      <c r="M258" s="12" t="inlineStr">
        <is>
          <t>First Class</t>
        </is>
      </c>
      <c r="N258" s="12" t="n">
        <v>9</v>
      </c>
      <c r="O258" s="12" t="n">
        <v>2260.61</v>
      </c>
      <c r="P258" s="12" t="n">
        <v>0.05</v>
      </c>
      <c r="Q258" s="12" t="n">
        <v>19328.22</v>
      </c>
      <c r="R258" s="12" t="n">
        <v>12039.5</v>
      </c>
      <c r="S258" s="12" t="n">
        <v>7288.72</v>
      </c>
      <c r="T258" s="12" t="inlineStr">
        <is>
          <t>Paid</t>
        </is>
      </c>
      <c r="U258" s="12" t="inlineStr">
        <is>
          <t>Completed</t>
        </is>
      </c>
      <c r="V258">
        <f>IF(OR(P258="",P258&lt;0,P258&gt;0.5),0,P258)</f>
        <v/>
      </c>
      <c r="W258">
        <f>N258*O258*(1-V258)</f>
        <v/>
      </c>
      <c r="X258">
        <f>W258-R258</f>
        <v/>
      </c>
      <c r="Y258">
        <f>IF(W258=0,0,X258/W258)</f>
        <v/>
      </c>
      <c r="Z258">
        <f>C258-B258</f>
        <v/>
      </c>
      <c r="AA258">
        <f>TEXT(B258,"mmmm")</f>
        <v/>
      </c>
      <c r="AB258">
        <f>YEAR(B258)</f>
        <v/>
      </c>
      <c r="AC258">
        <f>IF(OR(P258&lt;0,P258&gt;0.5,C258&lt;B258),"INVALID","CLEAN")</f>
        <v/>
      </c>
    </row>
    <row r="259">
      <c r="A259" s="12" t="inlineStr">
        <is>
          <t>ORD-2025-10258</t>
        </is>
      </c>
      <c r="B259" s="12" t="inlineStr">
        <is>
          <t>2025-08-09</t>
        </is>
      </c>
      <c r="C259" s="12" t="inlineStr">
        <is>
          <t>2025-08-12</t>
        </is>
      </c>
      <c r="D259" s="12" t="inlineStr">
        <is>
          <t>CUST-5615</t>
        </is>
      </c>
      <c r="E259" s="12" t="inlineStr">
        <is>
          <t>Diya Patel</t>
        </is>
      </c>
      <c r="F259" s="12" t="inlineStr">
        <is>
          <t>Corporate</t>
        </is>
      </c>
      <c r="G259" s="12" t="inlineStr">
        <is>
          <t>South</t>
        </is>
      </c>
      <c r="H259" s="12" t="inlineStr">
        <is>
          <t>Karnataka</t>
        </is>
      </c>
      <c r="I259" s="12" t="inlineStr">
        <is>
          <t>Bengaluru</t>
        </is>
      </c>
      <c r="J259" s="12" t="inlineStr">
        <is>
          <t>Technology</t>
        </is>
      </c>
      <c r="K259" s="12" t="inlineStr">
        <is>
          <t>Accessories</t>
        </is>
      </c>
      <c r="L259" s="12" t="inlineStr">
        <is>
          <t>Smart Accessories 180</t>
        </is>
      </c>
      <c r="M259" s="12" t="inlineStr">
        <is>
          <t>Second Class</t>
        </is>
      </c>
      <c r="N259" s="12" t="n">
        <v>2</v>
      </c>
      <c r="O259" s="12" t="n">
        <v>3237.27</v>
      </c>
      <c r="P259" s="12" t="n">
        <v>0</v>
      </c>
      <c r="Q259" s="12" t="n">
        <v>6474.54</v>
      </c>
      <c r="R259" s="12" t="n">
        <v>5095.91</v>
      </c>
      <c r="S259" s="12" t="n">
        <v>1378.63</v>
      </c>
      <c r="T259" s="12" t="inlineStr">
        <is>
          <t>Paid</t>
        </is>
      </c>
      <c r="U259" s="12" t="inlineStr">
        <is>
          <t>Cancelled</t>
        </is>
      </c>
      <c r="V259">
        <f>IF(OR(P259="",P259&lt;0,P259&gt;0.5),0,P259)</f>
        <v/>
      </c>
      <c r="W259">
        <f>N259*O259*(1-V259)</f>
        <v/>
      </c>
      <c r="X259">
        <f>W259-R259</f>
        <v/>
      </c>
      <c r="Y259">
        <f>IF(W259=0,0,X259/W259)</f>
        <v/>
      </c>
      <c r="Z259">
        <f>C259-B259</f>
        <v/>
      </c>
      <c r="AA259">
        <f>TEXT(B259,"mmmm")</f>
        <v/>
      </c>
      <c r="AB259">
        <f>YEAR(B259)</f>
        <v/>
      </c>
      <c r="AC259">
        <f>IF(OR(P259&lt;0,P259&gt;0.5,C259&lt;B259),"INVALID","CLEAN")</f>
        <v/>
      </c>
    </row>
    <row r="260">
      <c r="A260" s="12" t="inlineStr">
        <is>
          <t>ORD-2024-10259</t>
        </is>
      </c>
      <c r="B260" s="12" t="inlineStr">
        <is>
          <t>2024-12-30</t>
        </is>
      </c>
      <c r="C260" s="12" t="inlineStr">
        <is>
          <t>2025-01-04</t>
        </is>
      </c>
      <c r="D260" s="12" t="inlineStr">
        <is>
          <t>CUST-8467</t>
        </is>
      </c>
      <c r="E260" s="12" t="inlineStr">
        <is>
          <t>Sneha Kapoor</t>
        </is>
      </c>
      <c r="F260" s="12" t="inlineStr">
        <is>
          <t>Corporate</t>
        </is>
      </c>
      <c r="G260" s="12" t="inlineStr">
        <is>
          <t>South</t>
        </is>
      </c>
      <c r="H260" s="12" t="inlineStr">
        <is>
          <t>Tamil Nadu</t>
        </is>
      </c>
      <c r="I260" s="12" t="inlineStr">
        <is>
          <t>Chennai</t>
        </is>
      </c>
      <c r="J260" s="12" t="inlineStr">
        <is>
          <t>Furniture</t>
        </is>
      </c>
      <c r="K260" s="12" t="inlineStr">
        <is>
          <t>Tables</t>
        </is>
      </c>
      <c r="L260" s="12" t="inlineStr">
        <is>
          <t>Smart Tables 774</t>
        </is>
      </c>
      <c r="M260" s="12" t="inlineStr">
        <is>
          <t>Same Day</t>
        </is>
      </c>
      <c r="N260" s="12" t="n">
        <v>2</v>
      </c>
      <c r="O260" s="12" t="n">
        <v>3720.07</v>
      </c>
      <c r="P260" s="12" t="n">
        <v>0.25</v>
      </c>
      <c r="Q260" s="12" t="n">
        <v>5580.11</v>
      </c>
      <c r="R260" s="12" t="n">
        <v>4307.01</v>
      </c>
      <c r="S260" s="12" t="n">
        <v>1273.1</v>
      </c>
      <c r="T260" s="12" t="inlineStr">
        <is>
          <t>Paid</t>
        </is>
      </c>
      <c r="U260" s="12" t="inlineStr">
        <is>
          <t>Completed</t>
        </is>
      </c>
      <c r="V260">
        <f>IF(OR(P260="",P260&lt;0,P260&gt;0.5),0,P260)</f>
        <v/>
      </c>
      <c r="W260">
        <f>N260*O260*(1-V260)</f>
        <v/>
      </c>
      <c r="X260">
        <f>W260-R260</f>
        <v/>
      </c>
      <c r="Y260">
        <f>IF(W260=0,0,X260/W260)</f>
        <v/>
      </c>
      <c r="Z260">
        <f>C260-B260</f>
        <v/>
      </c>
      <c r="AA260">
        <f>TEXT(B260,"mmmm")</f>
        <v/>
      </c>
      <c r="AB260">
        <f>YEAR(B260)</f>
        <v/>
      </c>
      <c r="AC260">
        <f>IF(OR(P260&lt;0,P260&gt;0.5,C260&lt;B260),"INVALID","CLEAN")</f>
        <v/>
      </c>
    </row>
    <row r="261">
      <c r="A261" s="12" t="inlineStr">
        <is>
          <t>ORD-2024-10260</t>
        </is>
      </c>
      <c r="B261" s="12" t="inlineStr">
        <is>
          <t>06/21/2024</t>
        </is>
      </c>
      <c r="C261" s="12" t="inlineStr">
        <is>
          <t>29 Jun 2024</t>
        </is>
      </c>
      <c r="D261" s="12" t="inlineStr">
        <is>
          <t>CUST-5174</t>
        </is>
      </c>
      <c r="E261" s="12" t="inlineStr">
        <is>
          <t>Neha Gupta</t>
        </is>
      </c>
      <c r="F261" s="12" t="inlineStr">
        <is>
          <t>Consumer</t>
        </is>
      </c>
      <c r="G261" s="12" t="inlineStr">
        <is>
          <t>South</t>
        </is>
      </c>
      <c r="H261" s="12" t="inlineStr">
        <is>
          <t>Tamil Nadu</t>
        </is>
      </c>
      <c r="I261" s="12" t="inlineStr">
        <is>
          <t>Chennai</t>
        </is>
      </c>
      <c r="J261" s="12" t="inlineStr">
        <is>
          <t>Technology</t>
        </is>
      </c>
      <c r="K261" s="12" t="inlineStr">
        <is>
          <t>Machines</t>
        </is>
      </c>
      <c r="L261" s="12" t="inlineStr">
        <is>
          <t>Prime Machines 793</t>
        </is>
      </c>
      <c r="M261" s="12" t="inlineStr">
        <is>
          <t>Standard Class</t>
        </is>
      </c>
      <c r="N261" s="12" t="n">
        <v>8</v>
      </c>
      <c r="O261" s="12" t="n">
        <v>2853.92</v>
      </c>
      <c r="P261" s="12" t="n">
        <v>0.2</v>
      </c>
      <c r="Q261" s="12" t="n">
        <v>18265.09</v>
      </c>
      <c r="R261" s="12" t="n">
        <v>10437.14</v>
      </c>
      <c r="S261" s="12" t="n">
        <v>7827.95</v>
      </c>
      <c r="T261" s="12" t="inlineStr">
        <is>
          <t>Paid</t>
        </is>
      </c>
      <c r="U261" s="12" t="inlineStr">
        <is>
          <t>Completed</t>
        </is>
      </c>
      <c r="V261">
        <f>IF(OR(P261="",P261&lt;0,P261&gt;0.5),0,P261)</f>
        <v/>
      </c>
      <c r="W261">
        <f>N261*O261*(1-V261)</f>
        <v/>
      </c>
      <c r="X261">
        <f>W261-R261</f>
        <v/>
      </c>
      <c r="Y261">
        <f>IF(W261=0,0,X261/W261)</f>
        <v/>
      </c>
      <c r="Z261">
        <f>C261-B261</f>
        <v/>
      </c>
      <c r="AA261">
        <f>TEXT(B261,"mmmm")</f>
        <v/>
      </c>
      <c r="AB261">
        <f>YEAR(B261)</f>
        <v/>
      </c>
      <c r="AC261">
        <f>IF(OR(P261&lt;0,P261&gt;0.5,C261&lt;B261),"INVALID","CLEAN")</f>
        <v/>
      </c>
    </row>
    <row r="262">
      <c r="A262" s="12" t="inlineStr">
        <is>
          <t>ORD-2025-10261</t>
        </is>
      </c>
      <c r="B262" s="12" t="inlineStr">
        <is>
          <t>2025-09-23</t>
        </is>
      </c>
      <c r="C262" s="12" t="inlineStr">
        <is>
          <t>09/27/2025</t>
        </is>
      </c>
      <c r="D262" s="12" t="inlineStr">
        <is>
          <t>CUST-3543</t>
        </is>
      </c>
      <c r="E262" s="12" t="inlineStr">
        <is>
          <t>Aditi Sen</t>
        </is>
      </c>
      <c r="F262" s="12" t="inlineStr">
        <is>
          <t>Corporate</t>
        </is>
      </c>
      <c r="G262" s="12" t="inlineStr">
        <is>
          <t>East</t>
        </is>
      </c>
      <c r="H262" s="12" t="inlineStr">
        <is>
          <t>West Bengal</t>
        </is>
      </c>
      <c r="I262" s="12" t="inlineStr">
        <is>
          <t>Kolkata</t>
        </is>
      </c>
      <c r="J262" s="12" t="inlineStr">
        <is>
          <t>Office Supplies</t>
        </is>
      </c>
      <c r="K262" s="12" t="inlineStr">
        <is>
          <t>Binders</t>
        </is>
      </c>
      <c r="L262" s="12" t="inlineStr">
        <is>
          <t>Elite Binders 827</t>
        </is>
      </c>
      <c r="M262" s="12" t="inlineStr">
        <is>
          <t>Same Day</t>
        </is>
      </c>
      <c r="N262" s="12" t="n">
        <v>7</v>
      </c>
      <c r="O262" s="12" t="n">
        <v>2897.12</v>
      </c>
      <c r="P262" s="12" t="n">
        <v>0.25</v>
      </c>
      <c r="Q262" s="12" t="n">
        <v>15209.88</v>
      </c>
      <c r="R262" s="12" t="n">
        <v>10891.15</v>
      </c>
      <c r="S262" s="12" t="n">
        <v>4318.73</v>
      </c>
      <c r="T262" s="12" t="inlineStr">
        <is>
          <t>Failed</t>
        </is>
      </c>
      <c r="U262" s="12" t="inlineStr">
        <is>
          <t>Returned</t>
        </is>
      </c>
      <c r="V262">
        <f>IF(OR(P262="",P262&lt;0,P262&gt;0.5),0,P262)</f>
        <v/>
      </c>
      <c r="W262">
        <f>N262*O262*(1-V262)</f>
        <v/>
      </c>
      <c r="X262">
        <f>W262-R262</f>
        <v/>
      </c>
      <c r="Y262">
        <f>IF(W262=0,0,X262/W262)</f>
        <v/>
      </c>
      <c r="Z262">
        <f>C262-B262</f>
        <v/>
      </c>
      <c r="AA262">
        <f>TEXT(B262,"mmmm")</f>
        <v/>
      </c>
      <c r="AB262">
        <f>YEAR(B262)</f>
        <v/>
      </c>
      <c r="AC262">
        <f>IF(OR(P262&lt;0,P262&gt;0.5,C262&lt;B262),"INVALID","CLEAN")</f>
        <v/>
      </c>
    </row>
    <row r="263">
      <c r="A263" s="12" t="inlineStr">
        <is>
          <t>ORD-2025-10262</t>
        </is>
      </c>
      <c r="B263" s="12" t="inlineStr">
        <is>
          <t>06/18/2025</t>
        </is>
      </c>
      <c r="C263" s="12" t="inlineStr">
        <is>
          <t>06/24/2025</t>
        </is>
      </c>
      <c r="D263" s="12" t="inlineStr">
        <is>
          <t>CUST-7623</t>
        </is>
      </c>
      <c r="E263" s="12" t="inlineStr">
        <is>
          <t>Sneha Kapoor</t>
        </is>
      </c>
      <c r="F263" s="12" t="inlineStr">
        <is>
          <t>Corporate</t>
        </is>
      </c>
      <c r="G263" s="12" t="inlineStr">
        <is>
          <t>North</t>
        </is>
      </c>
      <c r="H263" s="12" t="inlineStr">
        <is>
          <t>Rajasthan</t>
        </is>
      </c>
      <c r="I263" s="12" t="inlineStr">
        <is>
          <t>Jaipur</t>
        </is>
      </c>
      <c r="J263" s="12" t="inlineStr">
        <is>
          <t>Office Supplies</t>
        </is>
      </c>
      <c r="K263" s="12" t="inlineStr">
        <is>
          <t>Labels</t>
        </is>
      </c>
      <c r="L263" s="12" t="inlineStr">
        <is>
          <t>Prime Labels 326</t>
        </is>
      </c>
      <c r="M263" s="12" t="inlineStr">
        <is>
          <t>Standard Class</t>
        </is>
      </c>
      <c r="N263" s="12" t="n">
        <v>3</v>
      </c>
      <c r="O263" s="12" t="n">
        <v>686.74</v>
      </c>
      <c r="P263" s="12" t="n">
        <v>0.2</v>
      </c>
      <c r="Q263" s="12" t="n">
        <v>1648.18</v>
      </c>
      <c r="R263" s="12" t="n">
        <v>987.91</v>
      </c>
      <c r="S263" s="12" t="n">
        <v>660.27</v>
      </c>
      <c r="T263" s="12" t="inlineStr">
        <is>
          <t>Failed</t>
        </is>
      </c>
      <c r="U263" s="12" t="inlineStr">
        <is>
          <t>Cancelled</t>
        </is>
      </c>
      <c r="V263">
        <f>IF(OR(P263="",P263&lt;0,P263&gt;0.5),0,P263)</f>
        <v/>
      </c>
      <c r="W263">
        <f>N263*O263*(1-V263)</f>
        <v/>
      </c>
      <c r="X263">
        <f>W263-R263</f>
        <v/>
      </c>
      <c r="Y263">
        <f>IF(W263=0,0,X263/W263)</f>
        <v/>
      </c>
      <c r="Z263">
        <f>C263-B263</f>
        <v/>
      </c>
      <c r="AA263">
        <f>TEXT(B263,"mmmm")</f>
        <v/>
      </c>
      <c r="AB263">
        <f>YEAR(B263)</f>
        <v/>
      </c>
      <c r="AC263">
        <f>IF(OR(P263&lt;0,P263&gt;0.5,C263&lt;B263),"INVALID","CLEAN")</f>
        <v/>
      </c>
    </row>
    <row r="264">
      <c r="A264" s="12" t="inlineStr">
        <is>
          <t>ORD-2025-10263</t>
        </is>
      </c>
      <c r="B264" s="12" t="inlineStr">
        <is>
          <t>2025-05-26</t>
        </is>
      </c>
      <c r="C264" s="12" t="inlineStr">
        <is>
          <t>01 Jun 2025</t>
        </is>
      </c>
      <c r="D264" s="12" t="inlineStr">
        <is>
          <t>CUST-6153</t>
        </is>
      </c>
      <c r="E264" s="12" t="inlineStr">
        <is>
          <t>Arjun Bose</t>
        </is>
      </c>
      <c r="F264" s="12" t="inlineStr">
        <is>
          <t>Small Business</t>
        </is>
      </c>
      <c r="G264" s="12" t="inlineStr">
        <is>
          <t>North</t>
        </is>
      </c>
      <c r="H264" s="12" t="inlineStr">
        <is>
          <t>Delhi</t>
        </is>
      </c>
      <c r="I264" s="12" t="inlineStr">
        <is>
          <t>New Delhi</t>
        </is>
      </c>
      <c r="J264" s="12" t="inlineStr">
        <is>
          <t>Technology</t>
        </is>
      </c>
      <c r="K264" s="12" t="inlineStr">
        <is>
          <t>Phones</t>
        </is>
      </c>
      <c r="L264" s="12" t="inlineStr">
        <is>
          <t>Eco Phones 245</t>
        </is>
      </c>
      <c r="M264" s="12" t="inlineStr">
        <is>
          <t>Same Day</t>
        </is>
      </c>
      <c r="N264" s="12" t="n">
        <v>4</v>
      </c>
      <c r="O264" s="12" t="n">
        <v>3349.86</v>
      </c>
      <c r="P264" s="12" t="n">
        <v>0</v>
      </c>
      <c r="Q264" s="12" t="n">
        <v>13399.44</v>
      </c>
      <c r="R264" s="12" t="n">
        <v>8581.35</v>
      </c>
      <c r="S264" s="12" t="n">
        <v>4818.09</v>
      </c>
      <c r="T264" s="12" t="inlineStr">
        <is>
          <t>Pending</t>
        </is>
      </c>
      <c r="U264" s="12" t="inlineStr">
        <is>
          <t>Returned</t>
        </is>
      </c>
      <c r="V264">
        <f>IF(OR(P264="",P264&lt;0,P264&gt;0.5),0,P264)</f>
        <v/>
      </c>
      <c r="W264">
        <f>N264*O264*(1-V264)</f>
        <v/>
      </c>
      <c r="X264">
        <f>W264-R264</f>
        <v/>
      </c>
      <c r="Y264">
        <f>IF(W264=0,0,X264/W264)</f>
        <v/>
      </c>
      <c r="Z264">
        <f>C264-B264</f>
        <v/>
      </c>
      <c r="AA264">
        <f>TEXT(B264,"mmmm")</f>
        <v/>
      </c>
      <c r="AB264">
        <f>YEAR(B264)</f>
        <v/>
      </c>
      <c r="AC264">
        <f>IF(OR(P264&lt;0,P264&gt;0.5,C264&lt;B264),"INVALID","CLEAN")</f>
        <v/>
      </c>
    </row>
    <row r="265">
      <c r="A265" s="12" t="inlineStr">
        <is>
          <t>ORD-2025-10264</t>
        </is>
      </c>
      <c r="B265" s="12" t="inlineStr">
        <is>
          <t>06 Aug 2025</t>
        </is>
      </c>
      <c r="C265" s="12" t="inlineStr">
        <is>
          <t>10-08-2025</t>
        </is>
      </c>
      <c r="D265" s="12" t="inlineStr">
        <is>
          <t>CUST-8265</t>
        </is>
      </c>
      <c r="E265" s="12" t="inlineStr">
        <is>
          <t>Rohan Mehta</t>
        </is>
      </c>
      <c r="F265" s="12" t="inlineStr">
        <is>
          <t>Small Business</t>
        </is>
      </c>
      <c r="G265" s="12" t="inlineStr">
        <is>
          <t>North</t>
        </is>
      </c>
      <c r="H265" s="12" t="inlineStr">
        <is>
          <t>Delhi</t>
        </is>
      </c>
      <c r="I265" s="12" t="inlineStr">
        <is>
          <t>New Delhi</t>
        </is>
      </c>
      <c r="J265" s="12" t="inlineStr">
        <is>
          <t>Office Supplies</t>
        </is>
      </c>
      <c r="K265" s="12" t="inlineStr">
        <is>
          <t>Binders</t>
        </is>
      </c>
      <c r="L265" s="12" t="inlineStr">
        <is>
          <t>Smart Binders 905</t>
        </is>
      </c>
      <c r="M265" s="12" t="inlineStr">
        <is>
          <t>Second Class</t>
        </is>
      </c>
      <c r="N265" s="12" t="n">
        <v>9</v>
      </c>
      <c r="O265" s="12" t="n">
        <v>4042.45</v>
      </c>
      <c r="P265" s="12" t="n">
        <v>0.1</v>
      </c>
      <c r="Q265" s="12" t="n">
        <v>32743.84</v>
      </c>
      <c r="R265" s="12" t="n">
        <v>22452.05</v>
      </c>
      <c r="S265" s="12" t="n">
        <v>10291.79</v>
      </c>
      <c r="T265" s="12" t="inlineStr">
        <is>
          <t>Pending</t>
        </is>
      </c>
      <c r="U265" s="12" t="inlineStr">
        <is>
          <t>Returned</t>
        </is>
      </c>
      <c r="V265">
        <f>IF(OR(P265="",P265&lt;0,P265&gt;0.5),0,P265)</f>
        <v/>
      </c>
      <c r="W265">
        <f>N265*O265*(1-V265)</f>
        <v/>
      </c>
      <c r="X265">
        <f>W265-R265</f>
        <v/>
      </c>
      <c r="Y265">
        <f>IF(W265=0,0,X265/W265)</f>
        <v/>
      </c>
      <c r="Z265">
        <f>C265-B265</f>
        <v/>
      </c>
      <c r="AA265">
        <f>TEXT(B265,"mmmm")</f>
        <v/>
      </c>
      <c r="AB265">
        <f>YEAR(B265)</f>
        <v/>
      </c>
      <c r="AC265">
        <f>IF(OR(P265&lt;0,P265&gt;0.5,C265&lt;B265),"INVALID","CLEAN")</f>
        <v/>
      </c>
    </row>
    <row r="266">
      <c r="A266" s="12" t="inlineStr">
        <is>
          <t>ORD-2024-10265</t>
        </is>
      </c>
      <c r="B266" s="12" t="inlineStr">
        <is>
          <t>16-05-2024</t>
        </is>
      </c>
      <c r="C266" s="12" t="inlineStr">
        <is>
          <t>05/21/2024</t>
        </is>
      </c>
      <c r="D266" s="12" t="inlineStr">
        <is>
          <t>CUST-4750</t>
        </is>
      </c>
      <c r="E266" s="12" t="inlineStr">
        <is>
          <t>Diya Patel</t>
        </is>
      </c>
      <c r="F266" s="12" t="inlineStr">
        <is>
          <t>Small Business</t>
        </is>
      </c>
      <c r="G266" s="12" t="inlineStr">
        <is>
          <t>East</t>
        </is>
      </c>
      <c r="H266" s="12" t="inlineStr">
        <is>
          <t>Bihar</t>
        </is>
      </c>
      <c r="I266" s="12" t="inlineStr">
        <is>
          <t>Patna</t>
        </is>
      </c>
      <c r="J266" s="12" t="inlineStr">
        <is>
          <t>Technology</t>
        </is>
      </c>
      <c r="K266" s="12" t="inlineStr">
        <is>
          <t>Copiers</t>
        </is>
      </c>
      <c r="L266" s="12" t="inlineStr">
        <is>
          <t>Pro Copiers 599</t>
        </is>
      </c>
      <c r="M266" s="12" t="inlineStr">
        <is>
          <t>Standard Class</t>
        </is>
      </c>
      <c r="N266" s="12" t="n">
        <v>4</v>
      </c>
      <c r="O266" s="12" t="n">
        <v>1503.07</v>
      </c>
      <c r="P266" s="12" t="n">
        <v>0</v>
      </c>
      <c r="Q266" s="12" t="n">
        <v>6012.28</v>
      </c>
      <c r="R266" s="12" t="n">
        <v>3927.64</v>
      </c>
      <c r="S266" s="12" t="n">
        <v>2084.64</v>
      </c>
      <c r="T266" s="12" t="inlineStr">
        <is>
          <t>Paid</t>
        </is>
      </c>
      <c r="U266" s="12" t="inlineStr">
        <is>
          <t>Completed</t>
        </is>
      </c>
      <c r="V266">
        <f>IF(OR(P266="",P266&lt;0,P266&gt;0.5),0,P266)</f>
        <v/>
      </c>
      <c r="W266">
        <f>N266*O266*(1-V266)</f>
        <v/>
      </c>
      <c r="X266">
        <f>W266-R266</f>
        <v/>
      </c>
      <c r="Y266">
        <f>IF(W266=0,0,X266/W266)</f>
        <v/>
      </c>
      <c r="Z266">
        <f>C266-B266</f>
        <v/>
      </c>
      <c r="AA266">
        <f>TEXT(B266,"mmmm")</f>
        <v/>
      </c>
      <c r="AB266">
        <f>YEAR(B266)</f>
        <v/>
      </c>
      <c r="AC266">
        <f>IF(OR(P266&lt;0,P266&gt;0.5,C266&lt;B266),"INVALID","CLEAN")</f>
        <v/>
      </c>
    </row>
    <row r="267">
      <c r="A267" s="12" t="inlineStr">
        <is>
          <t>ORD-2024-10266</t>
        </is>
      </c>
      <c r="B267" s="12" t="inlineStr">
        <is>
          <t>14 Nov 2024</t>
        </is>
      </c>
      <c r="C267" s="12" t="inlineStr">
        <is>
          <t>11/22/2024</t>
        </is>
      </c>
      <c r="D267" s="12" t="inlineStr">
        <is>
          <t>CUST-3974</t>
        </is>
      </c>
      <c r="E267" s="12" t="inlineStr">
        <is>
          <t>Priya Menon</t>
        </is>
      </c>
      <c r="F267" s="12" t="inlineStr">
        <is>
          <t>Corporate</t>
        </is>
      </c>
      <c r="G267" s="12" t="inlineStr">
        <is>
          <t>East</t>
        </is>
      </c>
      <c r="H267" s="12" t="inlineStr">
        <is>
          <t>Bihar</t>
        </is>
      </c>
      <c r="I267" s="12" t="inlineStr">
        <is>
          <t>Patna</t>
        </is>
      </c>
      <c r="J267" s="12" t="inlineStr">
        <is>
          <t>Furniture</t>
        </is>
      </c>
      <c r="K267" s="12" t="inlineStr">
        <is>
          <t>Bookcases</t>
        </is>
      </c>
      <c r="L267" s="12" t="inlineStr">
        <is>
          <t>Basic Bookcases 570</t>
        </is>
      </c>
      <c r="M267" s="12" t="inlineStr">
        <is>
          <t>Same Day</t>
        </is>
      </c>
      <c r="N267" s="12" t="n">
        <v>1</v>
      </c>
      <c r="O267" s="12" t="n">
        <v>582.37</v>
      </c>
      <c r="P267" s="12" t="n">
        <v>0.15</v>
      </c>
      <c r="Q267" s="12" t="n">
        <v>495.01</v>
      </c>
      <c r="R267" s="12" t="n">
        <v>285.13</v>
      </c>
      <c r="S267" s="12" t="n">
        <v>209.88</v>
      </c>
      <c r="T267" s="12" t="inlineStr">
        <is>
          <t>Refunded</t>
        </is>
      </c>
      <c r="U267" s="12" t="inlineStr">
        <is>
          <t xml:space="preserve">  Cancelled </t>
        </is>
      </c>
      <c r="V267">
        <f>IF(OR(P267="",P267&lt;0,P267&gt;0.5),0,P267)</f>
        <v/>
      </c>
      <c r="W267">
        <f>N267*O267*(1-V267)</f>
        <v/>
      </c>
      <c r="X267">
        <f>W267-R267</f>
        <v/>
      </c>
      <c r="Y267">
        <f>IF(W267=0,0,X267/W267)</f>
        <v/>
      </c>
      <c r="Z267">
        <f>C267-B267</f>
        <v/>
      </c>
      <c r="AA267">
        <f>TEXT(B267,"mmmm")</f>
        <v/>
      </c>
      <c r="AB267">
        <f>YEAR(B267)</f>
        <v/>
      </c>
      <c r="AC267">
        <f>IF(OR(P267&lt;0,P267&gt;0.5,C267&lt;B267),"INVALID","CLEAN")</f>
        <v/>
      </c>
    </row>
    <row r="268">
      <c r="A268" s="12" t="inlineStr">
        <is>
          <t>ORD-2025-10267</t>
        </is>
      </c>
      <c r="B268" s="12" t="inlineStr">
        <is>
          <t>2025-05-03</t>
        </is>
      </c>
      <c r="C268" s="12" t="inlineStr">
        <is>
          <t>2025-05-10</t>
        </is>
      </c>
      <c r="D268" s="12" t="inlineStr">
        <is>
          <t>CUST-7114</t>
        </is>
      </c>
      <c r="E268" s="12" t="inlineStr">
        <is>
          <t>Neha Gupta</t>
        </is>
      </c>
      <c r="F268" s="12" t="inlineStr">
        <is>
          <t>Home Office</t>
        </is>
      </c>
      <c r="G268" s="12" t="inlineStr">
        <is>
          <t>West</t>
        </is>
      </c>
      <c r="H268" s="12" t="inlineStr">
        <is>
          <t>Maharashtra</t>
        </is>
      </c>
      <c r="I268" s="12" t="inlineStr">
        <is>
          <t>Mumbai</t>
        </is>
      </c>
      <c r="J268" s="12" t="inlineStr">
        <is>
          <t>Office Supplies</t>
        </is>
      </c>
      <c r="K268" s="12" t="inlineStr">
        <is>
          <t>Storage</t>
        </is>
      </c>
      <c r="L268" s="12" t="inlineStr">
        <is>
          <t>Classic Storage 926</t>
        </is>
      </c>
      <c r="M268" s="12" t="inlineStr">
        <is>
          <t>Second Class</t>
        </is>
      </c>
      <c r="N268" s="12" t="n">
        <v>3</v>
      </c>
      <c r="O268" s="12" t="n">
        <v>4339.24</v>
      </c>
      <c r="P268" s="12" t="n">
        <v>0</v>
      </c>
      <c r="Q268" s="12" t="n">
        <v>13017.72</v>
      </c>
      <c r="R268" s="12" t="n">
        <v>10170.57</v>
      </c>
      <c r="S268" s="12" t="n">
        <v>2847.15</v>
      </c>
      <c r="T268" s="12" t="inlineStr">
        <is>
          <t>Paid</t>
        </is>
      </c>
      <c r="U268" s="12" t="inlineStr">
        <is>
          <t>Completed</t>
        </is>
      </c>
      <c r="V268">
        <f>IF(OR(P268="",P268&lt;0,P268&gt;0.5),0,P268)</f>
        <v/>
      </c>
      <c r="W268">
        <f>N268*O268*(1-V268)</f>
        <v/>
      </c>
      <c r="X268">
        <f>W268-R268</f>
        <v/>
      </c>
      <c r="Y268">
        <f>IF(W268=0,0,X268/W268)</f>
        <v/>
      </c>
      <c r="Z268">
        <f>C268-B268</f>
        <v/>
      </c>
      <c r="AA268">
        <f>TEXT(B268,"mmmm")</f>
        <v/>
      </c>
      <c r="AB268">
        <f>YEAR(B268)</f>
        <v/>
      </c>
      <c r="AC268">
        <f>IF(OR(P268&lt;0,P268&gt;0.5,C268&lt;B268),"INVALID","CLEAN")</f>
        <v/>
      </c>
    </row>
    <row r="269">
      <c r="A269" s="12" t="inlineStr">
        <is>
          <t>ORD-2025-10268</t>
        </is>
      </c>
      <c r="B269" s="12" t="inlineStr">
        <is>
          <t>28 May 2025</t>
        </is>
      </c>
      <c r="C269" s="12" t="inlineStr">
        <is>
          <t>04-06-2025</t>
        </is>
      </c>
      <c r="D269" s="12" t="inlineStr">
        <is>
          <t>CUST-4431</t>
        </is>
      </c>
      <c r="E269" s="12" t="inlineStr">
        <is>
          <t>Diya Patel</t>
        </is>
      </c>
      <c r="F269" s="12" t="inlineStr">
        <is>
          <t>Corporate</t>
        </is>
      </c>
      <c r="G269" s="12" t="inlineStr">
        <is>
          <t>East</t>
        </is>
      </c>
      <c r="H269" s="12" t="inlineStr">
        <is>
          <t>Jharkhand</t>
        </is>
      </c>
      <c r="I269" s="12" t="inlineStr">
        <is>
          <t>Ranchi</t>
        </is>
      </c>
      <c r="J269" s="12" t="inlineStr">
        <is>
          <t>Furniture</t>
        </is>
      </c>
      <c r="K269" s="12" t="inlineStr">
        <is>
          <t>Furnishings</t>
        </is>
      </c>
      <c r="L269" s="12" t="inlineStr">
        <is>
          <t>Basic Furnishings 372</t>
        </is>
      </c>
      <c r="M269" s="12" t="inlineStr">
        <is>
          <t>First Class</t>
        </is>
      </c>
      <c r="N269" s="12" t="n">
        <v>4</v>
      </c>
      <c r="O269" s="12" t="n">
        <v>261.8</v>
      </c>
      <c r="P269" s="12" t="n">
        <v>0.25</v>
      </c>
      <c r="Q269" s="12" t="n">
        <v>785.4</v>
      </c>
      <c r="R269" s="12" t="n">
        <v>557.22</v>
      </c>
      <c r="S269" s="12" t="n">
        <v>228.18</v>
      </c>
      <c r="T269" s="12" t="inlineStr">
        <is>
          <t>Paid</t>
        </is>
      </c>
      <c r="U269" s="12" t="inlineStr">
        <is>
          <t>Completed</t>
        </is>
      </c>
      <c r="V269">
        <f>IF(OR(P269="",P269&lt;0,P269&gt;0.5),0,P269)</f>
        <v/>
      </c>
      <c r="W269">
        <f>N269*O269*(1-V269)</f>
        <v/>
      </c>
      <c r="X269">
        <f>W269-R269</f>
        <v/>
      </c>
      <c r="Y269">
        <f>IF(W269=0,0,X269/W269)</f>
        <v/>
      </c>
      <c r="Z269">
        <f>C269-B269</f>
        <v/>
      </c>
      <c r="AA269">
        <f>TEXT(B269,"mmmm")</f>
        <v/>
      </c>
      <c r="AB269">
        <f>YEAR(B269)</f>
        <v/>
      </c>
      <c r="AC269">
        <f>IF(OR(P269&lt;0,P269&gt;0.5,C269&lt;B269),"INVALID","CLEAN")</f>
        <v/>
      </c>
    </row>
    <row r="270">
      <c r="A270" s="12" t="inlineStr">
        <is>
          <t>ORD-2025-10269</t>
        </is>
      </c>
      <c r="B270" s="12" t="inlineStr">
        <is>
          <t>08/17/2025</t>
        </is>
      </c>
      <c r="C270" s="12" t="inlineStr">
        <is>
          <t>08/17/2025</t>
        </is>
      </c>
      <c r="D270" s="12" t="inlineStr">
        <is>
          <t>CUST-1488</t>
        </is>
      </c>
      <c r="E270" s="12" t="inlineStr">
        <is>
          <t>Aarav Sharma</t>
        </is>
      </c>
      <c r="F270" s="12" t="inlineStr">
        <is>
          <t>Home Office</t>
        </is>
      </c>
      <c r="G270" s="12" t="inlineStr">
        <is>
          <t>North</t>
        </is>
      </c>
      <c r="H270" s="12" t="inlineStr">
        <is>
          <t>Punjab</t>
        </is>
      </c>
      <c r="I270" s="12" t="inlineStr">
        <is>
          <t>Ludhiana</t>
        </is>
      </c>
      <c r="J270" s="12" t="inlineStr">
        <is>
          <t>Technology</t>
        </is>
      </c>
      <c r="K270" s="12" t="inlineStr">
        <is>
          <t>Accessories</t>
        </is>
      </c>
      <c r="L270" s="12" t="inlineStr">
        <is>
          <t>Prime Accessories 367</t>
        </is>
      </c>
      <c r="M270" s="12" t="inlineStr">
        <is>
          <t>First Class</t>
        </is>
      </c>
      <c r="N270" s="12" t="n">
        <v>7</v>
      </c>
      <c r="O270" s="12" t="n">
        <v>632.2</v>
      </c>
      <c r="P270" s="12" t="n">
        <v>0.25</v>
      </c>
      <c r="Q270" s="12" t="n">
        <v>3319.05</v>
      </c>
      <c r="R270" s="12" t="n">
        <v>2124.6</v>
      </c>
      <c r="S270" s="12" t="n">
        <v>1194.45</v>
      </c>
      <c r="T270" s="12" t="inlineStr">
        <is>
          <t>Paid</t>
        </is>
      </c>
      <c r="U270" s="12" t="inlineStr">
        <is>
          <t>Completed</t>
        </is>
      </c>
      <c r="V270">
        <f>IF(OR(P270="",P270&lt;0,P270&gt;0.5),0,P270)</f>
        <v/>
      </c>
      <c r="W270">
        <f>N270*O270*(1-V270)</f>
        <v/>
      </c>
      <c r="X270">
        <f>W270-R270</f>
        <v/>
      </c>
      <c r="Y270">
        <f>IF(W270=0,0,X270/W270)</f>
        <v/>
      </c>
      <c r="Z270">
        <f>C270-B270</f>
        <v/>
      </c>
      <c r="AA270">
        <f>TEXT(B270,"mmmm")</f>
        <v/>
      </c>
      <c r="AB270">
        <f>YEAR(B270)</f>
        <v/>
      </c>
      <c r="AC270">
        <f>IF(OR(P270&lt;0,P270&gt;0.5,C270&lt;B270),"INVALID","CLEAN")</f>
        <v/>
      </c>
    </row>
    <row r="271">
      <c r="A271" s="12" t="inlineStr">
        <is>
          <t>ORD-2025-10270</t>
        </is>
      </c>
      <c r="B271" s="12" t="inlineStr">
        <is>
          <t>02/10/2025</t>
        </is>
      </c>
      <c r="C271" s="12" t="inlineStr">
        <is>
          <t>02/12/2025</t>
        </is>
      </c>
      <c r="D271" s="12" t="inlineStr">
        <is>
          <t>CUST-1586</t>
        </is>
      </c>
      <c r="E271" s="12" t="inlineStr">
        <is>
          <t>Rahul Verma</t>
        </is>
      </c>
      <c r="F271" s="12" t="inlineStr">
        <is>
          <t>Small Business</t>
        </is>
      </c>
      <c r="G271" s="12" t="inlineStr">
        <is>
          <t>West</t>
        </is>
      </c>
      <c r="H271" s="12" t="inlineStr">
        <is>
          <t>Rajasthan</t>
        </is>
      </c>
      <c r="I271" s="12" t="inlineStr">
        <is>
          <t>Udaipur</t>
        </is>
      </c>
      <c r="J271" s="12" t="inlineStr">
        <is>
          <t xml:space="preserve">  Furniture </t>
        </is>
      </c>
      <c r="K271" s="12" t="inlineStr">
        <is>
          <t>Tables</t>
        </is>
      </c>
      <c r="L271" s="12" t="inlineStr">
        <is>
          <t>Max Tables 526</t>
        </is>
      </c>
      <c r="M271" s="12" t="inlineStr">
        <is>
          <t>Same Day</t>
        </is>
      </c>
      <c r="N271" s="12" t="n">
        <v>1</v>
      </c>
      <c r="O271" s="12" t="n">
        <v>1925.86</v>
      </c>
      <c r="P271" s="12" t="n">
        <v>0</v>
      </c>
      <c r="Q271" s="12" t="n">
        <v>1925.86</v>
      </c>
      <c r="R271" s="12" t="n">
        <v>1321.89</v>
      </c>
      <c r="S271" s="12" t="n">
        <v>603.97</v>
      </c>
      <c r="T271" s="12" t="inlineStr">
        <is>
          <t>Paid</t>
        </is>
      </c>
      <c r="U271" s="12" t="inlineStr">
        <is>
          <t>Completed</t>
        </is>
      </c>
      <c r="V271">
        <f>IF(OR(P271="",P271&lt;0,P271&gt;0.5),0,P271)</f>
        <v/>
      </c>
      <c r="W271">
        <f>N271*O271*(1-V271)</f>
        <v/>
      </c>
      <c r="X271">
        <f>W271-R271</f>
        <v/>
      </c>
      <c r="Y271">
        <f>IF(W271=0,0,X271/W271)</f>
        <v/>
      </c>
      <c r="Z271">
        <f>C271-B271</f>
        <v/>
      </c>
      <c r="AA271">
        <f>TEXT(B271,"mmmm")</f>
        <v/>
      </c>
      <c r="AB271">
        <f>YEAR(B271)</f>
        <v/>
      </c>
      <c r="AC271">
        <f>IF(OR(P271&lt;0,P271&gt;0.5,C271&lt;B271),"INVALID","CLEAN")</f>
        <v/>
      </c>
    </row>
    <row r="272">
      <c r="A272" s="12" t="inlineStr">
        <is>
          <t>ORD-2024-10271</t>
        </is>
      </c>
      <c r="B272" s="12" t="inlineStr">
        <is>
          <t>01/12/2024</t>
        </is>
      </c>
      <c r="C272" s="12" t="inlineStr">
        <is>
          <t>13-01-2024</t>
        </is>
      </c>
      <c r="D272" s="12" t="inlineStr">
        <is>
          <t>CUST-2487</t>
        </is>
      </c>
      <c r="E272" s="12" t="inlineStr">
        <is>
          <t>Aditi Sen</t>
        </is>
      </c>
      <c r="F272" s="12" t="inlineStr">
        <is>
          <t>Corporate</t>
        </is>
      </c>
      <c r="G272" s="12" t="inlineStr">
        <is>
          <t>North</t>
        </is>
      </c>
      <c r="H272" s="12" t="inlineStr">
        <is>
          <t>Uttar Pradesh</t>
        </is>
      </c>
      <c r="I272" s="12" t="inlineStr">
        <is>
          <t>Noida</t>
        </is>
      </c>
      <c r="J272" s="12" t="inlineStr">
        <is>
          <t>Technology</t>
        </is>
      </c>
      <c r="K272" s="12" t="inlineStr">
        <is>
          <t>Machines</t>
        </is>
      </c>
      <c r="L272" s="12" t="inlineStr">
        <is>
          <t>Prime Machines 794</t>
        </is>
      </c>
      <c r="M272" s="12" t="inlineStr">
        <is>
          <t>Same Day</t>
        </is>
      </c>
      <c r="N272" s="12" t="n">
        <v>3</v>
      </c>
      <c r="O272" s="12" t="n">
        <v>827.4400000000001</v>
      </c>
      <c r="P272" s="12" t="n">
        <v>0</v>
      </c>
      <c r="Q272" s="12" t="n">
        <v>2482.32</v>
      </c>
      <c r="R272" s="12" t="n">
        <v>1520.21</v>
      </c>
      <c r="S272" s="12" t="n">
        <v>962.11</v>
      </c>
      <c r="T272" s="12" t="inlineStr">
        <is>
          <t>Paid</t>
        </is>
      </c>
      <c r="U272" s="12" t="inlineStr">
        <is>
          <t>Completed</t>
        </is>
      </c>
      <c r="V272">
        <f>IF(OR(P272="",P272&lt;0,P272&gt;0.5),0,P272)</f>
        <v/>
      </c>
      <c r="W272">
        <f>N272*O272*(1-V272)</f>
        <v/>
      </c>
      <c r="X272">
        <f>W272-R272</f>
        <v/>
      </c>
      <c r="Y272">
        <f>IF(W272=0,0,X272/W272)</f>
        <v/>
      </c>
      <c r="Z272">
        <f>C272-B272</f>
        <v/>
      </c>
      <c r="AA272">
        <f>TEXT(B272,"mmmm")</f>
        <v/>
      </c>
      <c r="AB272">
        <f>YEAR(B272)</f>
        <v/>
      </c>
      <c r="AC272">
        <f>IF(OR(P272&lt;0,P272&gt;0.5,C272&lt;B272),"INVALID","CLEAN")</f>
        <v/>
      </c>
    </row>
    <row r="273">
      <c r="A273" s="12" t="inlineStr">
        <is>
          <t>ORD-2024-10272</t>
        </is>
      </c>
      <c r="B273" s="12" t="inlineStr">
        <is>
          <t>21 Dec 2024</t>
        </is>
      </c>
      <c r="C273" s="12" t="inlineStr">
        <is>
          <t>25 Dec 2024</t>
        </is>
      </c>
      <c r="D273" s="12" t="inlineStr">
        <is>
          <t>CUST-8009</t>
        </is>
      </c>
      <c r="E273" s="12" t="inlineStr">
        <is>
          <t>Aditi Sen</t>
        </is>
      </c>
      <c r="F273" s="12" t="inlineStr">
        <is>
          <t>Consumer</t>
        </is>
      </c>
      <c r="G273" s="12" t="inlineStr">
        <is>
          <t>South</t>
        </is>
      </c>
      <c r="H273" s="12" t="inlineStr">
        <is>
          <t>Telangana</t>
        </is>
      </c>
      <c r="I273" s="12" t="inlineStr">
        <is>
          <t>Hyderabad</t>
        </is>
      </c>
      <c r="J273" s="12" t="inlineStr">
        <is>
          <t>Office Supplies</t>
        </is>
      </c>
      <c r="K273" s="12" t="inlineStr">
        <is>
          <t>Binders</t>
        </is>
      </c>
      <c r="L273" s="12" t="inlineStr">
        <is>
          <t>Max Binders 927</t>
        </is>
      </c>
      <c r="M273" s="12" t="inlineStr">
        <is>
          <t>Standard Class</t>
        </is>
      </c>
      <c r="N273" s="12" t="n">
        <v>7</v>
      </c>
      <c r="O273" s="12" t="n">
        <v>1667.75</v>
      </c>
      <c r="P273" s="12" t="n">
        <v>0</v>
      </c>
      <c r="Q273" s="12" t="n">
        <v>11674.25</v>
      </c>
      <c r="R273" s="12" t="n">
        <v>9621.190000000001</v>
      </c>
      <c r="S273" s="12" t="n">
        <v>2053.06</v>
      </c>
      <c r="T273" s="12" t="inlineStr">
        <is>
          <t>Failed</t>
        </is>
      </c>
      <c r="U273" s="12" t="inlineStr">
        <is>
          <t>Cancelled</t>
        </is>
      </c>
      <c r="V273">
        <f>IF(OR(P273="",P273&lt;0,P273&gt;0.5),0,P273)</f>
        <v/>
      </c>
      <c r="W273">
        <f>N273*O273*(1-V273)</f>
        <v/>
      </c>
      <c r="X273">
        <f>W273-R273</f>
        <v/>
      </c>
      <c r="Y273">
        <f>IF(W273=0,0,X273/W273)</f>
        <v/>
      </c>
      <c r="Z273">
        <f>C273-B273</f>
        <v/>
      </c>
      <c r="AA273">
        <f>TEXT(B273,"mmmm")</f>
        <v/>
      </c>
      <c r="AB273">
        <f>YEAR(B273)</f>
        <v/>
      </c>
      <c r="AC273">
        <f>IF(OR(P273&lt;0,P273&gt;0.5,C273&lt;B273),"INVALID","CLEAN")</f>
        <v/>
      </c>
    </row>
    <row r="274">
      <c r="A274" s="12" t="inlineStr">
        <is>
          <t>ORD-2024-10273</t>
        </is>
      </c>
      <c r="B274" s="12" t="inlineStr">
        <is>
          <t>08/18/2024</t>
        </is>
      </c>
      <c r="C274" s="12" t="inlineStr">
        <is>
          <t>24 Aug 2024</t>
        </is>
      </c>
      <c r="D274" s="12" t="inlineStr">
        <is>
          <t>CUST-7389</t>
        </is>
      </c>
      <c r="E274" s="12" t="inlineStr">
        <is>
          <t>Arjun Bose</t>
        </is>
      </c>
      <c r="F274" s="12" t="inlineStr">
        <is>
          <t>Consumer</t>
        </is>
      </c>
      <c r="G274" s="12" t="inlineStr">
        <is>
          <t>South</t>
        </is>
      </c>
      <c r="H274" s="12" t="inlineStr">
        <is>
          <t>Andhra Pradesh</t>
        </is>
      </c>
      <c r="I274" s="12" t="inlineStr">
        <is>
          <t>Vijayawada</t>
        </is>
      </c>
      <c r="J274" s="12" t="inlineStr">
        <is>
          <t>Furniture</t>
        </is>
      </c>
      <c r="K274" s="12" t="inlineStr">
        <is>
          <t>Chairs</t>
        </is>
      </c>
      <c r="L274" s="12" t="inlineStr">
        <is>
          <t>Eco Chairs 314</t>
        </is>
      </c>
      <c r="M274" s="12" t="inlineStr">
        <is>
          <t>First Class</t>
        </is>
      </c>
      <c r="N274" s="12" t="n">
        <v>7</v>
      </c>
      <c r="O274" s="12" t="n">
        <v>557.21</v>
      </c>
      <c r="P274" s="12" t="n">
        <v>0.1</v>
      </c>
      <c r="Q274" s="12" t="n">
        <v>3510.42</v>
      </c>
      <c r="R274" s="12" t="n">
        <v>2191.5</v>
      </c>
      <c r="S274" s="12" t="n">
        <v>1213.48</v>
      </c>
      <c r="T274" s="12" t="inlineStr">
        <is>
          <t>Paid</t>
        </is>
      </c>
      <c r="U274" s="12" t="inlineStr">
        <is>
          <t>Completed</t>
        </is>
      </c>
      <c r="V274">
        <f>IF(OR(P274="",P274&lt;0,P274&gt;0.5),0,P274)</f>
        <v/>
      </c>
      <c r="W274">
        <f>N274*O274*(1-V274)</f>
        <v/>
      </c>
      <c r="X274">
        <f>W274-R274</f>
        <v/>
      </c>
      <c r="Y274">
        <f>IF(W274=0,0,X274/W274)</f>
        <v/>
      </c>
      <c r="Z274">
        <f>C274-B274</f>
        <v/>
      </c>
      <c r="AA274">
        <f>TEXT(B274,"mmmm")</f>
        <v/>
      </c>
      <c r="AB274">
        <f>YEAR(B274)</f>
        <v/>
      </c>
      <c r="AC274">
        <f>IF(OR(P274&lt;0,P274&gt;0.5,C274&lt;B274),"INVALID","CLEAN")</f>
        <v/>
      </c>
    </row>
    <row r="275">
      <c r="A275" s="12" t="inlineStr">
        <is>
          <t>ORD-2025-10274</t>
        </is>
      </c>
      <c r="B275" s="12" t="inlineStr">
        <is>
          <t>02/13/2025</t>
        </is>
      </c>
      <c r="C275" s="12" t="inlineStr">
        <is>
          <t>13 Feb 2025</t>
        </is>
      </c>
      <c r="D275" s="12" t="inlineStr">
        <is>
          <t>CUST-8249</t>
        </is>
      </c>
      <c r="E275" s="12" t="inlineStr">
        <is>
          <t>Isha Nair</t>
        </is>
      </c>
      <c r="F275" s="12" t="inlineStr">
        <is>
          <t>Consumer</t>
        </is>
      </c>
      <c r="G275" s="12" t="inlineStr">
        <is>
          <t>East</t>
        </is>
      </c>
      <c r="H275" s="12" t="inlineStr">
        <is>
          <t>Bihar</t>
        </is>
      </c>
      <c r="I275" s="12" t="inlineStr">
        <is>
          <t>Patna</t>
        </is>
      </c>
      <c r="J275" s="12" t="inlineStr">
        <is>
          <t>Office Supplies</t>
        </is>
      </c>
      <c r="K275" s="12" t="inlineStr">
        <is>
          <t>Paper</t>
        </is>
      </c>
      <c r="L275" s="12" t="inlineStr">
        <is>
          <t>Basic Paper 657</t>
        </is>
      </c>
      <c r="M275" s="12" t="inlineStr">
        <is>
          <t>Second Class</t>
        </is>
      </c>
      <c r="N275" s="12" t="n">
        <v>9</v>
      </c>
      <c r="O275" s="12" t="n">
        <v>2521.63</v>
      </c>
      <c r="P275" s="12" t="n">
        <v>0</v>
      </c>
      <c r="Q275" s="12" t="n">
        <v>22694.67</v>
      </c>
      <c r="R275" s="12" t="n">
        <v>15405.36</v>
      </c>
      <c r="S275" s="12" t="n">
        <v>7289.31</v>
      </c>
      <c r="T275" s="12" t="inlineStr">
        <is>
          <t>Paid</t>
        </is>
      </c>
      <c r="U275" s="12" t="inlineStr">
        <is>
          <t>Returned</t>
        </is>
      </c>
      <c r="V275">
        <f>IF(OR(P275="",P275&lt;0,P275&gt;0.5),0,P275)</f>
        <v/>
      </c>
      <c r="W275">
        <f>N275*O275*(1-V275)</f>
        <v/>
      </c>
      <c r="X275">
        <f>W275-R275</f>
        <v/>
      </c>
      <c r="Y275">
        <f>IF(W275=0,0,X275/W275)</f>
        <v/>
      </c>
      <c r="Z275">
        <f>C275-B275</f>
        <v/>
      </c>
      <c r="AA275">
        <f>TEXT(B275,"mmmm")</f>
        <v/>
      </c>
      <c r="AB275">
        <f>YEAR(B275)</f>
        <v/>
      </c>
      <c r="AC275">
        <f>IF(OR(P275&lt;0,P275&gt;0.5,C275&lt;B275),"INVALID","CLEAN")</f>
        <v/>
      </c>
    </row>
    <row r="276">
      <c r="A276" s="12" t="inlineStr">
        <is>
          <t>ORD-2024-10275</t>
        </is>
      </c>
      <c r="B276" s="12" t="inlineStr">
        <is>
          <t>07-04-2024</t>
        </is>
      </c>
      <c r="C276" s="12" t="inlineStr">
        <is>
          <t>14-04-2024</t>
        </is>
      </c>
      <c r="D276" s="12" t="inlineStr">
        <is>
          <t>CUST-4202</t>
        </is>
      </c>
      <c r="E276" s="12" t="inlineStr">
        <is>
          <t>Rohan Mehta</t>
        </is>
      </c>
      <c r="F276" s="12" t="inlineStr">
        <is>
          <t>Consumer</t>
        </is>
      </c>
      <c r="G276" s="12" t="inlineStr">
        <is>
          <t>South</t>
        </is>
      </c>
      <c r="H276" s="12" t="inlineStr">
        <is>
          <t>Kerala</t>
        </is>
      </c>
      <c r="I276" s="12" t="inlineStr">
        <is>
          <t>Kochi</t>
        </is>
      </c>
      <c r="J276" s="12" t="inlineStr">
        <is>
          <t>Technology</t>
        </is>
      </c>
      <c r="K276" s="12" t="inlineStr">
        <is>
          <t>Copiers</t>
        </is>
      </c>
      <c r="L276" s="12" t="inlineStr">
        <is>
          <t>Pro Copiers 406</t>
        </is>
      </c>
      <c r="M276" s="12" t="inlineStr">
        <is>
          <t>Standard Class</t>
        </is>
      </c>
      <c r="N276" s="12" t="n">
        <v>6</v>
      </c>
      <c r="O276" s="12" t="n">
        <v>4246.71</v>
      </c>
      <c r="P276" s="12" t="n">
        <v>0.15</v>
      </c>
      <c r="Q276" s="12" t="n">
        <v>21658.22</v>
      </c>
      <c r="R276" s="12" t="n">
        <v>15490.69</v>
      </c>
      <c r="S276" s="12" t="n">
        <v>6167.53</v>
      </c>
      <c r="T276" s="12" t="inlineStr">
        <is>
          <t>Failed</t>
        </is>
      </c>
      <c r="U276" s="12" t="inlineStr">
        <is>
          <t>Returned</t>
        </is>
      </c>
      <c r="V276">
        <f>IF(OR(P276="",P276&lt;0,P276&gt;0.5),0,P276)</f>
        <v/>
      </c>
      <c r="W276">
        <f>N276*O276*(1-V276)</f>
        <v/>
      </c>
      <c r="X276">
        <f>W276-R276</f>
        <v/>
      </c>
      <c r="Y276">
        <f>IF(W276=0,0,X276/W276)</f>
        <v/>
      </c>
      <c r="Z276">
        <f>C276-B276</f>
        <v/>
      </c>
      <c r="AA276">
        <f>TEXT(B276,"mmmm")</f>
        <v/>
      </c>
      <c r="AB276">
        <f>YEAR(B276)</f>
        <v/>
      </c>
      <c r="AC276">
        <f>IF(OR(P276&lt;0,P276&gt;0.5,C276&lt;B276),"INVALID","CLEAN")</f>
        <v/>
      </c>
    </row>
    <row r="277">
      <c r="A277" s="12" t="inlineStr">
        <is>
          <t>ORD-2024-10276</t>
        </is>
      </c>
      <c r="B277" s="12" t="inlineStr">
        <is>
          <t>2024-02-15</t>
        </is>
      </c>
      <c r="C277" s="12" t="inlineStr">
        <is>
          <t>02/22/2024</t>
        </is>
      </c>
      <c r="D277" s="12" t="inlineStr">
        <is>
          <t>CUST-2875</t>
        </is>
      </c>
      <c r="E277" s="12" t="inlineStr">
        <is>
          <t>Priya Menon</t>
        </is>
      </c>
      <c r="F277" s="12" t="inlineStr">
        <is>
          <t>Small Business</t>
        </is>
      </c>
      <c r="G277" s="12" t="inlineStr">
        <is>
          <t>East</t>
        </is>
      </c>
      <c r="H277" s="12" t="inlineStr">
        <is>
          <t>West Bengal</t>
        </is>
      </c>
      <c r="I277" s="12" t="inlineStr">
        <is>
          <t>Kolkata</t>
        </is>
      </c>
      <c r="J277" s="12" t="inlineStr">
        <is>
          <t>Furniture</t>
        </is>
      </c>
      <c r="K277" s="12" t="inlineStr">
        <is>
          <t>Furnishings</t>
        </is>
      </c>
      <c r="L277" s="12" t="inlineStr">
        <is>
          <t>Eco Furnishings 678</t>
        </is>
      </c>
      <c r="M277" s="12" t="inlineStr">
        <is>
          <t>Same Day</t>
        </is>
      </c>
      <c r="N277" s="12" t="n">
        <v>1</v>
      </c>
      <c r="O277" s="12" t="n">
        <v>980.51</v>
      </c>
      <c r="P277" s="12" t="n">
        <v>0</v>
      </c>
      <c r="Q277" s="12" t="n">
        <v>980.51</v>
      </c>
      <c r="R277" s="12" t="n">
        <v>660.92</v>
      </c>
      <c r="S277" s="12" t="n">
        <v>319.59</v>
      </c>
      <c r="T277" s="12" t="inlineStr">
        <is>
          <t>Paid</t>
        </is>
      </c>
      <c r="U277" s="12" t="inlineStr">
        <is>
          <t>Completed</t>
        </is>
      </c>
      <c r="V277">
        <f>IF(OR(P277="",P277&lt;0,P277&gt;0.5),0,P277)</f>
        <v/>
      </c>
      <c r="W277">
        <f>N277*O277*(1-V277)</f>
        <v/>
      </c>
      <c r="X277">
        <f>W277-R277</f>
        <v/>
      </c>
      <c r="Y277">
        <f>IF(W277=0,0,X277/W277)</f>
        <v/>
      </c>
      <c r="Z277">
        <f>C277-B277</f>
        <v/>
      </c>
      <c r="AA277">
        <f>TEXT(B277,"mmmm")</f>
        <v/>
      </c>
      <c r="AB277">
        <f>YEAR(B277)</f>
        <v/>
      </c>
      <c r="AC277">
        <f>IF(OR(P277&lt;0,P277&gt;0.5,C277&lt;B277),"INVALID","CLEAN")</f>
        <v/>
      </c>
    </row>
    <row r="278">
      <c r="A278" s="12" t="inlineStr">
        <is>
          <t>ORD-2024-10277</t>
        </is>
      </c>
      <c r="B278" s="12" t="inlineStr">
        <is>
          <t>22-01-2024</t>
        </is>
      </c>
      <c r="C278" s="12" t="inlineStr">
        <is>
          <t>23-01-2024</t>
        </is>
      </c>
      <c r="D278" s="12" t="inlineStr">
        <is>
          <t>CUST-7039</t>
        </is>
      </c>
      <c r="E278" s="12" t="inlineStr">
        <is>
          <t>Aarav Sharma</t>
        </is>
      </c>
      <c r="F278" s="12" t="inlineStr">
        <is>
          <t>Small Business</t>
        </is>
      </c>
      <c r="G278" s="12" t="n"/>
      <c r="H278" s="12" t="inlineStr">
        <is>
          <t>Assam</t>
        </is>
      </c>
      <c r="I278" s="12" t="inlineStr">
        <is>
          <t>Guwahati</t>
        </is>
      </c>
      <c r="J278" s="12" t="inlineStr">
        <is>
          <t>Furniture</t>
        </is>
      </c>
      <c r="K278" s="12" t="inlineStr">
        <is>
          <t>Chairs</t>
        </is>
      </c>
      <c r="L278" s="12" t="inlineStr">
        <is>
          <t>Basic Chairs 141</t>
        </is>
      </c>
      <c r="M278" s="12" t="inlineStr">
        <is>
          <t>Second Class</t>
        </is>
      </c>
      <c r="N278" s="12" t="n">
        <v>6</v>
      </c>
      <c r="O278" s="12" t="n">
        <v>3391.53</v>
      </c>
      <c r="P278" s="12" t="n">
        <v>-0.14</v>
      </c>
      <c r="Q278" s="12" t="n">
        <v>15261.89</v>
      </c>
      <c r="R278" s="12" t="n">
        <v>8413.530000000001</v>
      </c>
      <c r="S278" s="12" t="n">
        <v>6848.36</v>
      </c>
      <c r="T278" s="12" t="inlineStr">
        <is>
          <t>Paid</t>
        </is>
      </c>
      <c r="U278" s="12" t="inlineStr">
        <is>
          <t>Completed</t>
        </is>
      </c>
      <c r="V278">
        <f>IF(OR(P278="",P278&lt;0,P278&gt;0.5),0,P278)</f>
        <v/>
      </c>
      <c r="W278">
        <f>N278*O278*(1-V278)</f>
        <v/>
      </c>
      <c r="X278">
        <f>W278-R278</f>
        <v/>
      </c>
      <c r="Y278">
        <f>IF(W278=0,0,X278/W278)</f>
        <v/>
      </c>
      <c r="Z278">
        <f>C278-B278</f>
        <v/>
      </c>
      <c r="AA278">
        <f>TEXT(B278,"mmmm")</f>
        <v/>
      </c>
      <c r="AB278">
        <f>YEAR(B278)</f>
        <v/>
      </c>
      <c r="AC278">
        <f>IF(OR(P278&lt;0,P278&gt;0.5,C278&lt;B278),"INVALID","CLEAN")</f>
        <v/>
      </c>
    </row>
    <row r="279">
      <c r="A279" s="12" t="inlineStr">
        <is>
          <t>ORD-2025-10278</t>
        </is>
      </c>
      <c r="B279" s="12" t="inlineStr">
        <is>
          <t>04 Jun 2025</t>
        </is>
      </c>
      <c r="C279" s="12" t="inlineStr">
        <is>
          <t>04 Jun 2025</t>
        </is>
      </c>
      <c r="D279" s="12" t="inlineStr">
        <is>
          <t>CUST-2819</t>
        </is>
      </c>
      <c r="E279" s="12" t="inlineStr">
        <is>
          <t>Isha Nair</t>
        </is>
      </c>
      <c r="F279" s="12" t="inlineStr">
        <is>
          <t>Corporate</t>
        </is>
      </c>
      <c r="G279" s="12" t="inlineStr">
        <is>
          <t>North</t>
        </is>
      </c>
      <c r="H279" s="12" t="inlineStr">
        <is>
          <t>Haryana</t>
        </is>
      </c>
      <c r="I279" s="12" t="inlineStr">
        <is>
          <t>Gurugram</t>
        </is>
      </c>
      <c r="J279" s="12" t="inlineStr">
        <is>
          <t>Technology</t>
        </is>
      </c>
      <c r="K279" s="12" t="inlineStr">
        <is>
          <t>Accessories</t>
        </is>
      </c>
      <c r="L279" s="12" t="inlineStr">
        <is>
          <t>Elite Accessories 291</t>
        </is>
      </c>
      <c r="M279" s="12" t="inlineStr">
        <is>
          <t>Second Class</t>
        </is>
      </c>
      <c r="N279" s="12" t="n">
        <v>1</v>
      </c>
      <c r="O279" s="12" t="n">
        <v>2133.73</v>
      </c>
      <c r="P279" s="12" t="n">
        <v>0.15</v>
      </c>
      <c r="Q279" s="12" t="n">
        <v>2008.39</v>
      </c>
      <c r="R279" s="12" t="n">
        <v>1002.57</v>
      </c>
      <c r="S279" s="12" t="n">
        <v>811.1</v>
      </c>
      <c r="T279" s="12" t="inlineStr">
        <is>
          <t>Pending</t>
        </is>
      </c>
      <c r="U279" s="12" t="inlineStr">
        <is>
          <t>Cancelled</t>
        </is>
      </c>
      <c r="V279">
        <f>IF(OR(P279="",P279&lt;0,P279&gt;0.5),0,P279)</f>
        <v/>
      </c>
      <c r="W279">
        <f>N279*O279*(1-V279)</f>
        <v/>
      </c>
      <c r="X279">
        <f>W279-R279</f>
        <v/>
      </c>
      <c r="Y279">
        <f>IF(W279=0,0,X279/W279)</f>
        <v/>
      </c>
      <c r="Z279">
        <f>C279-B279</f>
        <v/>
      </c>
      <c r="AA279">
        <f>TEXT(B279,"mmmm")</f>
        <v/>
      </c>
      <c r="AB279">
        <f>YEAR(B279)</f>
        <v/>
      </c>
      <c r="AC279">
        <f>IF(OR(P279&lt;0,P279&gt;0.5,C279&lt;B279),"INVALID","CLEAN")</f>
        <v/>
      </c>
    </row>
    <row r="280">
      <c r="A280" s="12" t="inlineStr">
        <is>
          <t>ORD-2025-10279</t>
        </is>
      </c>
      <c r="B280" s="12" t="inlineStr">
        <is>
          <t>07-03-2025</t>
        </is>
      </c>
      <c r="C280" s="12" t="inlineStr">
        <is>
          <t>2025-03-14</t>
        </is>
      </c>
      <c r="D280" s="12" t="inlineStr">
        <is>
          <t>CUST-8242</t>
        </is>
      </c>
      <c r="E280" s="12" t="inlineStr">
        <is>
          <t xml:space="preserve">Priya Menon </t>
        </is>
      </c>
      <c r="F280" s="12" t="inlineStr">
        <is>
          <t>Small Business</t>
        </is>
      </c>
      <c r="G280" s="12" t="inlineStr">
        <is>
          <t>North</t>
        </is>
      </c>
      <c r="H280" s="12" t="inlineStr">
        <is>
          <t>Delhi</t>
        </is>
      </c>
      <c r="I280" s="12" t="inlineStr">
        <is>
          <t>New Delhi</t>
        </is>
      </c>
      <c r="J280" s="12" t="inlineStr">
        <is>
          <t>Technology</t>
        </is>
      </c>
      <c r="K280" s="12" t="inlineStr">
        <is>
          <t>Accessories</t>
        </is>
      </c>
      <c r="L280" s="12" t="inlineStr">
        <is>
          <t>Pro Accessories 207</t>
        </is>
      </c>
      <c r="M280" s="12" t="inlineStr">
        <is>
          <t>Same Day</t>
        </is>
      </c>
      <c r="N280" s="12" t="n">
        <v>1</v>
      </c>
      <c r="O280" s="12" t="n">
        <v>3979.64</v>
      </c>
      <c r="P280" s="12" t="n">
        <v>0.05</v>
      </c>
      <c r="Q280" s="12" t="n">
        <v>3780.66</v>
      </c>
      <c r="R280" s="12" t="n">
        <v>2148.31</v>
      </c>
      <c r="S280" s="12" t="n">
        <v>1632.35</v>
      </c>
      <c r="T280" s="12" t="inlineStr">
        <is>
          <t>Paid</t>
        </is>
      </c>
      <c r="U280" s="12" t="inlineStr">
        <is>
          <t>Returned</t>
        </is>
      </c>
      <c r="V280">
        <f>IF(OR(P280="",P280&lt;0,P280&gt;0.5),0,P280)</f>
        <v/>
      </c>
      <c r="W280">
        <f>N280*O280*(1-V280)</f>
        <v/>
      </c>
      <c r="X280">
        <f>W280-R280</f>
        <v/>
      </c>
      <c r="Y280">
        <f>IF(W280=0,0,X280/W280)</f>
        <v/>
      </c>
      <c r="Z280">
        <f>C280-B280</f>
        <v/>
      </c>
      <c r="AA280">
        <f>TEXT(B280,"mmmm")</f>
        <v/>
      </c>
      <c r="AB280">
        <f>YEAR(B280)</f>
        <v/>
      </c>
      <c r="AC280">
        <f>IF(OR(P280&lt;0,P280&gt;0.5,C280&lt;B280),"INVALID","CLEAN")</f>
        <v/>
      </c>
    </row>
    <row r="281">
      <c r="A281" s="12" t="inlineStr">
        <is>
          <t>ORD-2024-10280</t>
        </is>
      </c>
      <c r="B281" s="12" t="inlineStr">
        <is>
          <t>04/09/2024</t>
        </is>
      </c>
      <c r="C281" s="12" t="inlineStr">
        <is>
          <t>10 Apr 2024</t>
        </is>
      </c>
      <c r="D281" s="12" t="inlineStr">
        <is>
          <t>CUST-4571</t>
        </is>
      </c>
      <c r="E281" s="12" t="inlineStr">
        <is>
          <t>Rohan Mehta</t>
        </is>
      </c>
      <c r="F281" s="12" t="inlineStr">
        <is>
          <t>Small Business</t>
        </is>
      </c>
      <c r="G281" s="12" t="inlineStr">
        <is>
          <t>West</t>
        </is>
      </c>
      <c r="H281" s="12" t="inlineStr">
        <is>
          <t>Maharashtra</t>
        </is>
      </c>
      <c r="I281" s="12" t="inlineStr">
        <is>
          <t>Mumbai</t>
        </is>
      </c>
      <c r="J281" s="12" t="inlineStr">
        <is>
          <t>Office Supplies</t>
        </is>
      </c>
      <c r="K281" s="12" t="inlineStr">
        <is>
          <t>Storage</t>
        </is>
      </c>
      <c r="L281" s="12" t="inlineStr">
        <is>
          <t>Max Storage 564</t>
        </is>
      </c>
      <c r="M281" s="12" t="inlineStr">
        <is>
          <t>First Class</t>
        </is>
      </c>
      <c r="N281" s="12" t="n">
        <v>1</v>
      </c>
      <c r="O281" s="12" t="n">
        <v>4359.12</v>
      </c>
      <c r="P281" s="12" t="n">
        <v>0.05</v>
      </c>
      <c r="Q281" s="12" t="n">
        <v>4141.16</v>
      </c>
      <c r="R281" s="12" t="n">
        <v>2754.17</v>
      </c>
      <c r="S281" s="12" t="n">
        <v>1386.99</v>
      </c>
      <c r="T281" s="12" t="inlineStr">
        <is>
          <t>Paid</t>
        </is>
      </c>
      <c r="U281" s="12" t="inlineStr">
        <is>
          <t>Completed</t>
        </is>
      </c>
      <c r="V281">
        <f>IF(OR(P281="",P281&lt;0,P281&gt;0.5),0,P281)</f>
        <v/>
      </c>
      <c r="W281">
        <f>N281*O281*(1-V281)</f>
        <v/>
      </c>
      <c r="X281">
        <f>W281-R281</f>
        <v/>
      </c>
      <c r="Y281">
        <f>IF(W281=0,0,X281/W281)</f>
        <v/>
      </c>
      <c r="Z281">
        <f>C281-B281</f>
        <v/>
      </c>
      <c r="AA281">
        <f>TEXT(B281,"mmmm")</f>
        <v/>
      </c>
      <c r="AB281">
        <f>YEAR(B281)</f>
        <v/>
      </c>
      <c r="AC281">
        <f>IF(OR(P281&lt;0,P281&gt;0.5,C281&lt;B281),"INVALID","CLEAN")</f>
        <v/>
      </c>
    </row>
    <row r="282">
      <c r="A282" s="12" t="inlineStr">
        <is>
          <t>ORD-2024-10281</t>
        </is>
      </c>
      <c r="B282" s="12" t="inlineStr">
        <is>
          <t>12/23/2024</t>
        </is>
      </c>
      <c r="C282" s="12" t="inlineStr">
        <is>
          <t>26-12-2024</t>
        </is>
      </c>
      <c r="D282" s="12" t="inlineStr">
        <is>
          <t>CUST-4098</t>
        </is>
      </c>
      <c r="E282" s="12" t="inlineStr">
        <is>
          <t>Aditi Sen</t>
        </is>
      </c>
      <c r="F282" s="12" t="inlineStr">
        <is>
          <t>Consumer</t>
        </is>
      </c>
      <c r="G282" s="12" t="inlineStr">
        <is>
          <t>South</t>
        </is>
      </c>
      <c r="H282" s="12" t="inlineStr">
        <is>
          <t>Karnataka</t>
        </is>
      </c>
      <c r="I282" s="12" t="inlineStr">
        <is>
          <t>Bengaluru</t>
        </is>
      </c>
      <c r="J282" s="12" t="inlineStr">
        <is>
          <t>Technology</t>
        </is>
      </c>
      <c r="K282" s="12" t="inlineStr">
        <is>
          <t>Copiers</t>
        </is>
      </c>
      <c r="L282" s="12" t="inlineStr">
        <is>
          <t>Prime Copiers 961</t>
        </is>
      </c>
      <c r="M282" s="12" t="inlineStr">
        <is>
          <t>Standard Class</t>
        </is>
      </c>
      <c r="N282" s="12" t="n">
        <v>9</v>
      </c>
      <c r="O282" s="12" t="n">
        <v>993.67</v>
      </c>
      <c r="P282" s="12" t="n">
        <v>0</v>
      </c>
      <c r="Q282" s="12" t="n">
        <v>8943.030000000001</v>
      </c>
      <c r="R282" s="12" t="n">
        <v>5165.38</v>
      </c>
      <c r="S282" s="12" t="n">
        <v>3777.65</v>
      </c>
      <c r="T282" s="12" t="inlineStr">
        <is>
          <t>Paid</t>
        </is>
      </c>
      <c r="U282" s="12" t="inlineStr">
        <is>
          <t>Completed</t>
        </is>
      </c>
      <c r="V282">
        <f>IF(OR(P282="",P282&lt;0,P282&gt;0.5),0,P282)</f>
        <v/>
      </c>
      <c r="W282">
        <f>N282*O282*(1-V282)</f>
        <v/>
      </c>
      <c r="X282">
        <f>W282-R282</f>
        <v/>
      </c>
      <c r="Y282">
        <f>IF(W282=0,0,X282/W282)</f>
        <v/>
      </c>
      <c r="Z282">
        <f>C282-B282</f>
        <v/>
      </c>
      <c r="AA282">
        <f>TEXT(B282,"mmmm")</f>
        <v/>
      </c>
      <c r="AB282">
        <f>YEAR(B282)</f>
        <v/>
      </c>
      <c r="AC282">
        <f>IF(OR(P282&lt;0,P282&gt;0.5,C282&lt;B282),"INVALID","CLEAN")</f>
        <v/>
      </c>
    </row>
    <row r="283">
      <c r="A283" s="12" t="inlineStr">
        <is>
          <t>ORD-2025-10282</t>
        </is>
      </c>
      <c r="B283" s="12" t="inlineStr">
        <is>
          <t>25-07-2025</t>
        </is>
      </c>
      <c r="C283" s="12" t="inlineStr">
        <is>
          <t>07/27/2025</t>
        </is>
      </c>
      <c r="D283" s="12" t="inlineStr">
        <is>
          <t>CUST-2052</t>
        </is>
      </c>
      <c r="E283" s="12" t="inlineStr">
        <is>
          <t>Kabir Singh</t>
        </is>
      </c>
      <c r="F283" s="12" t="inlineStr">
        <is>
          <t>Consumer</t>
        </is>
      </c>
      <c r="G283" s="12" t="inlineStr">
        <is>
          <t>East</t>
        </is>
      </c>
      <c r="H283" s="12" t="inlineStr">
        <is>
          <t>Jharkhand</t>
        </is>
      </c>
      <c r="I283" s="12" t="inlineStr">
        <is>
          <t>Ranchi</t>
        </is>
      </c>
      <c r="J283" s="12" t="inlineStr">
        <is>
          <t>Office Supplies</t>
        </is>
      </c>
      <c r="K283" s="12" t="inlineStr">
        <is>
          <t>Binders</t>
        </is>
      </c>
      <c r="L283" s="12" t="inlineStr">
        <is>
          <t>Basic Binders 637</t>
        </is>
      </c>
      <c r="M283" s="12" t="inlineStr">
        <is>
          <t>Second Class</t>
        </is>
      </c>
      <c r="N283" s="12" t="n">
        <v>6</v>
      </c>
      <c r="O283" s="12" t="n">
        <v>3438.38</v>
      </c>
      <c r="P283" s="12" t="n">
        <v>0.2</v>
      </c>
      <c r="Q283" s="12" t="n">
        <v>16504.22</v>
      </c>
      <c r="R283" s="12" t="n">
        <v>11262.71</v>
      </c>
      <c r="S283" s="12" t="n">
        <v>5241.51</v>
      </c>
      <c r="T283" s="12" t="inlineStr">
        <is>
          <t>Paid</t>
        </is>
      </c>
      <c r="U283" s="12" t="inlineStr">
        <is>
          <t>Completed</t>
        </is>
      </c>
      <c r="V283">
        <f>IF(OR(P283="",P283&lt;0,P283&gt;0.5),0,P283)</f>
        <v/>
      </c>
      <c r="W283">
        <f>N283*O283*(1-V283)</f>
        <v/>
      </c>
      <c r="X283">
        <f>W283-R283</f>
        <v/>
      </c>
      <c r="Y283">
        <f>IF(W283=0,0,X283/W283)</f>
        <v/>
      </c>
      <c r="Z283">
        <f>C283-B283</f>
        <v/>
      </c>
      <c r="AA283">
        <f>TEXT(B283,"mmmm")</f>
        <v/>
      </c>
      <c r="AB283">
        <f>YEAR(B283)</f>
        <v/>
      </c>
      <c r="AC283">
        <f>IF(OR(P283&lt;0,P283&gt;0.5,C283&lt;B283),"INVALID","CLEAN")</f>
        <v/>
      </c>
    </row>
    <row r="284">
      <c r="A284" s="12" t="inlineStr">
        <is>
          <t>ORD-2024-10283</t>
        </is>
      </c>
      <c r="B284" s="12" t="inlineStr">
        <is>
          <t>2024-10-01</t>
        </is>
      </c>
      <c r="C284" s="12" t="inlineStr">
        <is>
          <t>10/02/2024</t>
        </is>
      </c>
      <c r="D284" s="12" t="inlineStr">
        <is>
          <t>CUST-9445</t>
        </is>
      </c>
      <c r="E284" s="12" t="inlineStr">
        <is>
          <t>Karan Malhotra</t>
        </is>
      </c>
      <c r="F284" s="12" t="inlineStr">
        <is>
          <t>Home Office</t>
        </is>
      </c>
      <c r="G284" s="12" t="inlineStr">
        <is>
          <t>East</t>
        </is>
      </c>
      <c r="H284" s="12" t="inlineStr">
        <is>
          <t>Assam</t>
        </is>
      </c>
      <c r="I284" s="12" t="inlineStr">
        <is>
          <t>Guwahati</t>
        </is>
      </c>
      <c r="J284" s="12" t="inlineStr">
        <is>
          <t>Furniture</t>
        </is>
      </c>
      <c r="K284" s="12" t="inlineStr">
        <is>
          <t>Tables</t>
        </is>
      </c>
      <c r="L284" s="12" t="inlineStr">
        <is>
          <t>Classic Tables 811</t>
        </is>
      </c>
      <c r="M284" s="12" t="inlineStr">
        <is>
          <t>Second Class</t>
        </is>
      </c>
      <c r="N284" s="12" t="n">
        <v>2</v>
      </c>
      <c r="O284" s="12" t="n">
        <v>2298</v>
      </c>
      <c r="P284" s="12" t="n">
        <v>0</v>
      </c>
      <c r="Q284" s="12" t="n">
        <v>4596</v>
      </c>
      <c r="R284" s="12" t="n">
        <v>3220.33</v>
      </c>
      <c r="S284" s="12" t="n">
        <v>1375.67</v>
      </c>
      <c r="T284" s="12" t="inlineStr">
        <is>
          <t>Paid</t>
        </is>
      </c>
      <c r="U284" s="12" t="inlineStr">
        <is>
          <t>Completed</t>
        </is>
      </c>
      <c r="V284">
        <f>IF(OR(P284="",P284&lt;0,P284&gt;0.5),0,P284)</f>
        <v/>
      </c>
      <c r="W284">
        <f>N284*O284*(1-V284)</f>
        <v/>
      </c>
      <c r="X284">
        <f>W284-R284</f>
        <v/>
      </c>
      <c r="Y284">
        <f>IF(W284=0,0,X284/W284)</f>
        <v/>
      </c>
      <c r="Z284">
        <f>C284-B284</f>
        <v/>
      </c>
      <c r="AA284">
        <f>TEXT(B284,"mmmm")</f>
        <v/>
      </c>
      <c r="AB284">
        <f>YEAR(B284)</f>
        <v/>
      </c>
      <c r="AC284">
        <f>IF(OR(P284&lt;0,P284&gt;0.5,C284&lt;B284),"INVALID","CLEAN")</f>
        <v/>
      </c>
    </row>
    <row r="285">
      <c r="A285" s="12" t="inlineStr">
        <is>
          <t>ORD-2025-10284</t>
        </is>
      </c>
      <c r="B285" s="12" t="inlineStr">
        <is>
          <t>03/13/2025</t>
        </is>
      </c>
      <c r="C285" s="12" t="inlineStr">
        <is>
          <t>20-03-2025</t>
        </is>
      </c>
      <c r="D285" s="12" t="inlineStr">
        <is>
          <t>CUST-6568</t>
        </is>
      </c>
      <c r="E285" s="12" t="inlineStr">
        <is>
          <t>Vikram Iyer</t>
        </is>
      </c>
      <c r="F285" s="12" t="inlineStr">
        <is>
          <t>Consumer</t>
        </is>
      </c>
      <c r="G285" s="12" t="inlineStr">
        <is>
          <t>West</t>
        </is>
      </c>
      <c r="H285" s="12" t="inlineStr">
        <is>
          <t>Maharashtra</t>
        </is>
      </c>
      <c r="I285" s="12" t="inlineStr">
        <is>
          <t>Mumbai</t>
        </is>
      </c>
      <c r="J285" s="12" t="inlineStr">
        <is>
          <t>Furniture</t>
        </is>
      </c>
      <c r="K285" s="12" t="inlineStr">
        <is>
          <t>Furnishings</t>
        </is>
      </c>
      <c r="L285" s="12" t="inlineStr">
        <is>
          <t>Classic Furnishings 819</t>
        </is>
      </c>
      <c r="M285" s="12" t="inlineStr">
        <is>
          <t>First Class</t>
        </is>
      </c>
      <c r="N285" s="12" t="n">
        <v>1</v>
      </c>
      <c r="O285" s="12" t="n">
        <v>1814.01</v>
      </c>
      <c r="P285" s="12" t="n">
        <v>0</v>
      </c>
      <c r="Q285" s="12" t="n">
        <v>1814.01</v>
      </c>
      <c r="R285" s="12" t="n">
        <v>1033.47</v>
      </c>
      <c r="S285" s="12" t="n">
        <v>780.54</v>
      </c>
      <c r="T285" s="12" t="inlineStr">
        <is>
          <t>Paid</t>
        </is>
      </c>
      <c r="U285" s="12" t="inlineStr">
        <is>
          <t>Completed</t>
        </is>
      </c>
      <c r="V285">
        <f>IF(OR(P285="",P285&lt;0,P285&gt;0.5),0,P285)</f>
        <v/>
      </c>
      <c r="W285">
        <f>N285*O285*(1-V285)</f>
        <v/>
      </c>
      <c r="X285">
        <f>W285-R285</f>
        <v/>
      </c>
      <c r="Y285">
        <f>IF(W285=0,0,X285/W285)</f>
        <v/>
      </c>
      <c r="Z285">
        <f>C285-B285</f>
        <v/>
      </c>
      <c r="AA285">
        <f>TEXT(B285,"mmmm")</f>
        <v/>
      </c>
      <c r="AB285">
        <f>YEAR(B285)</f>
        <v/>
      </c>
      <c r="AC285">
        <f>IF(OR(P285&lt;0,P285&gt;0.5,C285&lt;B285),"INVALID","CLEAN")</f>
        <v/>
      </c>
    </row>
    <row r="286">
      <c r="A286" s="12" t="inlineStr">
        <is>
          <t>ORD-2024-10285</t>
        </is>
      </c>
      <c r="B286" s="12" t="inlineStr">
        <is>
          <t>12/08/2024</t>
        </is>
      </c>
      <c r="C286" s="12" t="inlineStr">
        <is>
          <t>12/14/2024</t>
        </is>
      </c>
      <c r="D286" s="12" t="inlineStr">
        <is>
          <t>CUST-2076</t>
        </is>
      </c>
      <c r="E286" s="12" t="inlineStr">
        <is>
          <t>Karan Malhotra</t>
        </is>
      </c>
      <c r="F286" s="12" t="inlineStr">
        <is>
          <t>Consumer</t>
        </is>
      </c>
      <c r="G286" s="12" t="inlineStr">
        <is>
          <t>East</t>
        </is>
      </c>
      <c r="H286" s="12" t="inlineStr">
        <is>
          <t>Odisha</t>
        </is>
      </c>
      <c r="I286" s="12" t="inlineStr">
        <is>
          <t>Bhubaneswar</t>
        </is>
      </c>
      <c r="J286" s="12" t="inlineStr">
        <is>
          <t>Furniture</t>
        </is>
      </c>
      <c r="K286" s="12" t="inlineStr">
        <is>
          <t>Tables</t>
        </is>
      </c>
      <c r="L286" s="12" t="inlineStr">
        <is>
          <t>Prime Tables 542</t>
        </is>
      </c>
      <c r="M286" s="12" t="inlineStr">
        <is>
          <t>Same Day</t>
        </is>
      </c>
      <c r="N286" s="12" t="n">
        <v>3</v>
      </c>
      <c r="O286" s="12" t="n">
        <v>1576.92</v>
      </c>
      <c r="P286" s="12" t="n">
        <v>0</v>
      </c>
      <c r="Q286" s="12" t="n">
        <v>4730.76</v>
      </c>
      <c r="R286" s="12" t="n">
        <v>3139.73</v>
      </c>
      <c r="S286" s="12" t="n">
        <v>1591.03</v>
      </c>
      <c r="T286" s="12" t="inlineStr">
        <is>
          <t>Paid</t>
        </is>
      </c>
      <c r="U286" s="12" t="inlineStr">
        <is>
          <t>Returned</t>
        </is>
      </c>
      <c r="V286">
        <f>IF(OR(P286="",P286&lt;0,P286&gt;0.5),0,P286)</f>
        <v/>
      </c>
      <c r="W286">
        <f>N286*O286*(1-V286)</f>
        <v/>
      </c>
      <c r="X286">
        <f>W286-R286</f>
        <v/>
      </c>
      <c r="Y286">
        <f>IF(W286=0,0,X286/W286)</f>
        <v/>
      </c>
      <c r="Z286">
        <f>C286-B286</f>
        <v/>
      </c>
      <c r="AA286">
        <f>TEXT(B286,"mmmm")</f>
        <v/>
      </c>
      <c r="AB286">
        <f>YEAR(B286)</f>
        <v/>
      </c>
      <c r="AC286">
        <f>IF(OR(P286&lt;0,P286&gt;0.5,C286&lt;B286),"INVALID","CLEAN")</f>
        <v/>
      </c>
    </row>
    <row r="287">
      <c r="A287" s="12" t="inlineStr">
        <is>
          <t>ORD-2025-10286</t>
        </is>
      </c>
      <c r="B287" s="12" t="inlineStr">
        <is>
          <t>2025-08-15</t>
        </is>
      </c>
      <c r="C287" s="12" t="inlineStr">
        <is>
          <t>2025-08-20</t>
        </is>
      </c>
      <c r="D287" s="12" t="inlineStr">
        <is>
          <t>CUST-5610</t>
        </is>
      </c>
      <c r="E287" s="12" t="inlineStr">
        <is>
          <t>Neha Gupta</t>
        </is>
      </c>
      <c r="F287" s="12" t="inlineStr">
        <is>
          <t>Home Office</t>
        </is>
      </c>
      <c r="G287" s="12" t="inlineStr">
        <is>
          <t>North</t>
        </is>
      </c>
      <c r="H287" s="12" t="inlineStr">
        <is>
          <t>Rajasthan</t>
        </is>
      </c>
      <c r="I287" s="12" t="inlineStr">
        <is>
          <t>Jaipur</t>
        </is>
      </c>
      <c r="J287" s="12" t="inlineStr">
        <is>
          <t>Office Supplies</t>
        </is>
      </c>
      <c r="K287" s="12" t="inlineStr">
        <is>
          <t>Storage</t>
        </is>
      </c>
      <c r="L287" s="12" t="inlineStr">
        <is>
          <t>Basic Storage 771</t>
        </is>
      </c>
      <c r="M287" s="12" t="inlineStr">
        <is>
          <t>Standard Class</t>
        </is>
      </c>
      <c r="N287" s="12" t="n">
        <v>9</v>
      </c>
      <c r="O287" s="12" t="n">
        <v>4081.77</v>
      </c>
      <c r="P287" s="12" t="n">
        <v>0</v>
      </c>
      <c r="Q287" s="12" t="n">
        <v>36735.93</v>
      </c>
      <c r="R287" s="12" t="n">
        <v>30820.84</v>
      </c>
      <c r="S287" s="12" t="n">
        <v>5915.09</v>
      </c>
      <c r="T287" s="12" t="inlineStr">
        <is>
          <t>Paid</t>
        </is>
      </c>
      <c r="U287" s="12" t="inlineStr">
        <is>
          <t>Completed</t>
        </is>
      </c>
      <c r="V287">
        <f>IF(OR(P287="",P287&lt;0,P287&gt;0.5),0,P287)</f>
        <v/>
      </c>
      <c r="W287">
        <f>N287*O287*(1-V287)</f>
        <v/>
      </c>
      <c r="X287">
        <f>W287-R287</f>
        <v/>
      </c>
      <c r="Y287">
        <f>IF(W287=0,0,X287/W287)</f>
        <v/>
      </c>
      <c r="Z287">
        <f>C287-B287</f>
        <v/>
      </c>
      <c r="AA287">
        <f>TEXT(B287,"mmmm")</f>
        <v/>
      </c>
      <c r="AB287">
        <f>YEAR(B287)</f>
        <v/>
      </c>
      <c r="AC287">
        <f>IF(OR(P287&lt;0,P287&gt;0.5,C287&lt;B287),"INVALID","CLEAN")</f>
        <v/>
      </c>
    </row>
    <row r="288">
      <c r="A288" s="12" t="inlineStr">
        <is>
          <t>ORD-2024-10287</t>
        </is>
      </c>
      <c r="B288" s="12" t="inlineStr">
        <is>
          <t>28-02-2024</t>
        </is>
      </c>
      <c r="C288" s="12" t="inlineStr">
        <is>
          <t>03/02/2024</t>
        </is>
      </c>
      <c r="D288" s="12" t="inlineStr">
        <is>
          <t>CUST-5823</t>
        </is>
      </c>
      <c r="E288" s="12" t="inlineStr">
        <is>
          <t>Priya Menon</t>
        </is>
      </c>
      <c r="F288" s="12" t="inlineStr">
        <is>
          <t>Small Business</t>
        </is>
      </c>
      <c r="G288" s="12" t="inlineStr">
        <is>
          <t>North</t>
        </is>
      </c>
      <c r="H288" s="12" t="inlineStr">
        <is>
          <t>Delhi</t>
        </is>
      </c>
      <c r="I288" s="12" t="inlineStr">
        <is>
          <t>New Delhi</t>
        </is>
      </c>
      <c r="J288" s="12" t="inlineStr">
        <is>
          <t>Furniture</t>
        </is>
      </c>
      <c r="K288" s="12" t="inlineStr">
        <is>
          <t>Furnishings</t>
        </is>
      </c>
      <c r="L288" s="12" t="inlineStr">
        <is>
          <t>Pro Furnishings 848</t>
        </is>
      </c>
      <c r="M288" s="12" t="inlineStr">
        <is>
          <t>First Class</t>
        </is>
      </c>
      <c r="N288" s="12" t="n">
        <v>7</v>
      </c>
      <c r="O288" s="12" t="n">
        <v>701.8</v>
      </c>
      <c r="P288" s="12" t="n">
        <v>0.1</v>
      </c>
      <c r="Q288" s="12" t="n">
        <v>4421.34</v>
      </c>
      <c r="R288" s="12" t="n">
        <v>2489.98</v>
      </c>
      <c r="S288" s="12" t="n">
        <v>1931.36</v>
      </c>
      <c r="T288" s="12" t="inlineStr">
        <is>
          <t>Pending</t>
        </is>
      </c>
      <c r="U288" s="12" t="inlineStr">
        <is>
          <t>Returned</t>
        </is>
      </c>
      <c r="V288">
        <f>IF(OR(P288="",P288&lt;0,P288&gt;0.5),0,P288)</f>
        <v/>
      </c>
      <c r="W288">
        <f>N288*O288*(1-V288)</f>
        <v/>
      </c>
      <c r="X288">
        <f>W288-R288</f>
        <v/>
      </c>
      <c r="Y288">
        <f>IF(W288=0,0,X288/W288)</f>
        <v/>
      </c>
      <c r="Z288">
        <f>C288-B288</f>
        <v/>
      </c>
      <c r="AA288">
        <f>TEXT(B288,"mmmm")</f>
        <v/>
      </c>
      <c r="AB288">
        <f>YEAR(B288)</f>
        <v/>
      </c>
      <c r="AC288">
        <f>IF(OR(P288&lt;0,P288&gt;0.5,C288&lt;B288),"INVALID","CLEAN")</f>
        <v/>
      </c>
    </row>
    <row r="289">
      <c r="A289" s="12" t="inlineStr">
        <is>
          <t>ORD-2024-10288</t>
        </is>
      </c>
      <c r="B289" s="12" t="inlineStr">
        <is>
          <t>09/05/2024</t>
        </is>
      </c>
      <c r="C289" s="12" t="inlineStr">
        <is>
          <t>07-09-2024</t>
        </is>
      </c>
      <c r="D289" s="12" t="inlineStr">
        <is>
          <t>CUST-7095</t>
        </is>
      </c>
      <c r="E289" s="12" t="inlineStr">
        <is>
          <t>Neha Gupta</t>
        </is>
      </c>
      <c r="F289" s="12" t="inlineStr">
        <is>
          <t>Small Business</t>
        </is>
      </c>
      <c r="G289" s="12" t="inlineStr">
        <is>
          <t>South</t>
        </is>
      </c>
      <c r="H289" s="12" t="inlineStr">
        <is>
          <t>Tamil Nadu</t>
        </is>
      </c>
      <c r="I289" s="12" t="inlineStr">
        <is>
          <t>Chennai</t>
        </is>
      </c>
      <c r="J289" s="12" t="inlineStr">
        <is>
          <t>Technology</t>
        </is>
      </c>
      <c r="K289" s="12" t="inlineStr">
        <is>
          <t>Copiers</t>
        </is>
      </c>
      <c r="L289" s="12" t="inlineStr">
        <is>
          <t>Prime Copiers 924</t>
        </is>
      </c>
      <c r="M289" s="12" t="inlineStr">
        <is>
          <t>Standard Class</t>
        </is>
      </c>
      <c r="N289" s="12" t="n">
        <v>3</v>
      </c>
      <c r="O289" s="12" t="n">
        <v>2555.66</v>
      </c>
      <c r="P289" s="12" t="n">
        <v>0.15</v>
      </c>
      <c r="Q289" s="12" t="n">
        <v>6516.93</v>
      </c>
      <c r="R289" s="12" t="n">
        <v>4511.54</v>
      </c>
      <c r="S289" s="12" t="n">
        <v>2005.39</v>
      </c>
      <c r="T289" s="12" t="inlineStr">
        <is>
          <t>Paid</t>
        </is>
      </c>
      <c r="U289" s="12" t="inlineStr">
        <is>
          <t>Cancelled</t>
        </is>
      </c>
      <c r="V289">
        <f>IF(OR(P289="",P289&lt;0,P289&gt;0.5),0,P289)</f>
        <v/>
      </c>
      <c r="W289">
        <f>N289*O289*(1-V289)</f>
        <v/>
      </c>
      <c r="X289">
        <f>W289-R289</f>
        <v/>
      </c>
      <c r="Y289">
        <f>IF(W289=0,0,X289/W289)</f>
        <v/>
      </c>
      <c r="Z289">
        <f>C289-B289</f>
        <v/>
      </c>
      <c r="AA289">
        <f>TEXT(B289,"mmmm")</f>
        <v/>
      </c>
      <c r="AB289">
        <f>YEAR(B289)</f>
        <v/>
      </c>
      <c r="AC289">
        <f>IF(OR(P289&lt;0,P289&gt;0.5,C289&lt;B289),"INVALID","CLEAN")</f>
        <v/>
      </c>
    </row>
    <row r="290">
      <c r="A290" s="12" t="inlineStr">
        <is>
          <t>ORD-2024-10289</t>
        </is>
      </c>
      <c r="B290" s="12" t="inlineStr">
        <is>
          <t>2024-06-24</t>
        </is>
      </c>
      <c r="C290" s="12" t="inlineStr">
        <is>
          <t>2024-06-24</t>
        </is>
      </c>
      <c r="D290" s="12" t="inlineStr">
        <is>
          <t>CUST-4805</t>
        </is>
      </c>
      <c r="E290" s="12" t="inlineStr">
        <is>
          <t>Rohan Mehta</t>
        </is>
      </c>
      <c r="F290" s="12" t="inlineStr">
        <is>
          <t>Small Business</t>
        </is>
      </c>
      <c r="G290" s="12" t="inlineStr">
        <is>
          <t>East</t>
        </is>
      </c>
      <c r="H290" s="12" t="inlineStr">
        <is>
          <t>Bihar</t>
        </is>
      </c>
      <c r="I290" s="12" t="inlineStr">
        <is>
          <t>Patna</t>
        </is>
      </c>
      <c r="J290" s="12" t="inlineStr">
        <is>
          <t>Office Supplies</t>
        </is>
      </c>
      <c r="K290" s="12" t="inlineStr">
        <is>
          <t>Binders</t>
        </is>
      </c>
      <c r="L290" s="12" t="inlineStr">
        <is>
          <t>Classic Binders 721</t>
        </is>
      </c>
      <c r="M290" s="12" t="inlineStr">
        <is>
          <t>Same Day</t>
        </is>
      </c>
      <c r="N290" s="12" t="n">
        <v>2</v>
      </c>
      <c r="O290" s="12" t="n">
        <v>4359.9</v>
      </c>
      <c r="P290" s="12" t="n">
        <v>0.15</v>
      </c>
      <c r="Q290" s="12" t="n">
        <v>7411.83</v>
      </c>
      <c r="R290" s="12" t="n">
        <v>4904.63</v>
      </c>
      <c r="S290" s="12" t="n">
        <v>2507.2</v>
      </c>
      <c r="T290" s="12" t="inlineStr">
        <is>
          <t>Paid</t>
        </is>
      </c>
      <c r="U290" s="12" t="inlineStr">
        <is>
          <t>Completed</t>
        </is>
      </c>
      <c r="V290">
        <f>IF(OR(P290="",P290&lt;0,P290&gt;0.5),0,P290)</f>
        <v/>
      </c>
      <c r="W290">
        <f>N290*O290*(1-V290)</f>
        <v/>
      </c>
      <c r="X290">
        <f>W290-R290</f>
        <v/>
      </c>
      <c r="Y290">
        <f>IF(W290=0,0,X290/W290)</f>
        <v/>
      </c>
      <c r="Z290">
        <f>C290-B290</f>
        <v/>
      </c>
      <c r="AA290">
        <f>TEXT(B290,"mmmm")</f>
        <v/>
      </c>
      <c r="AB290">
        <f>YEAR(B290)</f>
        <v/>
      </c>
      <c r="AC290">
        <f>IF(OR(P290&lt;0,P290&gt;0.5,C290&lt;B290),"INVALID","CLEAN")</f>
        <v/>
      </c>
    </row>
    <row r="291">
      <c r="A291" s="12" t="inlineStr">
        <is>
          <t>ORD-2025-10290</t>
        </is>
      </c>
      <c r="B291" s="12" t="inlineStr">
        <is>
          <t>19-06-2025</t>
        </is>
      </c>
      <c r="C291" s="12" t="inlineStr">
        <is>
          <t>06/27/2025</t>
        </is>
      </c>
      <c r="D291" s="12" t="inlineStr">
        <is>
          <t>CUST-9114</t>
        </is>
      </c>
      <c r="E291" s="12" t="inlineStr">
        <is>
          <t>Karan Malhotra</t>
        </is>
      </c>
      <c r="F291" s="12" t="inlineStr">
        <is>
          <t>Home Office</t>
        </is>
      </c>
      <c r="G291" s="12" t="inlineStr">
        <is>
          <t>South</t>
        </is>
      </c>
      <c r="H291" s="12" t="inlineStr">
        <is>
          <t>Tamil Nadu</t>
        </is>
      </c>
      <c r="I291" s="12" t="inlineStr">
        <is>
          <t>Chennai</t>
        </is>
      </c>
      <c r="J291" s="12" t="inlineStr">
        <is>
          <t>Furniture</t>
        </is>
      </c>
      <c r="K291" s="12" t="inlineStr">
        <is>
          <t>Bookcases</t>
        </is>
      </c>
      <c r="L291" s="12" t="inlineStr">
        <is>
          <t>Basic Bookcases 823</t>
        </is>
      </c>
      <c r="M291" s="12" t="inlineStr">
        <is>
          <t>First Class</t>
        </is>
      </c>
      <c r="N291" s="12" t="n">
        <v>2</v>
      </c>
      <c r="O291" s="12" t="n">
        <v>4346.69</v>
      </c>
      <c r="P291" s="12" t="n">
        <v>0.05</v>
      </c>
      <c r="Q291" s="12" t="n">
        <v>8258.709999999999</v>
      </c>
      <c r="R291" s="12" t="n">
        <v>7018.97</v>
      </c>
      <c r="S291" s="12" t="n">
        <v>1239.74</v>
      </c>
      <c r="T291" s="12" t="inlineStr">
        <is>
          <t>Paid</t>
        </is>
      </c>
      <c r="U291" s="12" t="inlineStr">
        <is>
          <t>Completed</t>
        </is>
      </c>
      <c r="V291">
        <f>IF(OR(P291="",P291&lt;0,P291&gt;0.5),0,P291)</f>
        <v/>
      </c>
      <c r="W291">
        <f>N291*O291*(1-V291)</f>
        <v/>
      </c>
      <c r="X291">
        <f>W291-R291</f>
        <v/>
      </c>
      <c r="Y291">
        <f>IF(W291=0,0,X291/W291)</f>
        <v/>
      </c>
      <c r="Z291">
        <f>C291-B291</f>
        <v/>
      </c>
      <c r="AA291">
        <f>TEXT(B291,"mmmm")</f>
        <v/>
      </c>
      <c r="AB291">
        <f>YEAR(B291)</f>
        <v/>
      </c>
      <c r="AC291">
        <f>IF(OR(P291&lt;0,P291&gt;0.5,C291&lt;B291),"INVALID","CLEAN")</f>
        <v/>
      </c>
    </row>
    <row r="292">
      <c r="A292" s="12" t="inlineStr">
        <is>
          <t>ORD-2025-10291</t>
        </is>
      </c>
      <c r="B292" s="12" t="inlineStr">
        <is>
          <t>22 Aug 2025</t>
        </is>
      </c>
      <c r="C292" s="12" t="inlineStr">
        <is>
          <t>2025-08-26</t>
        </is>
      </c>
      <c r="D292" s="12" t="inlineStr">
        <is>
          <t>CUST-8557</t>
        </is>
      </c>
      <c r="E292" s="12" t="inlineStr">
        <is>
          <t>Diya Patel</t>
        </is>
      </c>
      <c r="F292" s="12" t="inlineStr">
        <is>
          <t>Home Office</t>
        </is>
      </c>
      <c r="G292" s="12" t="inlineStr">
        <is>
          <t>East</t>
        </is>
      </c>
      <c r="H292" s="12" t="inlineStr">
        <is>
          <t>Jharkhand</t>
        </is>
      </c>
      <c r="I292" s="12" t="inlineStr">
        <is>
          <t>Ranchi</t>
        </is>
      </c>
      <c r="J292" s="12" t="inlineStr">
        <is>
          <t>Furniture</t>
        </is>
      </c>
      <c r="K292" s="12" t="inlineStr">
        <is>
          <t>Tables</t>
        </is>
      </c>
      <c r="L292" s="12" t="inlineStr">
        <is>
          <t>Classic Tables 178</t>
        </is>
      </c>
      <c r="M292" s="12" t="inlineStr">
        <is>
          <t>Standard Class</t>
        </is>
      </c>
      <c r="N292" s="12" t="n">
        <v>1</v>
      </c>
      <c r="O292" s="12" t="n">
        <v>1842.63</v>
      </c>
      <c r="P292" s="12" t="n">
        <v>0.1</v>
      </c>
      <c r="Q292" s="12" t="n">
        <v>1658.37</v>
      </c>
      <c r="R292" s="12" t="n">
        <v>971.12</v>
      </c>
      <c r="S292" s="12" t="n">
        <v>687.25</v>
      </c>
      <c r="T292" s="12" t="inlineStr">
        <is>
          <t>Paid</t>
        </is>
      </c>
      <c r="U292" s="12" t="inlineStr">
        <is>
          <t>Completed</t>
        </is>
      </c>
      <c r="V292">
        <f>IF(OR(P292="",P292&lt;0,P292&gt;0.5),0,P292)</f>
        <v/>
      </c>
      <c r="W292">
        <f>N292*O292*(1-V292)</f>
        <v/>
      </c>
      <c r="X292">
        <f>W292-R292</f>
        <v/>
      </c>
      <c r="Y292">
        <f>IF(W292=0,0,X292/W292)</f>
        <v/>
      </c>
      <c r="Z292">
        <f>C292-B292</f>
        <v/>
      </c>
      <c r="AA292">
        <f>TEXT(B292,"mmmm")</f>
        <v/>
      </c>
      <c r="AB292">
        <f>YEAR(B292)</f>
        <v/>
      </c>
      <c r="AC292">
        <f>IF(OR(P292&lt;0,P292&gt;0.5,C292&lt;B292),"INVALID","CLEAN")</f>
        <v/>
      </c>
    </row>
    <row r="293">
      <c r="A293" s="12" t="inlineStr">
        <is>
          <t>ORD-2024-10292</t>
        </is>
      </c>
      <c r="B293" s="12" t="inlineStr">
        <is>
          <t>04/05/2024</t>
        </is>
      </c>
      <c r="C293" s="12" t="inlineStr">
        <is>
          <t>2024-04-10</t>
        </is>
      </c>
      <c r="D293" s="12" t="inlineStr">
        <is>
          <t>CUST-2860</t>
        </is>
      </c>
      <c r="E293" s="12" t="inlineStr">
        <is>
          <t>Priya Menon</t>
        </is>
      </c>
      <c r="F293" s="12" t="inlineStr">
        <is>
          <t>Home Office</t>
        </is>
      </c>
      <c r="G293" s="12" t="inlineStr">
        <is>
          <t>North</t>
        </is>
      </c>
      <c r="H293" s="12" t="inlineStr">
        <is>
          <t>Rajasthan</t>
        </is>
      </c>
      <c r="I293" s="12" t="inlineStr">
        <is>
          <t>Jaipur</t>
        </is>
      </c>
      <c r="J293" s="12" t="inlineStr">
        <is>
          <t>Office Supplies</t>
        </is>
      </c>
      <c r="K293" s="12" t="inlineStr">
        <is>
          <t>Binders</t>
        </is>
      </c>
      <c r="L293" s="12" t="inlineStr">
        <is>
          <t>Eco Binders 153</t>
        </is>
      </c>
      <c r="M293" s="12" t="inlineStr">
        <is>
          <t>Standard Class</t>
        </is>
      </c>
      <c r="N293" s="12" t="n">
        <v>4</v>
      </c>
      <c r="O293" s="12" t="n">
        <v>3228.66</v>
      </c>
      <c r="P293" s="12" t="n">
        <v>0.25</v>
      </c>
      <c r="Q293" s="12" t="n">
        <v>9685.98</v>
      </c>
      <c r="R293" s="12" t="n">
        <v>7730.04</v>
      </c>
      <c r="S293" s="12" t="n">
        <v>1955.94</v>
      </c>
      <c r="T293" s="12" t="inlineStr">
        <is>
          <t>Paid</t>
        </is>
      </c>
      <c r="U293" s="12" t="inlineStr">
        <is>
          <t>Completed</t>
        </is>
      </c>
      <c r="V293">
        <f>IF(OR(P293="",P293&lt;0,P293&gt;0.5),0,P293)</f>
        <v/>
      </c>
      <c r="W293">
        <f>N293*O293*(1-V293)</f>
        <v/>
      </c>
      <c r="X293">
        <f>W293-R293</f>
        <v/>
      </c>
      <c r="Y293">
        <f>IF(W293=0,0,X293/W293)</f>
        <v/>
      </c>
      <c r="Z293">
        <f>C293-B293</f>
        <v/>
      </c>
      <c r="AA293">
        <f>TEXT(B293,"mmmm")</f>
        <v/>
      </c>
      <c r="AB293">
        <f>YEAR(B293)</f>
        <v/>
      </c>
      <c r="AC293">
        <f>IF(OR(P293&lt;0,P293&gt;0.5,C293&lt;B293),"INVALID","CLEAN")</f>
        <v/>
      </c>
    </row>
    <row r="294">
      <c r="A294" s="12" t="inlineStr">
        <is>
          <t>ORD-2025-10293</t>
        </is>
      </c>
      <c r="B294" s="12" t="inlineStr">
        <is>
          <t>28 Feb 2025</t>
        </is>
      </c>
      <c r="C294" s="12" t="inlineStr">
        <is>
          <t>03-03-2025</t>
        </is>
      </c>
      <c r="D294" s="12" t="inlineStr">
        <is>
          <t>CUST-7837</t>
        </is>
      </c>
      <c r="E294" s="12" t="inlineStr">
        <is>
          <t>Kabir Singh</t>
        </is>
      </c>
      <c r="F294" s="12" t="inlineStr">
        <is>
          <t>Home Office</t>
        </is>
      </c>
      <c r="G294" s="12" t="inlineStr">
        <is>
          <t>North</t>
        </is>
      </c>
      <c r="H294" s="12" t="inlineStr">
        <is>
          <t>Haryana</t>
        </is>
      </c>
      <c r="I294" s="12" t="inlineStr">
        <is>
          <t>Gurugram</t>
        </is>
      </c>
      <c r="J294" s="12" t="inlineStr">
        <is>
          <t>Office Supplies</t>
        </is>
      </c>
      <c r="K294" s="12" t="inlineStr">
        <is>
          <t>Art</t>
        </is>
      </c>
      <c r="L294" s="12" t="inlineStr">
        <is>
          <t>Classic Art 183</t>
        </is>
      </c>
      <c r="M294" s="12" t="inlineStr">
        <is>
          <t>Same Day</t>
        </is>
      </c>
      <c r="N294" s="12" t="n">
        <v>9</v>
      </c>
      <c r="O294" s="12" t="n">
        <v>3748.95</v>
      </c>
      <c r="P294" s="12" t="n">
        <v>0</v>
      </c>
      <c r="Q294" s="12" t="n">
        <v>33740.55</v>
      </c>
      <c r="R294" s="12" t="n">
        <v>24621.89</v>
      </c>
      <c r="S294" s="12" t="n">
        <v>9118.66</v>
      </c>
      <c r="T294" s="12" t="inlineStr">
        <is>
          <t>Pending</t>
        </is>
      </c>
      <c r="U294" s="12" t="inlineStr">
        <is>
          <t>Cancelled</t>
        </is>
      </c>
      <c r="V294">
        <f>IF(OR(P294="",P294&lt;0,P294&gt;0.5),0,P294)</f>
        <v/>
      </c>
      <c r="W294">
        <f>N294*O294*(1-V294)</f>
        <v/>
      </c>
      <c r="X294">
        <f>W294-R294</f>
        <v/>
      </c>
      <c r="Y294">
        <f>IF(W294=0,0,X294/W294)</f>
        <v/>
      </c>
      <c r="Z294">
        <f>C294-B294</f>
        <v/>
      </c>
      <c r="AA294">
        <f>TEXT(B294,"mmmm")</f>
        <v/>
      </c>
      <c r="AB294">
        <f>YEAR(B294)</f>
        <v/>
      </c>
      <c r="AC294">
        <f>IF(OR(P294&lt;0,P294&gt;0.5,C294&lt;B294),"INVALID","CLEAN")</f>
        <v/>
      </c>
    </row>
    <row r="295">
      <c r="A295" s="12" t="inlineStr">
        <is>
          <t>ORD-2024-10294</t>
        </is>
      </c>
      <c r="B295" s="12" t="inlineStr">
        <is>
          <t>03/07/2024</t>
        </is>
      </c>
      <c r="C295" s="12" t="inlineStr">
        <is>
          <t>11-03-2024</t>
        </is>
      </c>
      <c r="D295" s="12" t="inlineStr">
        <is>
          <t>CUST-7010</t>
        </is>
      </c>
      <c r="E295" s="12" t="inlineStr">
        <is>
          <t>Arjun Bose</t>
        </is>
      </c>
      <c r="F295" s="12" t="inlineStr">
        <is>
          <t>Home Office</t>
        </is>
      </c>
      <c r="G295" s="12" t="inlineStr">
        <is>
          <t>South</t>
        </is>
      </c>
      <c r="H295" s="12" t="inlineStr">
        <is>
          <t>Telangana</t>
        </is>
      </c>
      <c r="I295" s="12" t="inlineStr">
        <is>
          <t>Hyderabad</t>
        </is>
      </c>
      <c r="J295" s="12" t="inlineStr">
        <is>
          <t>Technology</t>
        </is>
      </c>
      <c r="K295" s="12" t="inlineStr">
        <is>
          <t>Phones</t>
        </is>
      </c>
      <c r="L295" s="12" t="inlineStr">
        <is>
          <t>Pro Phones 455</t>
        </is>
      </c>
      <c r="M295" s="12" t="inlineStr">
        <is>
          <t>First Class</t>
        </is>
      </c>
      <c r="N295" s="12" t="n">
        <v>2</v>
      </c>
      <c r="O295" s="12" t="n">
        <v>4401.51</v>
      </c>
      <c r="P295" s="12" t="n">
        <v>0.65</v>
      </c>
      <c r="Q295" s="12" t="n">
        <v>8362.870000000001</v>
      </c>
      <c r="R295" s="12" t="n">
        <v>6541.04</v>
      </c>
      <c r="S295" s="12" t="n">
        <v>1821.83</v>
      </c>
      <c r="T295" s="12" t="inlineStr">
        <is>
          <t>Paid</t>
        </is>
      </c>
      <c r="U295" s="12" t="inlineStr">
        <is>
          <t>Completed</t>
        </is>
      </c>
      <c r="V295">
        <f>IF(OR(P295="",P295&lt;0,P295&gt;0.5),0,P295)</f>
        <v/>
      </c>
      <c r="W295">
        <f>N295*O295*(1-V295)</f>
        <v/>
      </c>
      <c r="X295">
        <f>W295-R295</f>
        <v/>
      </c>
      <c r="Y295">
        <f>IF(W295=0,0,X295/W295)</f>
        <v/>
      </c>
      <c r="Z295">
        <f>C295-B295</f>
        <v/>
      </c>
      <c r="AA295">
        <f>TEXT(B295,"mmmm")</f>
        <v/>
      </c>
      <c r="AB295">
        <f>YEAR(B295)</f>
        <v/>
      </c>
      <c r="AC295">
        <f>IF(OR(P295&lt;0,P295&gt;0.5,C295&lt;B295),"INVALID","CLEAN")</f>
        <v/>
      </c>
    </row>
    <row r="296">
      <c r="A296" s="12" t="inlineStr">
        <is>
          <t>ORD-2025-10295</t>
        </is>
      </c>
      <c r="B296" s="12" t="inlineStr">
        <is>
          <t>16 Jul 2025</t>
        </is>
      </c>
      <c r="C296" s="12" t="inlineStr">
        <is>
          <t>07/22/2025</t>
        </is>
      </c>
      <c r="D296" s="12" t="inlineStr">
        <is>
          <t>CUST-4755</t>
        </is>
      </c>
      <c r="E296" s="12" t="inlineStr">
        <is>
          <t>Priya Menon</t>
        </is>
      </c>
      <c r="F296" s="12" t="inlineStr">
        <is>
          <t>Consumer</t>
        </is>
      </c>
      <c r="G296" s="12" t="inlineStr">
        <is>
          <t>East</t>
        </is>
      </c>
      <c r="H296" s="12" t="inlineStr">
        <is>
          <t>Odisha</t>
        </is>
      </c>
      <c r="I296" s="12" t="inlineStr">
        <is>
          <t>Bhubaneswar</t>
        </is>
      </c>
      <c r="J296" s="12" t="inlineStr">
        <is>
          <t>Technology</t>
        </is>
      </c>
      <c r="K296" s="12" t="inlineStr">
        <is>
          <t>Phones</t>
        </is>
      </c>
      <c r="L296" s="12" t="inlineStr">
        <is>
          <t>Basic Phones 326</t>
        </is>
      </c>
      <c r="M296" s="12" t="inlineStr">
        <is>
          <t>Second Class</t>
        </is>
      </c>
      <c r="N296" s="12" t="n">
        <v>6</v>
      </c>
      <c r="O296" s="12" t="n">
        <v>4159.33</v>
      </c>
      <c r="P296" s="12" t="n">
        <v>0.25</v>
      </c>
      <c r="Q296" s="12" t="n">
        <v>18716.99</v>
      </c>
      <c r="R296" s="12" t="n">
        <v>12282.43</v>
      </c>
      <c r="S296" s="12" t="n">
        <v>6434.56</v>
      </c>
      <c r="T296" s="12" t="inlineStr">
        <is>
          <t>Paid</t>
        </is>
      </c>
      <c r="U296" s="12" t="inlineStr">
        <is>
          <t>Returned</t>
        </is>
      </c>
      <c r="V296">
        <f>IF(OR(P296="",P296&lt;0,P296&gt;0.5),0,P296)</f>
        <v/>
      </c>
      <c r="W296">
        <f>N296*O296*(1-V296)</f>
        <v/>
      </c>
      <c r="X296">
        <f>W296-R296</f>
        <v/>
      </c>
      <c r="Y296">
        <f>IF(W296=0,0,X296/W296)</f>
        <v/>
      </c>
      <c r="Z296">
        <f>C296-B296</f>
        <v/>
      </c>
      <c r="AA296">
        <f>TEXT(B296,"mmmm")</f>
        <v/>
      </c>
      <c r="AB296">
        <f>YEAR(B296)</f>
        <v/>
      </c>
      <c r="AC296">
        <f>IF(OR(P296&lt;0,P296&gt;0.5,C296&lt;B296),"INVALID","CLEAN")</f>
        <v/>
      </c>
    </row>
    <row r="297">
      <c r="A297" s="12" t="inlineStr">
        <is>
          <t>ORD-2025-10296</t>
        </is>
      </c>
      <c r="B297" s="12" t="inlineStr">
        <is>
          <t>25 Jun 2025</t>
        </is>
      </c>
      <c r="C297" s="12" t="inlineStr">
        <is>
          <t>28 Jun 2025</t>
        </is>
      </c>
      <c r="D297" s="12" t="inlineStr">
        <is>
          <t>CUST-6778</t>
        </is>
      </c>
      <c r="E297" s="12" t="inlineStr">
        <is>
          <t>Aditi Sen</t>
        </is>
      </c>
      <c r="F297" s="12" t="inlineStr">
        <is>
          <t>Small Business</t>
        </is>
      </c>
      <c r="G297" s="12" t="inlineStr">
        <is>
          <t>East</t>
        </is>
      </c>
      <c r="H297" s="12" t="inlineStr">
        <is>
          <t>Assam</t>
        </is>
      </c>
      <c r="I297" s="12" t="inlineStr">
        <is>
          <t>Guwahati</t>
        </is>
      </c>
      <c r="J297" s="12" t="inlineStr">
        <is>
          <t>Office Supplies</t>
        </is>
      </c>
      <c r="K297" s="12" t="inlineStr">
        <is>
          <t>Binders</t>
        </is>
      </c>
      <c r="L297" s="12" t="inlineStr">
        <is>
          <t>Max Binders 587</t>
        </is>
      </c>
      <c r="M297" s="12" t="inlineStr">
        <is>
          <t>Standard Class</t>
        </is>
      </c>
      <c r="N297" s="12" t="n">
        <v>3</v>
      </c>
      <c r="O297" s="12" t="n">
        <v>3476.05</v>
      </c>
      <c r="P297" s="12" t="n">
        <v>0.1</v>
      </c>
      <c r="Q297" s="12" t="n">
        <v>9385.34</v>
      </c>
      <c r="R297" s="12" t="n">
        <v>5828.54</v>
      </c>
      <c r="S297" s="12" t="n">
        <v>3556.8</v>
      </c>
      <c r="T297" s="12" t="inlineStr">
        <is>
          <t>Paid</t>
        </is>
      </c>
      <c r="U297" s="12" t="inlineStr">
        <is>
          <t>Completed</t>
        </is>
      </c>
      <c r="V297">
        <f>IF(OR(P297="",P297&lt;0,P297&gt;0.5),0,P297)</f>
        <v/>
      </c>
      <c r="W297">
        <f>N297*O297*(1-V297)</f>
        <v/>
      </c>
      <c r="X297">
        <f>W297-R297</f>
        <v/>
      </c>
      <c r="Y297">
        <f>IF(W297=0,0,X297/W297)</f>
        <v/>
      </c>
      <c r="Z297">
        <f>C297-B297</f>
        <v/>
      </c>
      <c r="AA297">
        <f>TEXT(B297,"mmmm")</f>
        <v/>
      </c>
      <c r="AB297">
        <f>YEAR(B297)</f>
        <v/>
      </c>
      <c r="AC297">
        <f>IF(OR(P297&lt;0,P297&gt;0.5,C297&lt;B297),"INVALID","CLEAN")</f>
        <v/>
      </c>
    </row>
    <row r="298">
      <c r="A298" s="12" t="inlineStr">
        <is>
          <t>ORD-2025-10297</t>
        </is>
      </c>
      <c r="B298" s="12" t="inlineStr">
        <is>
          <t>24 May 2025</t>
        </is>
      </c>
      <c r="C298" s="12" t="inlineStr">
        <is>
          <t>05/26/2025</t>
        </is>
      </c>
      <c r="D298" s="12" t="inlineStr">
        <is>
          <t>CUST-7629</t>
        </is>
      </c>
      <c r="E298" s="12" t="inlineStr">
        <is>
          <t>Aditi Sen</t>
        </is>
      </c>
      <c r="F298" s="12" t="inlineStr">
        <is>
          <t>Home Office</t>
        </is>
      </c>
      <c r="G298" s="12" t="inlineStr">
        <is>
          <t>North</t>
        </is>
      </c>
      <c r="H298" s="12" t="inlineStr">
        <is>
          <t>Haryana</t>
        </is>
      </c>
      <c r="I298" s="12" t="inlineStr">
        <is>
          <t>Gurugram</t>
        </is>
      </c>
      <c r="J298" s="12" t="inlineStr">
        <is>
          <t>Furniture</t>
        </is>
      </c>
      <c r="K298" s="12" t="inlineStr">
        <is>
          <t>Furnishings</t>
        </is>
      </c>
      <c r="L298" s="12" t="inlineStr">
        <is>
          <t>Basic Furnishings 617</t>
        </is>
      </c>
      <c r="M298" s="12" t="inlineStr">
        <is>
          <t>Same Day</t>
        </is>
      </c>
      <c r="N298" s="12" t="n">
        <v>6</v>
      </c>
      <c r="O298" s="12" t="n">
        <v>3495.41</v>
      </c>
      <c r="P298" s="12" t="n">
        <v>0.15</v>
      </c>
      <c r="Q298" s="12" t="n">
        <v>17826.59</v>
      </c>
      <c r="R298" s="12" t="n">
        <v>10855.35</v>
      </c>
      <c r="S298" s="12" t="n">
        <v>6971.24</v>
      </c>
      <c r="T298" s="12" t="inlineStr">
        <is>
          <t>Paid</t>
        </is>
      </c>
      <c r="U298" s="12" t="inlineStr">
        <is>
          <t>Completed</t>
        </is>
      </c>
      <c r="V298">
        <f>IF(OR(P298="",P298&lt;0,P298&gt;0.5),0,P298)</f>
        <v/>
      </c>
      <c r="W298">
        <f>N298*O298*(1-V298)</f>
        <v/>
      </c>
      <c r="X298">
        <f>W298-R298</f>
        <v/>
      </c>
      <c r="Y298">
        <f>IF(W298=0,0,X298/W298)</f>
        <v/>
      </c>
      <c r="Z298">
        <f>C298-B298</f>
        <v/>
      </c>
      <c r="AA298">
        <f>TEXT(B298,"mmmm")</f>
        <v/>
      </c>
      <c r="AB298">
        <f>YEAR(B298)</f>
        <v/>
      </c>
      <c r="AC298">
        <f>IF(OR(P298&lt;0,P298&gt;0.5,C298&lt;B298),"INVALID","CLEAN")</f>
        <v/>
      </c>
    </row>
    <row r="299">
      <c r="A299" s="12" t="inlineStr">
        <is>
          <t>ORD-2024-10298</t>
        </is>
      </c>
      <c r="B299" s="12" t="inlineStr">
        <is>
          <t>2024-10-29</t>
        </is>
      </c>
      <c r="C299" s="12" t="inlineStr">
        <is>
          <t>06-11-2024</t>
        </is>
      </c>
      <c r="D299" s="12" t="inlineStr">
        <is>
          <t>CUST-6724</t>
        </is>
      </c>
      <c r="E299" s="12" t="inlineStr">
        <is>
          <t>Sneha Kapoor</t>
        </is>
      </c>
      <c r="F299" s="12" t="inlineStr">
        <is>
          <t>Corporate</t>
        </is>
      </c>
      <c r="G299" s="12" t="inlineStr">
        <is>
          <t>South</t>
        </is>
      </c>
      <c r="H299" s="12" t="inlineStr">
        <is>
          <t>Tamil Nadu</t>
        </is>
      </c>
      <c r="I299" s="12" t="inlineStr">
        <is>
          <t>Chennai</t>
        </is>
      </c>
      <c r="J299" s="12" t="inlineStr">
        <is>
          <t>Technology</t>
        </is>
      </c>
      <c r="K299" s="12" t="inlineStr">
        <is>
          <t>Copiers</t>
        </is>
      </c>
      <c r="L299" s="12" t="inlineStr">
        <is>
          <t>Prime Copiers 669</t>
        </is>
      </c>
      <c r="M299" s="12" t="inlineStr">
        <is>
          <t>Same Day</t>
        </is>
      </c>
      <c r="N299" s="12" t="n">
        <v>6</v>
      </c>
      <c r="O299" s="12" t="n">
        <v>1169.92</v>
      </c>
      <c r="P299" s="12" t="n">
        <v>0.15</v>
      </c>
      <c r="Q299" s="12" t="n">
        <v>5966.59</v>
      </c>
      <c r="R299" s="12" t="n">
        <v>3994.72</v>
      </c>
      <c r="S299" s="12" t="n">
        <v>1971.87</v>
      </c>
      <c r="T299" s="12" t="inlineStr">
        <is>
          <t>Paid</t>
        </is>
      </c>
      <c r="U299" s="12" t="inlineStr">
        <is>
          <t>Completed</t>
        </is>
      </c>
      <c r="V299">
        <f>IF(OR(P299="",P299&lt;0,P299&gt;0.5),0,P299)</f>
        <v/>
      </c>
      <c r="W299">
        <f>N299*O299*(1-V299)</f>
        <v/>
      </c>
      <c r="X299">
        <f>W299-R299</f>
        <v/>
      </c>
      <c r="Y299">
        <f>IF(W299=0,0,X299/W299)</f>
        <v/>
      </c>
      <c r="Z299">
        <f>C299-B299</f>
        <v/>
      </c>
      <c r="AA299">
        <f>TEXT(B299,"mmmm")</f>
        <v/>
      </c>
      <c r="AB299">
        <f>YEAR(B299)</f>
        <v/>
      </c>
      <c r="AC299">
        <f>IF(OR(P299&lt;0,P299&gt;0.5,C299&lt;B299),"INVALID","CLEAN")</f>
        <v/>
      </c>
    </row>
    <row r="300">
      <c r="A300" s="12" t="inlineStr">
        <is>
          <t>ORD-2025-10299</t>
        </is>
      </c>
      <c r="B300" s="12" t="inlineStr">
        <is>
          <t>23-01-2025</t>
        </is>
      </c>
      <c r="C300" s="12" t="inlineStr">
        <is>
          <t>2025-01-26</t>
        </is>
      </c>
      <c r="D300" s="12" t="inlineStr">
        <is>
          <t>CUST-2141</t>
        </is>
      </c>
      <c r="E300" s="12" t="inlineStr">
        <is>
          <t>Isha Nair</t>
        </is>
      </c>
      <c r="F300" s="12" t="inlineStr">
        <is>
          <t>Consumer</t>
        </is>
      </c>
      <c r="G300" s="12" t="inlineStr">
        <is>
          <t>South</t>
        </is>
      </c>
      <c r="H300" s="12" t="inlineStr">
        <is>
          <t>Kerala</t>
        </is>
      </c>
      <c r="I300" s="12" t="inlineStr">
        <is>
          <t>Kochi</t>
        </is>
      </c>
      <c r="J300" s="12" t="inlineStr">
        <is>
          <t>Technology</t>
        </is>
      </c>
      <c r="K300" s="12" t="inlineStr">
        <is>
          <t>Copiers</t>
        </is>
      </c>
      <c r="L300" s="12" t="inlineStr">
        <is>
          <t>Eco Copiers 894</t>
        </is>
      </c>
      <c r="M300" s="12" t="inlineStr">
        <is>
          <t>First Class</t>
        </is>
      </c>
      <c r="N300" s="12" t="n">
        <v>7</v>
      </c>
      <c r="O300" s="12" t="n">
        <v>348.49</v>
      </c>
      <c r="P300" s="12" t="n">
        <v>0.2</v>
      </c>
      <c r="Q300" s="12" t="n">
        <v>1951.54</v>
      </c>
      <c r="R300" s="12" t="n">
        <v>1609.95</v>
      </c>
      <c r="S300" s="12" t="n">
        <v>341.59</v>
      </c>
      <c r="T300" s="12" t="inlineStr">
        <is>
          <t>Failed</t>
        </is>
      </c>
      <c r="U300" s="12" t="inlineStr">
        <is>
          <t>Returned</t>
        </is>
      </c>
      <c r="V300">
        <f>IF(OR(P300="",P300&lt;0,P300&gt;0.5),0,P300)</f>
        <v/>
      </c>
      <c r="W300">
        <f>N300*O300*(1-V300)</f>
        <v/>
      </c>
      <c r="X300">
        <f>W300-R300</f>
        <v/>
      </c>
      <c r="Y300">
        <f>IF(W300=0,0,X300/W300)</f>
        <v/>
      </c>
      <c r="Z300">
        <f>C300-B300</f>
        <v/>
      </c>
      <c r="AA300">
        <f>TEXT(B300,"mmmm")</f>
        <v/>
      </c>
      <c r="AB300">
        <f>YEAR(B300)</f>
        <v/>
      </c>
      <c r="AC300">
        <f>IF(OR(P300&lt;0,P300&gt;0.5,C300&lt;B300),"INVALID","CLEAN")</f>
        <v/>
      </c>
    </row>
    <row r="301">
      <c r="A301" s="12" t="inlineStr">
        <is>
          <t>ORD-2024-10300</t>
        </is>
      </c>
      <c r="B301" s="12" t="inlineStr">
        <is>
          <t>06-11-2024</t>
        </is>
      </c>
      <c r="C301" s="12" t="inlineStr">
        <is>
          <t>2024-11-12</t>
        </is>
      </c>
      <c r="D301" s="12" t="inlineStr">
        <is>
          <t>CUST-7264</t>
        </is>
      </c>
      <c r="E301" s="12" t="inlineStr">
        <is>
          <t>Rahul Verma</t>
        </is>
      </c>
      <c r="F301" s="12" t="inlineStr">
        <is>
          <t>Small Business</t>
        </is>
      </c>
      <c r="G301" s="12" t="inlineStr">
        <is>
          <t>West</t>
        </is>
      </c>
      <c r="H301" s="12" t="inlineStr">
        <is>
          <t>Gujarat</t>
        </is>
      </c>
      <c r="I301" s="12" t="inlineStr">
        <is>
          <t>Ahmedabad</t>
        </is>
      </c>
      <c r="J301" s="12" t="inlineStr">
        <is>
          <t>Technology</t>
        </is>
      </c>
      <c r="K301" s="12" t="inlineStr">
        <is>
          <t>Accessories</t>
        </is>
      </c>
      <c r="L301" s="12" t="inlineStr">
        <is>
          <t>Max Accessories 145</t>
        </is>
      </c>
      <c r="M301" s="12" t="inlineStr">
        <is>
          <t>Standard Class</t>
        </is>
      </c>
      <c r="N301" s="12" t="n">
        <v>7</v>
      </c>
      <c r="O301" s="12" t="n">
        <v>1719.05</v>
      </c>
      <c r="P301" s="12" t="n">
        <v>0.1</v>
      </c>
      <c r="Q301" s="12" t="n">
        <v>10830.02</v>
      </c>
      <c r="R301" s="12" t="n">
        <v>7055.31</v>
      </c>
      <c r="S301" s="12" t="n">
        <v>3774.71</v>
      </c>
      <c r="T301" s="12" t="inlineStr">
        <is>
          <t>Paid</t>
        </is>
      </c>
      <c r="U301" s="12" t="inlineStr">
        <is>
          <t>Completed</t>
        </is>
      </c>
      <c r="V301">
        <f>IF(OR(P301="",P301&lt;0,P301&gt;0.5),0,P301)</f>
        <v/>
      </c>
      <c r="W301">
        <f>N301*O301*(1-V301)</f>
        <v/>
      </c>
      <c r="X301">
        <f>W301-R301</f>
        <v/>
      </c>
      <c r="Y301">
        <f>IF(W301=0,0,X301/W301)</f>
        <v/>
      </c>
      <c r="Z301">
        <f>C301-B301</f>
        <v/>
      </c>
      <c r="AA301">
        <f>TEXT(B301,"mmmm")</f>
        <v/>
      </c>
      <c r="AB301">
        <f>YEAR(B301)</f>
        <v/>
      </c>
      <c r="AC301">
        <f>IF(OR(P301&lt;0,P301&gt;0.5,C301&lt;B301),"INVALID","CLEAN")</f>
        <v/>
      </c>
    </row>
    <row r="302">
      <c r="A302" s="12" t="inlineStr">
        <is>
          <t>ORD-2024-10301</t>
        </is>
      </c>
      <c r="B302" s="12" t="inlineStr">
        <is>
          <t>15-04-2024</t>
        </is>
      </c>
      <c r="C302" s="12" t="inlineStr">
        <is>
          <t>04/23/2024</t>
        </is>
      </c>
      <c r="D302" s="12" t="inlineStr">
        <is>
          <t>CUST-2668</t>
        </is>
      </c>
      <c r="E302" s="12" t="inlineStr">
        <is>
          <t>Diya Patel</t>
        </is>
      </c>
      <c r="F302" s="12" t="inlineStr">
        <is>
          <t>Small Business</t>
        </is>
      </c>
      <c r="G302" s="12" t="inlineStr">
        <is>
          <t>North</t>
        </is>
      </c>
      <c r="H302" s="12" t="inlineStr">
        <is>
          <t>Punjab</t>
        </is>
      </c>
      <c r="I302" s="12" t="inlineStr">
        <is>
          <t>Ludhiana</t>
        </is>
      </c>
      <c r="J302" s="12" t="inlineStr">
        <is>
          <t>Technology</t>
        </is>
      </c>
      <c r="K302" s="12" t="inlineStr">
        <is>
          <t>Accessories</t>
        </is>
      </c>
      <c r="L302" s="12" t="inlineStr">
        <is>
          <t>Classic Accessories 126</t>
        </is>
      </c>
      <c r="M302" s="12" t="inlineStr">
        <is>
          <t xml:space="preserve">Second Class </t>
        </is>
      </c>
      <c r="N302" s="12" t="n">
        <v>9</v>
      </c>
      <c r="O302" s="12" t="n">
        <v>3893.74</v>
      </c>
      <c r="P302" s="12" t="n">
        <v>0.1</v>
      </c>
      <c r="Q302" s="12" t="n">
        <v>31539.29</v>
      </c>
      <c r="R302" s="12" t="n">
        <v>22100.14</v>
      </c>
      <c r="S302" s="12" t="n">
        <v>9439.15</v>
      </c>
      <c r="T302" s="12" t="inlineStr">
        <is>
          <t>Paid</t>
        </is>
      </c>
      <c r="U302" s="12" t="inlineStr">
        <is>
          <t>Completed</t>
        </is>
      </c>
      <c r="V302">
        <f>IF(OR(P302="",P302&lt;0,P302&gt;0.5),0,P302)</f>
        <v/>
      </c>
      <c r="W302">
        <f>N302*O302*(1-V302)</f>
        <v/>
      </c>
      <c r="X302">
        <f>W302-R302</f>
        <v/>
      </c>
      <c r="Y302">
        <f>IF(W302=0,0,X302/W302)</f>
        <v/>
      </c>
      <c r="Z302">
        <f>C302-B302</f>
        <v/>
      </c>
      <c r="AA302">
        <f>TEXT(B302,"mmmm")</f>
        <v/>
      </c>
      <c r="AB302">
        <f>YEAR(B302)</f>
        <v/>
      </c>
      <c r="AC302">
        <f>IF(OR(P302&lt;0,P302&gt;0.5,C302&lt;B302),"INVALID","CLEAN")</f>
        <v/>
      </c>
    </row>
    <row r="303">
      <c r="A303" s="12" t="inlineStr">
        <is>
          <t>ORD-2025-10302</t>
        </is>
      </c>
      <c r="B303" s="12" t="inlineStr">
        <is>
          <t>28 May 2025</t>
        </is>
      </c>
      <c r="C303" s="12" t="inlineStr">
        <is>
          <t>01-06-2025</t>
        </is>
      </c>
      <c r="D303" s="12" t="inlineStr">
        <is>
          <t>CUST-5599</t>
        </is>
      </c>
      <c r="E303" s="12" t="inlineStr">
        <is>
          <t>Isha Nair</t>
        </is>
      </c>
      <c r="F303" s="12" t="inlineStr">
        <is>
          <t>Home Office</t>
        </is>
      </c>
      <c r="G303" s="12" t="inlineStr">
        <is>
          <t>East</t>
        </is>
      </c>
      <c r="H303" s="12" t="inlineStr">
        <is>
          <t>Bihar</t>
        </is>
      </c>
      <c r="I303" s="12" t="inlineStr">
        <is>
          <t>Patna</t>
        </is>
      </c>
      <c r="J303" s="12" t="inlineStr">
        <is>
          <t>Technology</t>
        </is>
      </c>
      <c r="K303" s="12" t="inlineStr">
        <is>
          <t>Phones</t>
        </is>
      </c>
      <c r="L303" s="12" t="inlineStr">
        <is>
          <t>Elite Phones 202</t>
        </is>
      </c>
      <c r="M303" s="12" t="inlineStr">
        <is>
          <t>Same Day</t>
        </is>
      </c>
      <c r="N303" s="12" t="n">
        <v>4</v>
      </c>
      <c r="O303" s="12" t="n">
        <v>1654.11</v>
      </c>
      <c r="P303" s="12" t="n">
        <v>0.05</v>
      </c>
      <c r="Q303" s="12" t="n">
        <v>6285.62</v>
      </c>
      <c r="R303" s="12" t="n">
        <v>3705.38</v>
      </c>
      <c r="S303" s="12" t="n">
        <v>2580.24</v>
      </c>
      <c r="T303" s="12" t="inlineStr">
        <is>
          <t>Paid</t>
        </is>
      </c>
      <c r="U303" s="12" t="inlineStr">
        <is>
          <t>Completed</t>
        </is>
      </c>
      <c r="V303">
        <f>IF(OR(P303="",P303&lt;0,P303&gt;0.5),0,P303)</f>
        <v/>
      </c>
      <c r="W303">
        <f>N303*O303*(1-V303)</f>
        <v/>
      </c>
      <c r="X303">
        <f>W303-R303</f>
        <v/>
      </c>
      <c r="Y303">
        <f>IF(W303=0,0,X303/W303)</f>
        <v/>
      </c>
      <c r="Z303">
        <f>C303-B303</f>
        <v/>
      </c>
      <c r="AA303">
        <f>TEXT(B303,"mmmm")</f>
        <v/>
      </c>
      <c r="AB303">
        <f>YEAR(B303)</f>
        <v/>
      </c>
      <c r="AC303">
        <f>IF(OR(P303&lt;0,P303&gt;0.5,C303&lt;B303),"INVALID","CLEAN")</f>
        <v/>
      </c>
    </row>
    <row r="304">
      <c r="A304" s="12" t="inlineStr">
        <is>
          <t>ORD-2025-10303</t>
        </is>
      </c>
      <c r="B304" s="12" t="inlineStr">
        <is>
          <t>04-06-2025</t>
        </is>
      </c>
      <c r="C304" s="12" t="inlineStr">
        <is>
          <t>2025-06-12</t>
        </is>
      </c>
      <c r="D304" s="12" t="inlineStr">
        <is>
          <t>CUST-1623</t>
        </is>
      </c>
      <c r="E304" s="12" t="inlineStr">
        <is>
          <t>Neha Gupta</t>
        </is>
      </c>
      <c r="F304" s="12" t="inlineStr">
        <is>
          <t>Consumer</t>
        </is>
      </c>
      <c r="G304" s="12" t="inlineStr">
        <is>
          <t>West</t>
        </is>
      </c>
      <c r="H304" s="12" t="inlineStr">
        <is>
          <t>Goa</t>
        </is>
      </c>
      <c r="I304" s="12" t="inlineStr">
        <is>
          <t>Panaji</t>
        </is>
      </c>
      <c r="J304" s="12" t="inlineStr">
        <is>
          <t>OFFICE SUPPLIES</t>
        </is>
      </c>
      <c r="K304" s="12" t="inlineStr">
        <is>
          <t>Storage</t>
        </is>
      </c>
      <c r="L304" s="12" t="inlineStr">
        <is>
          <t>Elite Storage 535</t>
        </is>
      </c>
      <c r="M304" s="12" t="inlineStr">
        <is>
          <t>Same Day</t>
        </is>
      </c>
      <c r="N304" s="12" t="n">
        <v>2</v>
      </c>
      <c r="O304" s="12" t="n">
        <v>2703.28</v>
      </c>
      <c r="P304" s="12" t="n">
        <v>0.25</v>
      </c>
      <c r="Q304" s="12" t="n">
        <v>4054.92</v>
      </c>
      <c r="R304" s="12" t="n">
        <v>2424.83</v>
      </c>
      <c r="S304" s="12" t="n">
        <v>1630.09</v>
      </c>
      <c r="T304" s="12" t="inlineStr">
        <is>
          <t>Paid</t>
        </is>
      </c>
      <c r="U304" s="12" t="inlineStr">
        <is>
          <t>Completed</t>
        </is>
      </c>
      <c r="V304">
        <f>IF(OR(P304="",P304&lt;0,P304&gt;0.5),0,P304)</f>
        <v/>
      </c>
      <c r="W304">
        <f>N304*O304*(1-V304)</f>
        <v/>
      </c>
      <c r="X304">
        <f>W304-R304</f>
        <v/>
      </c>
      <c r="Y304">
        <f>IF(W304=0,0,X304/W304)</f>
        <v/>
      </c>
      <c r="Z304">
        <f>C304-B304</f>
        <v/>
      </c>
      <c r="AA304">
        <f>TEXT(B304,"mmmm")</f>
        <v/>
      </c>
      <c r="AB304">
        <f>YEAR(B304)</f>
        <v/>
      </c>
      <c r="AC304">
        <f>IF(OR(P304&lt;0,P304&gt;0.5,C304&lt;B304),"INVALID","CLEAN")</f>
        <v/>
      </c>
    </row>
    <row r="305">
      <c r="A305" s="12" t="inlineStr">
        <is>
          <t>ORD-2024-10304</t>
        </is>
      </c>
      <c r="B305" s="12" t="inlineStr">
        <is>
          <t>23 Jun 2024</t>
        </is>
      </c>
      <c r="C305" s="12" t="inlineStr">
        <is>
          <t>28-06-2024</t>
        </is>
      </c>
      <c r="D305" s="12" t="inlineStr">
        <is>
          <t>CUST-9035</t>
        </is>
      </c>
      <c r="E305" s="12" t="inlineStr">
        <is>
          <t>Diya Patel</t>
        </is>
      </c>
      <c r="F305" s="12" t="inlineStr">
        <is>
          <t>Home Office</t>
        </is>
      </c>
      <c r="G305" s="12" t="inlineStr">
        <is>
          <t>West</t>
        </is>
      </c>
      <c r="H305" s="12" t="inlineStr">
        <is>
          <t>Gujarat</t>
        </is>
      </c>
      <c r="I305" s="12" t="inlineStr">
        <is>
          <t>Ahmedabad</t>
        </is>
      </c>
      <c r="J305" s="12" t="inlineStr">
        <is>
          <t>Furniture</t>
        </is>
      </c>
      <c r="K305" s="12" t="inlineStr">
        <is>
          <t>Chairs</t>
        </is>
      </c>
      <c r="L305" s="12" t="inlineStr">
        <is>
          <t>Elite Chairs 107</t>
        </is>
      </c>
      <c r="M305" s="12" t="inlineStr">
        <is>
          <t>Standard Class</t>
        </is>
      </c>
      <c r="N305" s="12" t="n">
        <v>2</v>
      </c>
      <c r="O305" s="12" t="n">
        <v>1313.14</v>
      </c>
      <c r="P305" s="12" t="n">
        <v>0.1</v>
      </c>
      <c r="Q305" s="12" t="n">
        <v>2363.65</v>
      </c>
      <c r="R305" s="12" t="n">
        <v>1876.1</v>
      </c>
      <c r="S305" s="12" t="n">
        <v>487.55</v>
      </c>
      <c r="T305" s="12" t="inlineStr">
        <is>
          <t>Pending</t>
        </is>
      </c>
      <c r="U305" s="12" t="inlineStr">
        <is>
          <t>Returned</t>
        </is>
      </c>
      <c r="V305">
        <f>IF(OR(P305="",P305&lt;0,P305&gt;0.5),0,P305)</f>
        <v/>
      </c>
      <c r="W305">
        <f>N305*O305*(1-V305)</f>
        <v/>
      </c>
      <c r="X305">
        <f>W305-R305</f>
        <v/>
      </c>
      <c r="Y305">
        <f>IF(W305=0,0,X305/W305)</f>
        <v/>
      </c>
      <c r="Z305">
        <f>C305-B305</f>
        <v/>
      </c>
      <c r="AA305">
        <f>TEXT(B305,"mmmm")</f>
        <v/>
      </c>
      <c r="AB305">
        <f>YEAR(B305)</f>
        <v/>
      </c>
      <c r="AC305">
        <f>IF(OR(P305&lt;0,P305&gt;0.5,C305&lt;B305),"INVALID","CLEAN")</f>
        <v/>
      </c>
    </row>
    <row r="306">
      <c r="A306" s="12" t="inlineStr">
        <is>
          <t>ORD-2024-10305</t>
        </is>
      </c>
      <c r="B306" s="12" t="inlineStr">
        <is>
          <t>03/06/2024</t>
        </is>
      </c>
      <c r="C306" s="12" t="inlineStr">
        <is>
          <t>2024-03-13</t>
        </is>
      </c>
      <c r="D306" s="12" t="inlineStr">
        <is>
          <t>CUST-6286</t>
        </is>
      </c>
      <c r="E306" s="12" t="inlineStr">
        <is>
          <t>Karan Malhotra</t>
        </is>
      </c>
      <c r="F306" s="12" t="inlineStr">
        <is>
          <t>Consumer</t>
        </is>
      </c>
      <c r="G306" s="12" t="inlineStr">
        <is>
          <t>North</t>
        </is>
      </c>
      <c r="H306" s="12" t="inlineStr">
        <is>
          <t>Punjab</t>
        </is>
      </c>
      <c r="I306" s="12" t="inlineStr">
        <is>
          <t>Ludhiana</t>
        </is>
      </c>
      <c r="J306" s="12" t="inlineStr">
        <is>
          <t>Furniture</t>
        </is>
      </c>
      <c r="K306" s="12" t="inlineStr">
        <is>
          <t>Furnishings</t>
        </is>
      </c>
      <c r="L306" s="12" t="inlineStr">
        <is>
          <t>Pro Furnishings 991</t>
        </is>
      </c>
      <c r="M306" s="12" t="inlineStr">
        <is>
          <t>Standard Class</t>
        </is>
      </c>
      <c r="N306" s="12" t="n">
        <v>6</v>
      </c>
      <c r="O306" s="12" t="n">
        <v>2403.05</v>
      </c>
      <c r="P306" s="12" t="n">
        <v>0.1</v>
      </c>
      <c r="Q306" s="12" t="n">
        <v>12976.47</v>
      </c>
      <c r="R306" s="12" t="n">
        <v>10019.98</v>
      </c>
      <c r="S306" s="12" t="n">
        <v>2956.49</v>
      </c>
      <c r="T306" s="12" t="inlineStr">
        <is>
          <t>Paid</t>
        </is>
      </c>
      <c r="U306" s="12" t="inlineStr">
        <is>
          <t>Completed</t>
        </is>
      </c>
      <c r="V306">
        <f>IF(OR(P306="",P306&lt;0,P306&gt;0.5),0,P306)</f>
        <v/>
      </c>
      <c r="W306">
        <f>N306*O306*(1-V306)</f>
        <v/>
      </c>
      <c r="X306">
        <f>W306-R306</f>
        <v/>
      </c>
      <c r="Y306">
        <f>IF(W306=0,0,X306/W306)</f>
        <v/>
      </c>
      <c r="Z306">
        <f>C306-B306</f>
        <v/>
      </c>
      <c r="AA306">
        <f>TEXT(B306,"mmmm")</f>
        <v/>
      </c>
      <c r="AB306">
        <f>YEAR(B306)</f>
        <v/>
      </c>
      <c r="AC306">
        <f>IF(OR(P306&lt;0,P306&gt;0.5,C306&lt;B306),"INVALID","CLEAN")</f>
        <v/>
      </c>
    </row>
    <row r="307">
      <c r="A307" s="12" t="inlineStr">
        <is>
          <t>ORD-2024-10306</t>
        </is>
      </c>
      <c r="B307" s="12" t="inlineStr">
        <is>
          <t>01 May 2024</t>
        </is>
      </c>
      <c r="C307" s="12" t="inlineStr">
        <is>
          <t>05/02/2024</t>
        </is>
      </c>
      <c r="D307" s="12" t="inlineStr">
        <is>
          <t>CUST-7246</t>
        </is>
      </c>
      <c r="E307" s="12" t="inlineStr">
        <is>
          <t>Ananya Rao</t>
        </is>
      </c>
      <c r="F307" s="12" t="inlineStr">
        <is>
          <t>Consumer</t>
        </is>
      </c>
      <c r="G307" s="12" t="inlineStr">
        <is>
          <t>East</t>
        </is>
      </c>
      <c r="H307" s="12" t="inlineStr">
        <is>
          <t>Assam</t>
        </is>
      </c>
      <c r="I307" s="12" t="inlineStr">
        <is>
          <t>Guwahati</t>
        </is>
      </c>
      <c r="J307" s="12" t="inlineStr">
        <is>
          <t>Furniture</t>
        </is>
      </c>
      <c r="K307" s="12" t="inlineStr">
        <is>
          <t>Chairs</t>
        </is>
      </c>
      <c r="L307" s="12" t="inlineStr">
        <is>
          <t>Eco Chairs 105</t>
        </is>
      </c>
      <c r="M307" s="12" t="inlineStr">
        <is>
          <t>First Class</t>
        </is>
      </c>
      <c r="N307" s="12" t="n">
        <v>4</v>
      </c>
      <c r="O307" s="12" t="n">
        <v>4156.06</v>
      </c>
      <c r="P307" s="12" t="n">
        <v>0.55</v>
      </c>
      <c r="Q307" s="12" t="n">
        <v>13299.39</v>
      </c>
      <c r="R307" s="12" t="n">
        <v>9851.91</v>
      </c>
      <c r="S307" s="12" t="n">
        <v>3447.48</v>
      </c>
      <c r="T307" s="12" t="inlineStr">
        <is>
          <t>Paid</t>
        </is>
      </c>
      <c r="U307" s="12" t="inlineStr">
        <is>
          <t>Cancelled</t>
        </is>
      </c>
      <c r="V307">
        <f>IF(OR(P307="",P307&lt;0,P307&gt;0.5),0,P307)</f>
        <v/>
      </c>
      <c r="W307">
        <f>N307*O307*(1-V307)</f>
        <v/>
      </c>
      <c r="X307">
        <f>W307-R307</f>
        <v/>
      </c>
      <c r="Y307">
        <f>IF(W307=0,0,X307/W307)</f>
        <v/>
      </c>
      <c r="Z307">
        <f>C307-B307</f>
        <v/>
      </c>
      <c r="AA307">
        <f>TEXT(B307,"mmmm")</f>
        <v/>
      </c>
      <c r="AB307">
        <f>YEAR(B307)</f>
        <v/>
      </c>
      <c r="AC307">
        <f>IF(OR(P307&lt;0,P307&gt;0.5,C307&lt;B307),"INVALID","CLEAN")</f>
        <v/>
      </c>
    </row>
    <row r="308">
      <c r="A308" s="12" t="inlineStr">
        <is>
          <t>ORD-2025-10307</t>
        </is>
      </c>
      <c r="B308" s="12" t="inlineStr">
        <is>
          <t>20 Feb 2025</t>
        </is>
      </c>
      <c r="C308" s="12" t="inlineStr">
        <is>
          <t>2025-02-23</t>
        </is>
      </c>
      <c r="D308" s="12" t="inlineStr">
        <is>
          <t>CUST-2589</t>
        </is>
      </c>
      <c r="E308" s="12" t="inlineStr">
        <is>
          <t>Aarav Sharma</t>
        </is>
      </c>
      <c r="F308" s="12" t="inlineStr">
        <is>
          <t>Consumer</t>
        </is>
      </c>
      <c r="G308" s="12" t="inlineStr">
        <is>
          <t>North</t>
        </is>
      </c>
      <c r="H308" s="12" t="inlineStr">
        <is>
          <t>Rajasthan</t>
        </is>
      </c>
      <c r="I308" s="12" t="inlineStr">
        <is>
          <t>Jaipur</t>
        </is>
      </c>
      <c r="J308" s="12" t="inlineStr">
        <is>
          <t>Technology</t>
        </is>
      </c>
      <c r="K308" s="12" t="inlineStr">
        <is>
          <t>Phones</t>
        </is>
      </c>
      <c r="L308" s="12" t="inlineStr">
        <is>
          <t>Pro Phones 530</t>
        </is>
      </c>
      <c r="M308" s="12" t="inlineStr">
        <is>
          <t>Second Class</t>
        </is>
      </c>
      <c r="N308" s="12" t="n">
        <v>4</v>
      </c>
      <c r="O308" s="12" t="n">
        <v>3673.11</v>
      </c>
      <c r="P308" s="12" t="n">
        <v>0</v>
      </c>
      <c r="Q308" s="12" t="n">
        <v>14692.44</v>
      </c>
      <c r="R308" s="12" t="n">
        <v>10082.19</v>
      </c>
      <c r="S308" s="12" t="n">
        <v>4610.25</v>
      </c>
      <c r="T308" s="12" t="inlineStr">
        <is>
          <t>Paid</t>
        </is>
      </c>
      <c r="U308" s="12" t="inlineStr">
        <is>
          <t>Completed</t>
        </is>
      </c>
      <c r="V308">
        <f>IF(OR(P308="",P308&lt;0,P308&gt;0.5),0,P308)</f>
        <v/>
      </c>
      <c r="W308">
        <f>N308*O308*(1-V308)</f>
        <v/>
      </c>
      <c r="X308">
        <f>W308-R308</f>
        <v/>
      </c>
      <c r="Y308">
        <f>IF(W308=0,0,X308/W308)</f>
        <v/>
      </c>
      <c r="Z308">
        <f>C308-B308</f>
        <v/>
      </c>
      <c r="AA308">
        <f>TEXT(B308,"mmmm")</f>
        <v/>
      </c>
      <c r="AB308">
        <f>YEAR(B308)</f>
        <v/>
      </c>
      <c r="AC308">
        <f>IF(OR(P308&lt;0,P308&gt;0.5,C308&lt;B308),"INVALID","CLEAN")</f>
        <v/>
      </c>
    </row>
    <row r="309">
      <c r="A309" s="12" t="inlineStr">
        <is>
          <t>ORD-2025-10308</t>
        </is>
      </c>
      <c r="B309" s="12" t="inlineStr">
        <is>
          <t>2025-07-12</t>
        </is>
      </c>
      <c r="C309" s="12" t="inlineStr">
        <is>
          <t>19 Jul 2025</t>
        </is>
      </c>
      <c r="D309" s="12" t="inlineStr">
        <is>
          <t>CUST-4153</t>
        </is>
      </c>
      <c r="E309" s="12" t="inlineStr">
        <is>
          <t>Ananya Rao</t>
        </is>
      </c>
      <c r="F309" s="12" t="inlineStr">
        <is>
          <t>Corporate</t>
        </is>
      </c>
      <c r="G309" s="12" t="inlineStr">
        <is>
          <t>North</t>
        </is>
      </c>
      <c r="H309" s="12" t="inlineStr">
        <is>
          <t>Uttar Pradesh</t>
        </is>
      </c>
      <c r="I309" s="12" t="inlineStr">
        <is>
          <t>Noida</t>
        </is>
      </c>
      <c r="J309" s="12" t="inlineStr">
        <is>
          <t>Furniture</t>
        </is>
      </c>
      <c r="K309" s="12" t="inlineStr">
        <is>
          <t>Tables</t>
        </is>
      </c>
      <c r="L309" s="12" t="inlineStr">
        <is>
          <t>Basic Tables 911</t>
        </is>
      </c>
      <c r="M309" s="12" t="inlineStr">
        <is>
          <t>First Class</t>
        </is>
      </c>
      <c r="N309" s="12" t="n">
        <v>9</v>
      </c>
      <c r="O309" s="12" t="n">
        <v>4093.04</v>
      </c>
      <c r="P309" s="12" t="n">
        <v>0.2</v>
      </c>
      <c r="Q309" s="12" t="n">
        <v>29469.89</v>
      </c>
      <c r="R309" s="12" t="n">
        <v>18935.51</v>
      </c>
      <c r="S309" s="12" t="n">
        <v>10534.38</v>
      </c>
      <c r="T309" s="12" t="inlineStr">
        <is>
          <t>PENDING</t>
        </is>
      </c>
      <c r="U309" s="12" t="inlineStr">
        <is>
          <t>Cancelled</t>
        </is>
      </c>
      <c r="V309">
        <f>IF(OR(P309="",P309&lt;0,P309&gt;0.5),0,P309)</f>
        <v/>
      </c>
      <c r="W309">
        <f>N309*O309*(1-V309)</f>
        <v/>
      </c>
      <c r="X309">
        <f>W309-R309</f>
        <v/>
      </c>
      <c r="Y309">
        <f>IF(W309=0,0,X309/W309)</f>
        <v/>
      </c>
      <c r="Z309">
        <f>C309-B309</f>
        <v/>
      </c>
      <c r="AA309">
        <f>TEXT(B309,"mmmm")</f>
        <v/>
      </c>
      <c r="AB309">
        <f>YEAR(B309)</f>
        <v/>
      </c>
      <c r="AC309">
        <f>IF(OR(P309&lt;0,P309&gt;0.5,C309&lt;B309),"INVALID","CLEAN")</f>
        <v/>
      </c>
    </row>
    <row r="310">
      <c r="A310" s="12" t="inlineStr">
        <is>
          <t>ORD-2025-10309</t>
        </is>
      </c>
      <c r="B310" s="12" t="inlineStr">
        <is>
          <t>2025-06-13</t>
        </is>
      </c>
      <c r="C310" s="12" t="inlineStr">
        <is>
          <t>2025-06-19</t>
        </is>
      </c>
      <c r="D310" s="12" t="inlineStr">
        <is>
          <t>CUST-6727</t>
        </is>
      </c>
      <c r="E310" s="12" t="inlineStr">
        <is>
          <t>Rohan Mehta</t>
        </is>
      </c>
      <c r="F310" s="12" t="inlineStr">
        <is>
          <t>Consumer</t>
        </is>
      </c>
      <c r="G310" s="12" t="inlineStr">
        <is>
          <t>North</t>
        </is>
      </c>
      <c r="H310" s="12" t="inlineStr">
        <is>
          <t>Rajasthan</t>
        </is>
      </c>
      <c r="I310" s="12" t="inlineStr">
        <is>
          <t>Jaipur</t>
        </is>
      </c>
      <c r="J310" s="12" t="inlineStr">
        <is>
          <t>Furniture</t>
        </is>
      </c>
      <c r="K310" s="12" t="inlineStr">
        <is>
          <t>Tables</t>
        </is>
      </c>
      <c r="L310" s="12" t="inlineStr">
        <is>
          <t>Classic Tables 224</t>
        </is>
      </c>
      <c r="M310" s="12" t="inlineStr">
        <is>
          <t>First Class</t>
        </is>
      </c>
      <c r="N310" s="12" t="n">
        <v>4</v>
      </c>
      <c r="O310" s="12" t="n">
        <v>731.5700000000001</v>
      </c>
      <c r="P310" s="12" t="n">
        <v>0.2</v>
      </c>
      <c r="Q310" s="12" t="n">
        <v>2341.02</v>
      </c>
      <c r="R310" s="12" t="n">
        <v>1565.49</v>
      </c>
      <c r="S310" s="12" t="n">
        <v>775.53</v>
      </c>
      <c r="T310" s="12" t="inlineStr">
        <is>
          <t>Paid</t>
        </is>
      </c>
      <c r="U310" s="12" t="inlineStr">
        <is>
          <t>Completed</t>
        </is>
      </c>
      <c r="V310">
        <f>IF(OR(P310="",P310&lt;0,P310&gt;0.5),0,P310)</f>
        <v/>
      </c>
      <c r="W310">
        <f>N310*O310*(1-V310)</f>
        <v/>
      </c>
      <c r="X310">
        <f>W310-R310</f>
        <v/>
      </c>
      <c r="Y310">
        <f>IF(W310=0,0,X310/W310)</f>
        <v/>
      </c>
      <c r="Z310">
        <f>C310-B310</f>
        <v/>
      </c>
      <c r="AA310">
        <f>TEXT(B310,"mmmm")</f>
        <v/>
      </c>
      <c r="AB310">
        <f>YEAR(B310)</f>
        <v/>
      </c>
      <c r="AC310">
        <f>IF(OR(P310&lt;0,P310&gt;0.5,C310&lt;B310),"INVALID","CLEAN")</f>
        <v/>
      </c>
    </row>
    <row r="311">
      <c r="A311" s="12" t="inlineStr">
        <is>
          <t>ORD-2024-10310</t>
        </is>
      </c>
      <c r="B311" s="12" t="inlineStr">
        <is>
          <t>07/20/2024</t>
        </is>
      </c>
      <c r="C311" s="12" t="inlineStr">
        <is>
          <t>2024-07-22</t>
        </is>
      </c>
      <c r="D311" s="12" t="inlineStr">
        <is>
          <t>CUST-8860</t>
        </is>
      </c>
      <c r="E311" s="12" t="inlineStr">
        <is>
          <t>Ananya Rao</t>
        </is>
      </c>
      <c r="F311" s="12" t="inlineStr">
        <is>
          <t>Consumer</t>
        </is>
      </c>
      <c r="G311" s="12" t="inlineStr">
        <is>
          <t>South</t>
        </is>
      </c>
      <c r="H311" s="12" t="inlineStr">
        <is>
          <t>Tamil Nadu</t>
        </is>
      </c>
      <c r="I311" s="12" t="inlineStr">
        <is>
          <t>Chennai</t>
        </is>
      </c>
      <c r="J311" s="12" t="inlineStr">
        <is>
          <t>Furniture</t>
        </is>
      </c>
      <c r="K311" s="12" t="inlineStr">
        <is>
          <t>Tables</t>
        </is>
      </c>
      <c r="L311" s="12" t="inlineStr">
        <is>
          <t>Prime Tables 214</t>
        </is>
      </c>
      <c r="M311" s="12" t="inlineStr">
        <is>
          <t>First Class</t>
        </is>
      </c>
      <c r="N311" s="12" t="n">
        <v>7</v>
      </c>
      <c r="O311" s="12" t="n">
        <v>2060.73</v>
      </c>
      <c r="P311" s="12" t="n">
        <v>0.1</v>
      </c>
      <c r="Q311" s="12" t="n">
        <v>12982.6</v>
      </c>
      <c r="R311" s="12" t="n">
        <v>7246.36</v>
      </c>
      <c r="S311" s="12" t="n">
        <v>5736.24</v>
      </c>
      <c r="T311" s="12" t="inlineStr">
        <is>
          <t>Paid</t>
        </is>
      </c>
      <c r="U311" s="12" t="inlineStr">
        <is>
          <t>Cancelled</t>
        </is>
      </c>
      <c r="V311">
        <f>IF(OR(P311="",P311&lt;0,P311&gt;0.5),0,P311)</f>
        <v/>
      </c>
      <c r="W311">
        <f>N311*O311*(1-V311)</f>
        <v/>
      </c>
      <c r="X311">
        <f>W311-R311</f>
        <v/>
      </c>
      <c r="Y311">
        <f>IF(W311=0,0,X311/W311)</f>
        <v/>
      </c>
      <c r="Z311">
        <f>C311-B311</f>
        <v/>
      </c>
      <c r="AA311">
        <f>TEXT(B311,"mmmm")</f>
        <v/>
      </c>
      <c r="AB311">
        <f>YEAR(B311)</f>
        <v/>
      </c>
      <c r="AC311">
        <f>IF(OR(P311&lt;0,P311&gt;0.5,C311&lt;B311),"INVALID","CLEAN")</f>
        <v/>
      </c>
    </row>
    <row r="312">
      <c r="A312" s="12" t="inlineStr">
        <is>
          <t>ORD-2024-10311</t>
        </is>
      </c>
      <c r="B312" s="12" t="inlineStr">
        <is>
          <t>04-07-2024</t>
        </is>
      </c>
      <c r="C312" s="12" t="inlineStr">
        <is>
          <t>08-07-2024</t>
        </is>
      </c>
      <c r="D312" s="12" t="inlineStr">
        <is>
          <t>CUST-3784</t>
        </is>
      </c>
      <c r="E312" s="12" t="inlineStr">
        <is>
          <t>Rohan Mehta</t>
        </is>
      </c>
      <c r="F312" s="12" t="inlineStr">
        <is>
          <t>Small Business</t>
        </is>
      </c>
      <c r="G312" s="12" t="inlineStr">
        <is>
          <t>South</t>
        </is>
      </c>
      <c r="H312" s="12" t="inlineStr">
        <is>
          <t>Tamil Nadu</t>
        </is>
      </c>
      <c r="I312" s="12" t="inlineStr">
        <is>
          <t>Chennai</t>
        </is>
      </c>
      <c r="J312" s="12" t="inlineStr">
        <is>
          <t>Technology</t>
        </is>
      </c>
      <c r="K312" s="12" t="inlineStr">
        <is>
          <t>Machines</t>
        </is>
      </c>
      <c r="L312" s="12" t="inlineStr">
        <is>
          <t>Max Machines 988</t>
        </is>
      </c>
      <c r="M312" s="12" t="inlineStr">
        <is>
          <t>First Class</t>
        </is>
      </c>
      <c r="N312" s="12" t="n">
        <v>8</v>
      </c>
      <c r="O312" s="12" t="n">
        <v>2034.25</v>
      </c>
      <c r="P312" s="12" t="n">
        <v>0</v>
      </c>
      <c r="Q312" s="12" t="n">
        <v>16274</v>
      </c>
      <c r="R312" s="12" t="n">
        <v>9424.25</v>
      </c>
      <c r="S312" s="12" t="n">
        <v>6849.75</v>
      </c>
      <c r="T312" s="12" t="inlineStr">
        <is>
          <t>Paid</t>
        </is>
      </c>
      <c r="U312" s="12" t="inlineStr">
        <is>
          <t>Completed</t>
        </is>
      </c>
      <c r="V312">
        <f>IF(OR(P312="",P312&lt;0,P312&gt;0.5),0,P312)</f>
        <v/>
      </c>
      <c r="W312">
        <f>N312*O312*(1-V312)</f>
        <v/>
      </c>
      <c r="X312">
        <f>W312-R312</f>
        <v/>
      </c>
      <c r="Y312">
        <f>IF(W312=0,0,X312/W312)</f>
        <v/>
      </c>
      <c r="Z312">
        <f>C312-B312</f>
        <v/>
      </c>
      <c r="AA312">
        <f>TEXT(B312,"mmmm")</f>
        <v/>
      </c>
      <c r="AB312">
        <f>YEAR(B312)</f>
        <v/>
      </c>
      <c r="AC312">
        <f>IF(OR(P312&lt;0,P312&gt;0.5,C312&lt;B312),"INVALID","CLEAN")</f>
        <v/>
      </c>
    </row>
    <row r="313">
      <c r="A313" s="12" t="inlineStr">
        <is>
          <t>ORD-2024-10312</t>
        </is>
      </c>
      <c r="B313" s="12" t="inlineStr">
        <is>
          <t>27-04-2024</t>
        </is>
      </c>
      <c r="C313" s="12" t="inlineStr">
        <is>
          <t>02-05-2024</t>
        </is>
      </c>
      <c r="D313" s="12" t="inlineStr">
        <is>
          <t>CUST-3545</t>
        </is>
      </c>
      <c r="E313" s="12" t="inlineStr">
        <is>
          <t>Mira Das</t>
        </is>
      </c>
      <c r="F313" s="12" t="inlineStr">
        <is>
          <t>Corporate</t>
        </is>
      </c>
      <c r="G313" s="12" t="inlineStr">
        <is>
          <t>South</t>
        </is>
      </c>
      <c r="H313" s="12" t="inlineStr">
        <is>
          <t>Karnataka</t>
        </is>
      </c>
      <c r="I313" s="12" t="inlineStr">
        <is>
          <t>Bengaluru</t>
        </is>
      </c>
      <c r="J313" s="12" t="inlineStr">
        <is>
          <t>Office Supplies</t>
        </is>
      </c>
      <c r="K313" s="12" t="inlineStr">
        <is>
          <t>Binders</t>
        </is>
      </c>
      <c r="L313" s="12" t="inlineStr">
        <is>
          <t>Max Binders 425</t>
        </is>
      </c>
      <c r="M313" s="12" t="inlineStr">
        <is>
          <t>Second Class</t>
        </is>
      </c>
      <c r="N313" s="12" t="n">
        <v>5</v>
      </c>
      <c r="O313" s="12" t="n">
        <v>554.04</v>
      </c>
      <c r="P313" s="12" t="n">
        <v>0.1</v>
      </c>
      <c r="Q313" s="12" t="n">
        <v>2493.18</v>
      </c>
      <c r="R313" s="12" t="n">
        <v>1764</v>
      </c>
      <c r="S313" s="12" t="n">
        <v>729.1799999999999</v>
      </c>
      <c r="T313" s="12" t="inlineStr">
        <is>
          <t>Paid</t>
        </is>
      </c>
      <c r="U313" s="12" t="inlineStr">
        <is>
          <t>Completed</t>
        </is>
      </c>
      <c r="V313">
        <f>IF(OR(P313="",P313&lt;0,P313&gt;0.5),0,P313)</f>
        <v/>
      </c>
      <c r="W313">
        <f>N313*O313*(1-V313)</f>
        <v/>
      </c>
      <c r="X313">
        <f>W313-R313</f>
        <v/>
      </c>
      <c r="Y313">
        <f>IF(W313=0,0,X313/W313)</f>
        <v/>
      </c>
      <c r="Z313">
        <f>C313-B313</f>
        <v/>
      </c>
      <c r="AA313">
        <f>TEXT(B313,"mmmm")</f>
        <v/>
      </c>
      <c r="AB313">
        <f>YEAR(B313)</f>
        <v/>
      </c>
      <c r="AC313">
        <f>IF(OR(P313&lt;0,P313&gt;0.5,C313&lt;B313),"INVALID","CLEAN")</f>
        <v/>
      </c>
    </row>
    <row r="314">
      <c r="A314" s="12" t="inlineStr">
        <is>
          <t>ORD-2024-10313</t>
        </is>
      </c>
      <c r="B314" s="12" t="inlineStr">
        <is>
          <t>07/31/2024</t>
        </is>
      </c>
      <c r="C314" s="12" t="inlineStr">
        <is>
          <t>04-08-2024</t>
        </is>
      </c>
      <c r="D314" s="12" t="inlineStr">
        <is>
          <t>CUST-4851</t>
        </is>
      </c>
      <c r="E314" s="12" t="inlineStr">
        <is>
          <t>Karan Malhotra</t>
        </is>
      </c>
      <c r="F314" s="12" t="inlineStr">
        <is>
          <t>Small Business</t>
        </is>
      </c>
      <c r="G314" s="12" t="inlineStr">
        <is>
          <t>East</t>
        </is>
      </c>
      <c r="H314" s="12" t="inlineStr">
        <is>
          <t>Assam</t>
        </is>
      </c>
      <c r="I314" s="12" t="inlineStr">
        <is>
          <t>Guwahati</t>
        </is>
      </c>
      <c r="J314" s="12" t="inlineStr">
        <is>
          <t>Technology</t>
        </is>
      </c>
      <c r="K314" s="12" t="inlineStr">
        <is>
          <t>Phones</t>
        </is>
      </c>
      <c r="L314" s="12" t="inlineStr">
        <is>
          <t>Elite Phones 679</t>
        </is>
      </c>
      <c r="M314" s="12" t="inlineStr">
        <is>
          <t>Standard Class</t>
        </is>
      </c>
      <c r="N314" s="12" t="n">
        <v>8</v>
      </c>
      <c r="O314" s="12" t="n">
        <v>2614.74</v>
      </c>
      <c r="P314" s="12" t="n"/>
      <c r="Q314" s="12" t="n">
        <v>15688.44</v>
      </c>
      <c r="R314" s="12" t="n">
        <v>10047.33</v>
      </c>
      <c r="S314" s="12" t="n">
        <v>5641.11</v>
      </c>
      <c r="T314" s="12" t="inlineStr">
        <is>
          <t>Paid</t>
        </is>
      </c>
      <c r="U314" s="12" t="inlineStr">
        <is>
          <t>Cancelled</t>
        </is>
      </c>
      <c r="V314">
        <f>IF(OR(P314="",P314&lt;0,P314&gt;0.5),0,P314)</f>
        <v/>
      </c>
      <c r="W314">
        <f>N314*O314*(1-V314)</f>
        <v/>
      </c>
      <c r="X314">
        <f>W314-R314</f>
        <v/>
      </c>
      <c r="Y314">
        <f>IF(W314=0,0,X314/W314)</f>
        <v/>
      </c>
      <c r="Z314">
        <f>C314-B314</f>
        <v/>
      </c>
      <c r="AA314">
        <f>TEXT(B314,"mmmm")</f>
        <v/>
      </c>
      <c r="AB314">
        <f>YEAR(B314)</f>
        <v/>
      </c>
      <c r="AC314">
        <f>IF(OR(P314&lt;0,P314&gt;0.5,C314&lt;B314),"INVALID","CLEAN")</f>
        <v/>
      </c>
    </row>
    <row r="315">
      <c r="A315" s="12" t="inlineStr">
        <is>
          <t>ORD-2025-10314</t>
        </is>
      </c>
      <c r="B315" s="12" t="inlineStr">
        <is>
          <t>2025-05-30</t>
        </is>
      </c>
      <c r="C315" s="12" t="inlineStr">
        <is>
          <t>31-05-2025</t>
        </is>
      </c>
      <c r="D315" s="12" t="inlineStr">
        <is>
          <t>CUST-4770</t>
        </is>
      </c>
      <c r="E315" s="12" t="inlineStr">
        <is>
          <t>Rahul Verma</t>
        </is>
      </c>
      <c r="F315" s="12" t="inlineStr">
        <is>
          <t>Corporate</t>
        </is>
      </c>
      <c r="G315" s="12" t="inlineStr">
        <is>
          <t>North</t>
        </is>
      </c>
      <c r="H315" s="12" t="inlineStr">
        <is>
          <t>Uttar Pradesh</t>
        </is>
      </c>
      <c r="I315" s="12" t="inlineStr">
        <is>
          <t>Noida</t>
        </is>
      </c>
      <c r="J315" s="12" t="inlineStr">
        <is>
          <t>Technology</t>
        </is>
      </c>
      <c r="K315" s="12" t="inlineStr">
        <is>
          <t>Phones</t>
        </is>
      </c>
      <c r="L315" s="12" t="inlineStr">
        <is>
          <t>Pro Phones 764</t>
        </is>
      </c>
      <c r="M315" s="12" t="inlineStr">
        <is>
          <t>First Class</t>
        </is>
      </c>
      <c r="N315" s="12" t="n">
        <v>8</v>
      </c>
      <c r="O315" s="12" t="n">
        <v>2081.43</v>
      </c>
      <c r="P315" s="12" t="n">
        <v>0.25</v>
      </c>
      <c r="Q315" s="12" t="n">
        <v>12488.58</v>
      </c>
      <c r="R315" s="12" t="n">
        <v>10717.4</v>
      </c>
      <c r="S315" s="12" t="n">
        <v>1771.18</v>
      </c>
      <c r="T315" s="12" t="inlineStr">
        <is>
          <t>Refunded</t>
        </is>
      </c>
      <c r="U315" s="12" t="inlineStr">
        <is>
          <t>Cancelled</t>
        </is>
      </c>
      <c r="V315">
        <f>IF(OR(P315="",P315&lt;0,P315&gt;0.5),0,P315)</f>
        <v/>
      </c>
      <c r="W315">
        <f>N315*O315*(1-V315)</f>
        <v/>
      </c>
      <c r="X315">
        <f>W315-R315</f>
        <v/>
      </c>
      <c r="Y315">
        <f>IF(W315=0,0,X315/W315)</f>
        <v/>
      </c>
      <c r="Z315">
        <f>C315-B315</f>
        <v/>
      </c>
      <c r="AA315">
        <f>TEXT(B315,"mmmm")</f>
        <v/>
      </c>
      <c r="AB315">
        <f>YEAR(B315)</f>
        <v/>
      </c>
      <c r="AC315">
        <f>IF(OR(P315&lt;0,P315&gt;0.5,C315&lt;B315),"INVALID","CLEAN")</f>
        <v/>
      </c>
    </row>
    <row r="316">
      <c r="A316" s="12" t="inlineStr">
        <is>
          <t>ORD-2025-10315</t>
        </is>
      </c>
      <c r="B316" s="12" t="inlineStr">
        <is>
          <t>05/18/2025</t>
        </is>
      </c>
      <c r="C316" s="12" t="inlineStr">
        <is>
          <t>20 May 2025</t>
        </is>
      </c>
      <c r="D316" s="12" t="inlineStr">
        <is>
          <t>CUST-1945</t>
        </is>
      </c>
      <c r="E316" s="12" t="inlineStr">
        <is>
          <t>Isha Nair</t>
        </is>
      </c>
      <c r="F316" s="12" t="inlineStr">
        <is>
          <t>Corporate</t>
        </is>
      </c>
      <c r="G316" s="12" t="inlineStr">
        <is>
          <t>West</t>
        </is>
      </c>
      <c r="H316" s="12" t="inlineStr">
        <is>
          <t>Madhya Pradesh</t>
        </is>
      </c>
      <c r="I316" s="12" t="inlineStr">
        <is>
          <t>Indore</t>
        </is>
      </c>
      <c r="J316" s="12" t="inlineStr">
        <is>
          <t>Office Supplies</t>
        </is>
      </c>
      <c r="K316" s="12" t="inlineStr">
        <is>
          <t>Labels</t>
        </is>
      </c>
      <c r="L316" s="12" t="inlineStr">
        <is>
          <t>Elite Labels 544</t>
        </is>
      </c>
      <c r="M316" s="12" t="inlineStr">
        <is>
          <t>Standard Class</t>
        </is>
      </c>
      <c r="N316" s="12" t="n">
        <v>9</v>
      </c>
      <c r="O316" s="12" t="n">
        <v>847.76</v>
      </c>
      <c r="P316" s="12" t="n">
        <v>0.15</v>
      </c>
      <c r="Q316" s="12" t="n">
        <v>6485.36</v>
      </c>
      <c r="R316" s="12" t="n">
        <v>5376.17</v>
      </c>
      <c r="S316" s="12" t="n">
        <v>1109.19</v>
      </c>
      <c r="T316" s="12" t="inlineStr">
        <is>
          <t>Failed</t>
        </is>
      </c>
      <c r="U316" s="12" t="inlineStr">
        <is>
          <t>Returned</t>
        </is>
      </c>
      <c r="V316">
        <f>IF(OR(P316="",P316&lt;0,P316&gt;0.5),0,P316)</f>
        <v/>
      </c>
      <c r="W316">
        <f>N316*O316*(1-V316)</f>
        <v/>
      </c>
      <c r="X316">
        <f>W316-R316</f>
        <v/>
      </c>
      <c r="Y316">
        <f>IF(W316=0,0,X316/W316)</f>
        <v/>
      </c>
      <c r="Z316">
        <f>C316-B316</f>
        <v/>
      </c>
      <c r="AA316">
        <f>TEXT(B316,"mmmm")</f>
        <v/>
      </c>
      <c r="AB316">
        <f>YEAR(B316)</f>
        <v/>
      </c>
      <c r="AC316">
        <f>IF(OR(P316&lt;0,P316&gt;0.5,C316&lt;B316),"INVALID","CLEAN")</f>
        <v/>
      </c>
    </row>
    <row r="317">
      <c r="A317" s="12" t="inlineStr">
        <is>
          <t>ORD-2024-10316</t>
        </is>
      </c>
      <c r="B317" s="12" t="inlineStr">
        <is>
          <t>2024-07-02</t>
        </is>
      </c>
      <c r="C317" s="12" t="inlineStr">
        <is>
          <t>2024-07-08</t>
        </is>
      </c>
      <c r="D317" s="12" t="inlineStr">
        <is>
          <t>CUST-7565</t>
        </is>
      </c>
      <c r="E317" s="12" t="inlineStr">
        <is>
          <t>Rohan Mehta</t>
        </is>
      </c>
      <c r="F317" s="12" t="inlineStr">
        <is>
          <t>Consumer</t>
        </is>
      </c>
      <c r="G317" s="12" t="inlineStr">
        <is>
          <t>North</t>
        </is>
      </c>
      <c r="H317" s="12" t="inlineStr">
        <is>
          <t>Delhi</t>
        </is>
      </c>
      <c r="I317" s="12" t="inlineStr">
        <is>
          <t>New Delhi</t>
        </is>
      </c>
      <c r="J317" s="12" t="inlineStr">
        <is>
          <t>Office Supplies</t>
        </is>
      </c>
      <c r="K317" s="12" t="inlineStr">
        <is>
          <t>Paper</t>
        </is>
      </c>
      <c r="L317" s="12" t="inlineStr">
        <is>
          <t>Smart Paper 817</t>
        </is>
      </c>
      <c r="M317" s="12" t="inlineStr">
        <is>
          <t>Standard Class</t>
        </is>
      </c>
      <c r="N317" s="12" t="n">
        <v>9</v>
      </c>
      <c r="O317" s="12" t="n">
        <v>3450.4</v>
      </c>
      <c r="P317" s="12" t="n">
        <v>0.05</v>
      </c>
      <c r="Q317" s="12" t="n">
        <v>29500.92</v>
      </c>
      <c r="R317" s="12" t="n">
        <v>17989.68</v>
      </c>
      <c r="S317" s="12" t="n">
        <v>11511.24</v>
      </c>
      <c r="T317" s="12" t="inlineStr">
        <is>
          <t>Pending</t>
        </is>
      </c>
      <c r="U317" s="12" t="inlineStr">
        <is>
          <t>Returned</t>
        </is>
      </c>
      <c r="V317">
        <f>IF(OR(P317="",P317&lt;0,P317&gt;0.5),0,P317)</f>
        <v/>
      </c>
      <c r="W317">
        <f>N317*O317*(1-V317)</f>
        <v/>
      </c>
      <c r="X317">
        <f>W317-R317</f>
        <v/>
      </c>
      <c r="Y317">
        <f>IF(W317=0,0,X317/W317)</f>
        <v/>
      </c>
      <c r="Z317">
        <f>C317-B317</f>
        <v/>
      </c>
      <c r="AA317">
        <f>TEXT(B317,"mmmm")</f>
        <v/>
      </c>
      <c r="AB317">
        <f>YEAR(B317)</f>
        <v/>
      </c>
      <c r="AC317">
        <f>IF(OR(P317&lt;0,P317&gt;0.5,C317&lt;B317),"INVALID","CLEAN")</f>
        <v/>
      </c>
    </row>
    <row r="318">
      <c r="A318" s="12" t="inlineStr">
        <is>
          <t>ORD-2024-10317</t>
        </is>
      </c>
      <c r="B318" s="12" t="inlineStr">
        <is>
          <t>16-02-2024</t>
        </is>
      </c>
      <c r="C318" s="12" t="inlineStr">
        <is>
          <t>02/18/2024</t>
        </is>
      </c>
      <c r="D318" s="12" t="inlineStr">
        <is>
          <t>CUST-9913</t>
        </is>
      </c>
      <c r="E318" s="12" t="inlineStr">
        <is>
          <t>Karan Malhotra</t>
        </is>
      </c>
      <c r="F318" s="12" t="inlineStr">
        <is>
          <t>Corporate</t>
        </is>
      </c>
      <c r="G318" s="12" t="inlineStr">
        <is>
          <t>North</t>
        </is>
      </c>
      <c r="H318" s="12" t="inlineStr">
        <is>
          <t>Punjab</t>
        </is>
      </c>
      <c r="I318" s="12" t="inlineStr">
        <is>
          <t>Ludhiana</t>
        </is>
      </c>
      <c r="J318" s="12" t="inlineStr">
        <is>
          <t>Office Supplies</t>
        </is>
      </c>
      <c r="K318" s="12" t="inlineStr">
        <is>
          <t>Labels</t>
        </is>
      </c>
      <c r="L318" s="12" t="inlineStr">
        <is>
          <t>Classic Labels 466</t>
        </is>
      </c>
      <c r="M318" s="12" t="inlineStr">
        <is>
          <t>Standard Class</t>
        </is>
      </c>
      <c r="N318" s="12" t="n">
        <v>2</v>
      </c>
      <c r="O318" s="12" t="n">
        <v>1947.53</v>
      </c>
      <c r="P318" s="12" t="n">
        <v>0.2</v>
      </c>
      <c r="Q318" s="12" t="n">
        <v>3116.05</v>
      </c>
      <c r="R318" s="12" t="n">
        <v>1956.63</v>
      </c>
      <c r="S318" s="12" t="n">
        <v>1159.42</v>
      </c>
      <c r="T318" s="12" t="inlineStr">
        <is>
          <t>Paid</t>
        </is>
      </c>
      <c r="U318" s="12" t="inlineStr">
        <is>
          <t>Cancelled</t>
        </is>
      </c>
      <c r="V318">
        <f>IF(OR(P318="",P318&lt;0,P318&gt;0.5),0,P318)</f>
        <v/>
      </c>
      <c r="W318">
        <f>N318*O318*(1-V318)</f>
        <v/>
      </c>
      <c r="X318">
        <f>W318-R318</f>
        <v/>
      </c>
      <c r="Y318">
        <f>IF(W318=0,0,X318/W318)</f>
        <v/>
      </c>
      <c r="Z318">
        <f>C318-B318</f>
        <v/>
      </c>
      <c r="AA318">
        <f>TEXT(B318,"mmmm")</f>
        <v/>
      </c>
      <c r="AB318">
        <f>YEAR(B318)</f>
        <v/>
      </c>
      <c r="AC318">
        <f>IF(OR(P318&lt;0,P318&gt;0.5,C318&lt;B318),"INVALID","CLEAN")</f>
        <v/>
      </c>
    </row>
    <row r="319">
      <c r="A319" s="12" t="inlineStr">
        <is>
          <t>ORD-2025-10318</t>
        </is>
      </c>
      <c r="B319" s="12" t="inlineStr">
        <is>
          <t>29-08-2025</t>
        </is>
      </c>
      <c r="C319" s="12" t="inlineStr">
        <is>
          <t>04 Sep 2025</t>
        </is>
      </c>
      <c r="D319" s="12" t="inlineStr">
        <is>
          <t>CUST-7992</t>
        </is>
      </c>
      <c r="E319" s="12" t="inlineStr">
        <is>
          <t>Neha Gupta</t>
        </is>
      </c>
      <c r="F319" s="12" t="inlineStr">
        <is>
          <t>Corporate</t>
        </is>
      </c>
      <c r="G319" s="12" t="inlineStr">
        <is>
          <t>South</t>
        </is>
      </c>
      <c r="H319" s="12" t="inlineStr">
        <is>
          <t>Kerala</t>
        </is>
      </c>
      <c r="I319" s="12" t="inlineStr">
        <is>
          <t>Kochi</t>
        </is>
      </c>
      <c r="J319" s="12" t="inlineStr">
        <is>
          <t>Furniture</t>
        </is>
      </c>
      <c r="K319" s="12" t="inlineStr">
        <is>
          <t>Tables</t>
        </is>
      </c>
      <c r="L319" s="12" t="inlineStr">
        <is>
          <t>Pro Tables 778</t>
        </is>
      </c>
      <c r="M319" s="12" t="inlineStr">
        <is>
          <t>First Class</t>
        </is>
      </c>
      <c r="N319" s="12" t="n">
        <v>9</v>
      </c>
      <c r="O319" s="12" t="n">
        <v>2996.97</v>
      </c>
      <c r="P319" s="12" t="n">
        <v>0.15</v>
      </c>
      <c r="Q319" s="12" t="n">
        <v>22926.82</v>
      </c>
      <c r="R319" s="12" t="n">
        <v>14621.59</v>
      </c>
      <c r="S319" s="12" t="n">
        <v>8305.23</v>
      </c>
      <c r="T319" s="12" t="inlineStr">
        <is>
          <t>Paid</t>
        </is>
      </c>
      <c r="U319" s="12" t="inlineStr">
        <is>
          <t>Completed</t>
        </is>
      </c>
      <c r="V319">
        <f>IF(OR(P319="",P319&lt;0,P319&gt;0.5),0,P319)</f>
        <v/>
      </c>
      <c r="W319">
        <f>N319*O319*(1-V319)</f>
        <v/>
      </c>
      <c r="X319">
        <f>W319-R319</f>
        <v/>
      </c>
      <c r="Y319">
        <f>IF(W319=0,0,X319/W319)</f>
        <v/>
      </c>
      <c r="Z319">
        <f>C319-B319</f>
        <v/>
      </c>
      <c r="AA319">
        <f>TEXT(B319,"mmmm")</f>
        <v/>
      </c>
      <c r="AB319">
        <f>YEAR(B319)</f>
        <v/>
      </c>
      <c r="AC319">
        <f>IF(OR(P319&lt;0,P319&gt;0.5,C319&lt;B319),"INVALID","CLEAN")</f>
        <v/>
      </c>
    </row>
    <row r="320">
      <c r="A320" s="12" t="inlineStr">
        <is>
          <t>ORD-2024-10319</t>
        </is>
      </c>
      <c r="B320" s="12" t="inlineStr">
        <is>
          <t>25 Apr 2024</t>
        </is>
      </c>
      <c r="C320" s="12" t="inlineStr">
        <is>
          <t>30-04-2024</t>
        </is>
      </c>
      <c r="D320" s="12" t="inlineStr">
        <is>
          <t>CUST-8877</t>
        </is>
      </c>
      <c r="E320" s="12" t="inlineStr">
        <is>
          <t>Mira Das</t>
        </is>
      </c>
      <c r="F320" s="12" t="inlineStr">
        <is>
          <t>Small Business</t>
        </is>
      </c>
      <c r="G320" s="12" t="inlineStr">
        <is>
          <t>South</t>
        </is>
      </c>
      <c r="H320" s="12" t="inlineStr">
        <is>
          <t>Karnataka</t>
        </is>
      </c>
      <c r="I320" s="12" t="inlineStr">
        <is>
          <t>Bengaluru</t>
        </is>
      </c>
      <c r="J320" s="12" t="inlineStr">
        <is>
          <t>Technology</t>
        </is>
      </c>
      <c r="K320" s="12" t="inlineStr">
        <is>
          <t>Phones</t>
        </is>
      </c>
      <c r="L320" s="12" t="inlineStr">
        <is>
          <t>Basic Phones 789</t>
        </is>
      </c>
      <c r="M320" s="12" t="inlineStr">
        <is>
          <t>Standard Class</t>
        </is>
      </c>
      <c r="N320" s="12" t="n">
        <v>3</v>
      </c>
      <c r="O320" s="12" t="n">
        <v>4149.46</v>
      </c>
      <c r="P320" s="12" t="n">
        <v>0.1</v>
      </c>
      <c r="Q320" s="12" t="n">
        <v>11203.54</v>
      </c>
      <c r="R320" s="12" t="n">
        <v>8452.93</v>
      </c>
      <c r="S320" s="12" t="n">
        <v>2750.61</v>
      </c>
      <c r="T320" s="12" t="inlineStr">
        <is>
          <t>Paid</t>
        </is>
      </c>
      <c r="U320" s="12" t="inlineStr">
        <is>
          <t>Completed</t>
        </is>
      </c>
      <c r="V320">
        <f>IF(OR(P320="",P320&lt;0,P320&gt;0.5),0,P320)</f>
        <v/>
      </c>
      <c r="W320">
        <f>N320*O320*(1-V320)</f>
        <v/>
      </c>
      <c r="X320">
        <f>W320-R320</f>
        <v/>
      </c>
      <c r="Y320">
        <f>IF(W320=0,0,X320/W320)</f>
        <v/>
      </c>
      <c r="Z320">
        <f>C320-B320</f>
        <v/>
      </c>
      <c r="AA320">
        <f>TEXT(B320,"mmmm")</f>
        <v/>
      </c>
      <c r="AB320">
        <f>YEAR(B320)</f>
        <v/>
      </c>
      <c r="AC320">
        <f>IF(OR(P320&lt;0,P320&gt;0.5,C320&lt;B320),"INVALID","CLEAN")</f>
        <v/>
      </c>
    </row>
    <row r="321">
      <c r="A321" s="12" t="inlineStr">
        <is>
          <t>ORD-2024-10320</t>
        </is>
      </c>
      <c r="B321" s="12" t="inlineStr">
        <is>
          <t>21 Aug 2024</t>
        </is>
      </c>
      <c r="C321" s="12" t="inlineStr">
        <is>
          <t>08/25/2024</t>
        </is>
      </c>
      <c r="D321" s="12" t="inlineStr">
        <is>
          <t>CUST-4589</t>
        </is>
      </c>
      <c r="E321" s="12" t="inlineStr">
        <is>
          <t>Diya Patel</t>
        </is>
      </c>
      <c r="F321" s="12" t="inlineStr">
        <is>
          <t>Consumer</t>
        </is>
      </c>
      <c r="G321" s="12" t="inlineStr">
        <is>
          <t>West</t>
        </is>
      </c>
      <c r="H321" s="12" t="inlineStr">
        <is>
          <t>Gujarat</t>
        </is>
      </c>
      <c r="I321" s="12" t="inlineStr">
        <is>
          <t>Ahmedabad</t>
        </is>
      </c>
      <c r="J321" s="12" t="inlineStr">
        <is>
          <t>Office Supplies</t>
        </is>
      </c>
      <c r="K321" s="12" t="inlineStr">
        <is>
          <t>Binders</t>
        </is>
      </c>
      <c r="L321" s="12" t="inlineStr">
        <is>
          <t>Prime Binders 554</t>
        </is>
      </c>
      <c r="M321" s="12" t="inlineStr">
        <is>
          <t>First Class</t>
        </is>
      </c>
      <c r="N321" s="12" t="n">
        <v>1</v>
      </c>
      <c r="O321" s="12" t="n">
        <v>270.28</v>
      </c>
      <c r="P321" s="12" t="n">
        <v>0</v>
      </c>
      <c r="Q321" s="12" t="n">
        <v>270.28</v>
      </c>
      <c r="R321" s="12" t="n">
        <v>156.34</v>
      </c>
      <c r="S321" s="12" t="n">
        <v>113.94</v>
      </c>
      <c r="T321" s="12" t="inlineStr">
        <is>
          <t>Paid</t>
        </is>
      </c>
      <c r="U321" s="12" t="inlineStr">
        <is>
          <t>Completed</t>
        </is>
      </c>
      <c r="V321">
        <f>IF(OR(P321="",P321&lt;0,P321&gt;0.5),0,P321)</f>
        <v/>
      </c>
      <c r="W321">
        <f>N321*O321*(1-V321)</f>
        <v/>
      </c>
      <c r="X321">
        <f>W321-R321</f>
        <v/>
      </c>
      <c r="Y321">
        <f>IF(W321=0,0,X321/W321)</f>
        <v/>
      </c>
      <c r="Z321">
        <f>C321-B321</f>
        <v/>
      </c>
      <c r="AA321">
        <f>TEXT(B321,"mmmm")</f>
        <v/>
      </c>
      <c r="AB321">
        <f>YEAR(B321)</f>
        <v/>
      </c>
      <c r="AC321">
        <f>IF(OR(P321&lt;0,P321&gt;0.5,C321&lt;B321),"INVALID","CLEAN")</f>
        <v/>
      </c>
    </row>
    <row r="322">
      <c r="A322" s="12" t="inlineStr">
        <is>
          <t>ORD-2024-10321</t>
        </is>
      </c>
      <c r="B322" s="12" t="inlineStr">
        <is>
          <t>12/04/2024</t>
        </is>
      </c>
      <c r="C322" s="12" t="inlineStr">
        <is>
          <t>12/06/2024</t>
        </is>
      </c>
      <c r="D322" s="12" t="inlineStr">
        <is>
          <t>CUST-4667</t>
        </is>
      </c>
      <c r="E322" s="12" t="inlineStr">
        <is>
          <t>Aarav Sharma</t>
        </is>
      </c>
      <c r="F322" s="12" t="inlineStr">
        <is>
          <t>Home Office</t>
        </is>
      </c>
      <c r="G322" s="12" t="inlineStr">
        <is>
          <t>East</t>
        </is>
      </c>
      <c r="H322" s="12" t="inlineStr">
        <is>
          <t>West Bengal</t>
        </is>
      </c>
      <c r="I322" s="12" t="inlineStr">
        <is>
          <t>Kolkata</t>
        </is>
      </c>
      <c r="J322" s="12" t="inlineStr">
        <is>
          <t>Office Supplies</t>
        </is>
      </c>
      <c r="K322" s="12" t="inlineStr">
        <is>
          <t>Art</t>
        </is>
      </c>
      <c r="L322" s="12" t="inlineStr">
        <is>
          <t>Classic Art 299</t>
        </is>
      </c>
      <c r="M322" s="12" t="inlineStr">
        <is>
          <t>Second Class</t>
        </is>
      </c>
      <c r="N322" s="12" t="n">
        <v>3</v>
      </c>
      <c r="O322" s="12" t="n">
        <v>876.14</v>
      </c>
      <c r="P322" s="12" t="inlineStr">
        <is>
          <t>70%</t>
        </is>
      </c>
      <c r="Q322" s="12" t="n">
        <v>2628.42</v>
      </c>
      <c r="R322" s="12" t="n">
        <v>1541.54</v>
      </c>
      <c r="S322" s="12" t="n">
        <v>1086.88</v>
      </c>
      <c r="T322" s="12" t="inlineStr">
        <is>
          <t>Pending</t>
        </is>
      </c>
      <c r="U322" s="12" t="inlineStr">
        <is>
          <t>Returned</t>
        </is>
      </c>
      <c r="V322">
        <f>IF(OR(P322="",P322&lt;0,P322&gt;0.5),0,P322)</f>
        <v/>
      </c>
      <c r="W322">
        <f>N322*O322*(1-V322)</f>
        <v/>
      </c>
      <c r="X322">
        <f>W322-R322</f>
        <v/>
      </c>
      <c r="Y322">
        <f>IF(W322=0,0,X322/W322)</f>
        <v/>
      </c>
      <c r="Z322">
        <f>C322-B322</f>
        <v/>
      </c>
      <c r="AA322">
        <f>TEXT(B322,"mmmm")</f>
        <v/>
      </c>
      <c r="AB322">
        <f>YEAR(B322)</f>
        <v/>
      </c>
      <c r="AC322">
        <f>IF(OR(P322&lt;0,P322&gt;0.5,C322&lt;B322),"INVALID","CLEAN")</f>
        <v/>
      </c>
    </row>
    <row r="323">
      <c r="A323" s="12" t="inlineStr">
        <is>
          <t>ORD-2024-10322</t>
        </is>
      </c>
      <c r="B323" s="12" t="inlineStr">
        <is>
          <t>06/23/2024</t>
        </is>
      </c>
      <c r="C323" s="12" t="inlineStr">
        <is>
          <t>30 Jun 2024</t>
        </is>
      </c>
      <c r="D323" s="12" t="inlineStr">
        <is>
          <t>CUST-7821</t>
        </is>
      </c>
      <c r="E323" s="12" t="inlineStr">
        <is>
          <t>Neha Gupta</t>
        </is>
      </c>
      <c r="F323" s="12" t="inlineStr">
        <is>
          <t>Small Business</t>
        </is>
      </c>
      <c r="G323" s="12" t="inlineStr">
        <is>
          <t>West</t>
        </is>
      </c>
      <c r="H323" s="12" t="inlineStr">
        <is>
          <t>Goa</t>
        </is>
      </c>
      <c r="I323" s="12" t="inlineStr">
        <is>
          <t>Panaji</t>
        </is>
      </c>
      <c r="J323" s="12" t="inlineStr">
        <is>
          <t>Technology</t>
        </is>
      </c>
      <c r="K323" s="12" t="inlineStr">
        <is>
          <t>Accessories</t>
        </is>
      </c>
      <c r="L323" s="12" t="inlineStr">
        <is>
          <t>Eco Accessories 220</t>
        </is>
      </c>
      <c r="M323" s="12" t="inlineStr">
        <is>
          <t>Same Day</t>
        </is>
      </c>
      <c r="N323" s="12" t="n">
        <v>4</v>
      </c>
      <c r="O323" s="12" t="n">
        <v>674.8200000000001</v>
      </c>
      <c r="P323" s="12" t="n">
        <v>0</v>
      </c>
      <c r="Q323" s="12" t="n">
        <v>2699.28</v>
      </c>
      <c r="R323" s="12" t="n">
        <v>1759.76</v>
      </c>
      <c r="S323" s="12" t="n">
        <v>939.52</v>
      </c>
      <c r="T323" s="12" t="inlineStr">
        <is>
          <t>Failed</t>
        </is>
      </c>
      <c r="U323" s="12" t="inlineStr">
        <is>
          <t>Cancelled</t>
        </is>
      </c>
      <c r="V323">
        <f>IF(OR(P323="",P323&lt;0,P323&gt;0.5),0,P323)</f>
        <v/>
      </c>
      <c r="W323">
        <f>N323*O323*(1-V323)</f>
        <v/>
      </c>
      <c r="X323">
        <f>W323-R323</f>
        <v/>
      </c>
      <c r="Y323">
        <f>IF(W323=0,0,X323/W323)</f>
        <v/>
      </c>
      <c r="Z323">
        <f>C323-B323</f>
        <v/>
      </c>
      <c r="AA323">
        <f>TEXT(B323,"mmmm")</f>
        <v/>
      </c>
      <c r="AB323">
        <f>YEAR(B323)</f>
        <v/>
      </c>
      <c r="AC323">
        <f>IF(OR(P323&lt;0,P323&gt;0.5,C323&lt;B323),"INVALID","CLEAN")</f>
        <v/>
      </c>
    </row>
    <row r="324">
      <c r="A324" s="12" t="inlineStr">
        <is>
          <t>ORD-2024-10323</t>
        </is>
      </c>
      <c r="B324" s="12" t="inlineStr">
        <is>
          <t>2024-11-12</t>
        </is>
      </c>
      <c r="C324" s="12" t="inlineStr">
        <is>
          <t>12-11-2024</t>
        </is>
      </c>
      <c r="D324" s="12" t="inlineStr">
        <is>
          <t>CUST-8579</t>
        </is>
      </c>
      <c r="E324" s="12" t="inlineStr">
        <is>
          <t>Isha Nair</t>
        </is>
      </c>
      <c r="F324" s="12" t="inlineStr">
        <is>
          <t>Consumer</t>
        </is>
      </c>
      <c r="G324" s="12" t="inlineStr">
        <is>
          <t>North</t>
        </is>
      </c>
      <c r="H324" s="12" t="inlineStr">
        <is>
          <t>Uttar Pradesh</t>
        </is>
      </c>
      <c r="I324" s="12" t="inlineStr">
        <is>
          <t>Noida</t>
        </is>
      </c>
      <c r="J324" s="12" t="inlineStr">
        <is>
          <t>Technology</t>
        </is>
      </c>
      <c r="K324" s="12" t="inlineStr">
        <is>
          <t>Phones</t>
        </is>
      </c>
      <c r="L324" s="12" t="inlineStr">
        <is>
          <t>Max Phones 422</t>
        </is>
      </c>
      <c r="M324" s="12" t="inlineStr">
        <is>
          <t>Second Class</t>
        </is>
      </c>
      <c r="N324" s="12" t="n">
        <v>6</v>
      </c>
      <c r="O324" s="12" t="n">
        <v>1369.48</v>
      </c>
      <c r="P324" s="12" t="n">
        <v>0.15</v>
      </c>
      <c r="Q324" s="12" t="n">
        <v>6984.35</v>
      </c>
      <c r="R324" s="12" t="n">
        <v>4023.63</v>
      </c>
      <c r="S324" s="12" t="n">
        <v>2960.72</v>
      </c>
      <c r="T324" s="12" t="inlineStr">
        <is>
          <t>Paid</t>
        </is>
      </c>
      <c r="U324" s="12" t="inlineStr">
        <is>
          <t>Completed</t>
        </is>
      </c>
      <c r="V324">
        <f>IF(OR(P324="",P324&lt;0,P324&gt;0.5),0,P324)</f>
        <v/>
      </c>
      <c r="W324">
        <f>N324*O324*(1-V324)</f>
        <v/>
      </c>
      <c r="X324">
        <f>W324-R324</f>
        <v/>
      </c>
      <c r="Y324">
        <f>IF(W324=0,0,X324/W324)</f>
        <v/>
      </c>
      <c r="Z324">
        <f>C324-B324</f>
        <v/>
      </c>
      <c r="AA324">
        <f>TEXT(B324,"mmmm")</f>
        <v/>
      </c>
      <c r="AB324">
        <f>YEAR(B324)</f>
        <v/>
      </c>
      <c r="AC324">
        <f>IF(OR(P324&lt;0,P324&gt;0.5,C324&lt;B324),"INVALID","CLEAN")</f>
        <v/>
      </c>
    </row>
    <row r="325">
      <c r="A325" s="12" t="inlineStr">
        <is>
          <t>ORD-2024-10324</t>
        </is>
      </c>
      <c r="B325" s="12" t="inlineStr">
        <is>
          <t>25-02-2024</t>
        </is>
      </c>
      <c r="C325" s="12" t="inlineStr">
        <is>
          <t>29 Feb 2024</t>
        </is>
      </c>
      <c r="D325" s="12" t="inlineStr">
        <is>
          <t>CUST-6909</t>
        </is>
      </c>
      <c r="E325" s="12" t="inlineStr">
        <is>
          <t>Isha Nair</t>
        </is>
      </c>
      <c r="F325" s="12" t="inlineStr">
        <is>
          <t>Small Business</t>
        </is>
      </c>
      <c r="G325" s="12" t="inlineStr">
        <is>
          <t>West</t>
        </is>
      </c>
      <c r="H325" s="12" t="inlineStr">
        <is>
          <t>Goa</t>
        </is>
      </c>
      <c r="I325" s="12" t="inlineStr">
        <is>
          <t>Panaji</t>
        </is>
      </c>
      <c r="J325" s="12" t="inlineStr">
        <is>
          <t>Furniture</t>
        </is>
      </c>
      <c r="K325" s="12" t="inlineStr">
        <is>
          <t>Furnishings</t>
        </is>
      </c>
      <c r="L325" s="12" t="inlineStr">
        <is>
          <t>Eco Furnishings 897</t>
        </is>
      </c>
      <c r="M325" s="12" t="inlineStr">
        <is>
          <t>Standard Class</t>
        </is>
      </c>
      <c r="N325" s="12" t="n">
        <v>9</v>
      </c>
      <c r="O325" s="12" t="n">
        <v>1331.46</v>
      </c>
      <c r="P325" s="12" t="n">
        <v>0.15</v>
      </c>
      <c r="Q325" s="12" t="n">
        <v>10185.67</v>
      </c>
      <c r="R325" s="12" t="n">
        <v>6479.31</v>
      </c>
      <c r="S325" s="12" t="n">
        <v>3706.36</v>
      </c>
      <c r="T325" s="12" t="inlineStr">
        <is>
          <t>Paid</t>
        </is>
      </c>
      <c r="U325" s="12" t="inlineStr">
        <is>
          <t>Completed</t>
        </is>
      </c>
      <c r="V325">
        <f>IF(OR(P325="",P325&lt;0,P325&gt;0.5),0,P325)</f>
        <v/>
      </c>
      <c r="W325">
        <f>N325*O325*(1-V325)</f>
        <v/>
      </c>
      <c r="X325">
        <f>W325-R325</f>
        <v/>
      </c>
      <c r="Y325">
        <f>IF(W325=0,0,X325/W325)</f>
        <v/>
      </c>
      <c r="Z325">
        <f>C325-B325</f>
        <v/>
      </c>
      <c r="AA325">
        <f>TEXT(B325,"mmmm")</f>
        <v/>
      </c>
      <c r="AB325">
        <f>YEAR(B325)</f>
        <v/>
      </c>
      <c r="AC325">
        <f>IF(OR(P325&lt;0,P325&gt;0.5,C325&lt;B325),"INVALID","CLEAN")</f>
        <v/>
      </c>
    </row>
    <row r="326">
      <c r="A326" s="12" t="inlineStr">
        <is>
          <t>ORD-2025-10325</t>
        </is>
      </c>
      <c r="B326" s="12" t="inlineStr">
        <is>
          <t>31 Jul 2025</t>
        </is>
      </c>
      <c r="C326" s="12" t="inlineStr">
        <is>
          <t>02-08-2025</t>
        </is>
      </c>
      <c r="D326" s="12" t="inlineStr">
        <is>
          <t>CUST-7212</t>
        </is>
      </c>
      <c r="E326" s="12" t="inlineStr">
        <is>
          <t>Rohan Mehta</t>
        </is>
      </c>
      <c r="F326" s="12" t="inlineStr">
        <is>
          <t>Home Office</t>
        </is>
      </c>
      <c r="G326" s="12" t="inlineStr">
        <is>
          <t>South</t>
        </is>
      </c>
      <c r="H326" s="12" t="inlineStr">
        <is>
          <t>Andhra Pradesh</t>
        </is>
      </c>
      <c r="I326" s="12" t="inlineStr">
        <is>
          <t>Vijayawada</t>
        </is>
      </c>
      <c r="J326" s="12" t="inlineStr">
        <is>
          <t>Office Supplies</t>
        </is>
      </c>
      <c r="K326" s="12" t="inlineStr">
        <is>
          <t>Labels</t>
        </is>
      </c>
      <c r="L326" s="12" t="inlineStr">
        <is>
          <t>Basic Labels 102</t>
        </is>
      </c>
      <c r="M326" s="12" t="inlineStr">
        <is>
          <t>Same Day</t>
        </is>
      </c>
      <c r="N326" s="12" t="n">
        <v>1</v>
      </c>
      <c r="O326" s="12" t="n">
        <v>1947.88</v>
      </c>
      <c r="P326" s="12" t="n">
        <v>0.15</v>
      </c>
      <c r="Q326" s="12" t="n">
        <v>1655.7</v>
      </c>
      <c r="R326" s="12" t="n">
        <v>1354.8</v>
      </c>
      <c r="S326" s="12" t="n">
        <v>300.9</v>
      </c>
      <c r="T326" s="12" t="inlineStr">
        <is>
          <t>Paid</t>
        </is>
      </c>
      <c r="U326" s="12" t="inlineStr">
        <is>
          <t>Returned</t>
        </is>
      </c>
      <c r="V326">
        <f>IF(OR(P326="",P326&lt;0,P326&gt;0.5),0,P326)</f>
        <v/>
      </c>
      <c r="W326">
        <f>N326*O326*(1-V326)</f>
        <v/>
      </c>
      <c r="X326">
        <f>W326-R326</f>
        <v/>
      </c>
      <c r="Y326">
        <f>IF(W326=0,0,X326/W326)</f>
        <v/>
      </c>
      <c r="Z326">
        <f>C326-B326</f>
        <v/>
      </c>
      <c r="AA326">
        <f>TEXT(B326,"mmmm")</f>
        <v/>
      </c>
      <c r="AB326">
        <f>YEAR(B326)</f>
        <v/>
      </c>
      <c r="AC326">
        <f>IF(OR(P326&lt;0,P326&gt;0.5,C326&lt;B326),"INVALID","CLEAN")</f>
        <v/>
      </c>
    </row>
    <row r="327">
      <c r="A327" s="12" t="inlineStr">
        <is>
          <t>ORD-2025-10326</t>
        </is>
      </c>
      <c r="B327" s="12" t="inlineStr">
        <is>
          <t>09/16/2025</t>
        </is>
      </c>
      <c r="C327" s="12" t="inlineStr">
        <is>
          <t>2025-09-22</t>
        </is>
      </c>
      <c r="D327" s="12" t="inlineStr">
        <is>
          <t>CUST-7980</t>
        </is>
      </c>
      <c r="E327" s="12" t="inlineStr">
        <is>
          <t>Sneha Kapoor</t>
        </is>
      </c>
      <c r="F327" s="12" t="inlineStr">
        <is>
          <t>Home Office</t>
        </is>
      </c>
      <c r="G327" s="12" t="inlineStr">
        <is>
          <t>East</t>
        </is>
      </c>
      <c r="H327" s="12" t="inlineStr">
        <is>
          <t>West Bengal</t>
        </is>
      </c>
      <c r="I327" s="12" t="inlineStr">
        <is>
          <t>Kolkata</t>
        </is>
      </c>
      <c r="J327" s="12" t="inlineStr">
        <is>
          <t>Technology</t>
        </is>
      </c>
      <c r="K327" s="12" t="inlineStr">
        <is>
          <t>Copiers</t>
        </is>
      </c>
      <c r="L327" s="12" t="inlineStr">
        <is>
          <t>Prime Copiers 170</t>
        </is>
      </c>
      <c r="M327" s="12" t="inlineStr">
        <is>
          <t>Second Class</t>
        </is>
      </c>
      <c r="N327" s="12" t="n">
        <v>5</v>
      </c>
      <c r="O327" s="12" t="n">
        <v>3671.2</v>
      </c>
      <c r="P327" s="12" t="n">
        <v>0.15</v>
      </c>
      <c r="Q327" s="12" t="n">
        <v>15602.6</v>
      </c>
      <c r="R327" s="12" t="n">
        <v>11908.52</v>
      </c>
      <c r="S327" s="12" t="n">
        <v>3694.08</v>
      </c>
      <c r="T327" s="12" t="inlineStr">
        <is>
          <t>Paid</t>
        </is>
      </c>
      <c r="U327" s="12" t="inlineStr">
        <is>
          <t>Completed</t>
        </is>
      </c>
      <c r="V327">
        <f>IF(OR(P327="",P327&lt;0,P327&gt;0.5),0,P327)</f>
        <v/>
      </c>
      <c r="W327">
        <f>N327*O327*(1-V327)</f>
        <v/>
      </c>
      <c r="X327">
        <f>W327-R327</f>
        <v/>
      </c>
      <c r="Y327">
        <f>IF(W327=0,0,X327/W327)</f>
        <v/>
      </c>
      <c r="Z327">
        <f>C327-B327</f>
        <v/>
      </c>
      <c r="AA327">
        <f>TEXT(B327,"mmmm")</f>
        <v/>
      </c>
      <c r="AB327">
        <f>YEAR(B327)</f>
        <v/>
      </c>
      <c r="AC327">
        <f>IF(OR(P327&lt;0,P327&gt;0.5,C327&lt;B327),"INVALID","CLEAN")</f>
        <v/>
      </c>
    </row>
    <row r="328">
      <c r="A328" s="12" t="inlineStr">
        <is>
          <t>ORD-2025-10327</t>
        </is>
      </c>
      <c r="B328" s="12" t="inlineStr">
        <is>
          <t>2025-07-22</t>
        </is>
      </c>
      <c r="C328" s="12" t="inlineStr">
        <is>
          <t>07/22/2025</t>
        </is>
      </c>
      <c r="D328" s="12" t="inlineStr">
        <is>
          <t>CUST-1966</t>
        </is>
      </c>
      <c r="E328" s="12" t="inlineStr">
        <is>
          <t>Sneha Kapoor</t>
        </is>
      </c>
      <c r="F328" s="12" t="inlineStr">
        <is>
          <t>Corporate</t>
        </is>
      </c>
      <c r="G328" s="12" t="inlineStr">
        <is>
          <t>East</t>
        </is>
      </c>
      <c r="H328" s="12" t="inlineStr">
        <is>
          <t>Jharkhand</t>
        </is>
      </c>
      <c r="I328" s="12" t="inlineStr">
        <is>
          <t>Ranchi</t>
        </is>
      </c>
      <c r="J328" s="12" t="inlineStr">
        <is>
          <t>Furniture</t>
        </is>
      </c>
      <c r="K328" s="12" t="inlineStr">
        <is>
          <t>Furnishings</t>
        </is>
      </c>
      <c r="L328" s="12" t="inlineStr">
        <is>
          <t>Smart Furnishings 533</t>
        </is>
      </c>
      <c r="M328" s="12" t="inlineStr">
        <is>
          <t>Same Day</t>
        </is>
      </c>
      <c r="N328" s="12" t="n">
        <v>5</v>
      </c>
      <c r="O328" s="12" t="n">
        <v>3187.05</v>
      </c>
      <c r="P328" s="12" t="n">
        <v>0.05</v>
      </c>
      <c r="Q328" s="12" t="n">
        <v>15138.49</v>
      </c>
      <c r="R328" s="12" t="n">
        <v>11235.72</v>
      </c>
      <c r="S328" s="12" t="n">
        <v>3902.77</v>
      </c>
      <c r="T328" s="12" t="inlineStr">
        <is>
          <t>Paid</t>
        </is>
      </c>
      <c r="U328" s="12" t="inlineStr">
        <is>
          <t>Completed</t>
        </is>
      </c>
      <c r="V328">
        <f>IF(OR(P328="",P328&lt;0,P328&gt;0.5),0,P328)</f>
        <v/>
      </c>
      <c r="W328">
        <f>N328*O328*(1-V328)</f>
        <v/>
      </c>
      <c r="X328">
        <f>W328-R328</f>
        <v/>
      </c>
      <c r="Y328">
        <f>IF(W328=0,0,X328/W328)</f>
        <v/>
      </c>
      <c r="Z328">
        <f>C328-B328</f>
        <v/>
      </c>
      <c r="AA328">
        <f>TEXT(B328,"mmmm")</f>
        <v/>
      </c>
      <c r="AB328">
        <f>YEAR(B328)</f>
        <v/>
      </c>
      <c r="AC328">
        <f>IF(OR(P328&lt;0,P328&gt;0.5,C328&lt;B328),"INVALID","CLEAN")</f>
        <v/>
      </c>
    </row>
    <row r="329">
      <c r="A329" s="12" t="inlineStr">
        <is>
          <t>ORD-2024-10328</t>
        </is>
      </c>
      <c r="B329" s="12" t="inlineStr">
        <is>
          <t>2024-07-24</t>
        </is>
      </c>
      <c r="C329" s="12" t="inlineStr">
        <is>
          <t>27-07-2024</t>
        </is>
      </c>
      <c r="D329" s="12" t="inlineStr">
        <is>
          <t>CUST-6163</t>
        </is>
      </c>
      <c r="E329" s="12" t="inlineStr">
        <is>
          <t>Isha Nair</t>
        </is>
      </c>
      <c r="F329" s="12" t="inlineStr">
        <is>
          <t>Consumer</t>
        </is>
      </c>
      <c r="G329" s="12" t="inlineStr">
        <is>
          <t>West</t>
        </is>
      </c>
      <c r="H329" s="12" t="inlineStr">
        <is>
          <t>Rajasthan</t>
        </is>
      </c>
      <c r="I329" s="12" t="inlineStr">
        <is>
          <t>Udaipur</t>
        </is>
      </c>
      <c r="J329" s="12" t="inlineStr">
        <is>
          <t>Technology</t>
        </is>
      </c>
      <c r="K329" s="12" t="inlineStr">
        <is>
          <t>Accessories</t>
        </is>
      </c>
      <c r="L329" s="12" t="inlineStr">
        <is>
          <t>Classic Accessories 489</t>
        </is>
      </c>
      <c r="M329" s="12" t="inlineStr">
        <is>
          <t>Second Class</t>
        </is>
      </c>
      <c r="N329" s="12" t="n">
        <v>3</v>
      </c>
      <c r="O329" s="12" t="n">
        <v>1834.55</v>
      </c>
      <c r="P329" s="12" t="n">
        <v>0.2</v>
      </c>
      <c r="Q329" s="12" t="n">
        <v>4402.92</v>
      </c>
      <c r="R329" s="12" t="n">
        <v>2993.94</v>
      </c>
      <c r="S329" s="12" t="n">
        <v>1408.98</v>
      </c>
      <c r="T329" s="12" t="inlineStr">
        <is>
          <t>Pending</t>
        </is>
      </c>
      <c r="U329" s="12" t="inlineStr">
        <is>
          <t>Cancelled</t>
        </is>
      </c>
      <c r="V329">
        <f>IF(OR(P329="",P329&lt;0,P329&gt;0.5),0,P329)</f>
        <v/>
      </c>
      <c r="W329">
        <f>N329*O329*(1-V329)</f>
        <v/>
      </c>
      <c r="X329">
        <f>W329-R329</f>
        <v/>
      </c>
      <c r="Y329">
        <f>IF(W329=0,0,X329/W329)</f>
        <v/>
      </c>
      <c r="Z329">
        <f>C329-B329</f>
        <v/>
      </c>
      <c r="AA329">
        <f>TEXT(B329,"mmmm")</f>
        <v/>
      </c>
      <c r="AB329">
        <f>YEAR(B329)</f>
        <v/>
      </c>
      <c r="AC329">
        <f>IF(OR(P329&lt;0,P329&gt;0.5,C329&lt;B329),"INVALID","CLEAN")</f>
        <v/>
      </c>
    </row>
    <row r="330">
      <c r="A330" s="12" t="inlineStr">
        <is>
          <t>ORD-2025-10329</t>
        </is>
      </c>
      <c r="B330" s="12" t="inlineStr">
        <is>
          <t>2025-05-29</t>
        </is>
      </c>
      <c r="C330" s="12" t="inlineStr">
        <is>
          <t>04 Jun 2025</t>
        </is>
      </c>
      <c r="D330" s="12" t="inlineStr">
        <is>
          <t>CUST-7239</t>
        </is>
      </c>
      <c r="E330" s="12" t="inlineStr">
        <is>
          <t>Diya Patel</t>
        </is>
      </c>
      <c r="F330" s="12" t="inlineStr">
        <is>
          <t>Consumer</t>
        </is>
      </c>
      <c r="G330" s="12" t="inlineStr">
        <is>
          <t>West</t>
        </is>
      </c>
      <c r="H330" s="12" t="inlineStr">
        <is>
          <t>Maharashtra</t>
        </is>
      </c>
      <c r="I330" s="12" t="inlineStr">
        <is>
          <t>Mumbai</t>
        </is>
      </c>
      <c r="J330" s="12" t="inlineStr">
        <is>
          <t>Office Supplies</t>
        </is>
      </c>
      <c r="K330" s="12" t="inlineStr">
        <is>
          <t>Storage</t>
        </is>
      </c>
      <c r="L330" s="12" t="inlineStr">
        <is>
          <t>Smart Storage 439</t>
        </is>
      </c>
      <c r="M330" s="12" t="inlineStr">
        <is>
          <t>First Class</t>
        </is>
      </c>
      <c r="N330" s="12" t="n">
        <v>6</v>
      </c>
      <c r="O330" s="12" t="n">
        <v>3100.68</v>
      </c>
      <c r="P330" s="12" t="n">
        <v>0</v>
      </c>
      <c r="Q330" s="12" t="n">
        <v>18604.08</v>
      </c>
      <c r="R330" s="12" t="n">
        <v>15834.3</v>
      </c>
      <c r="S330" s="12" t="n">
        <v>2769.78</v>
      </c>
      <c r="T330" s="12" t="inlineStr">
        <is>
          <t>Paid</t>
        </is>
      </c>
      <c r="U330" s="12" t="inlineStr">
        <is>
          <t>Completed</t>
        </is>
      </c>
      <c r="V330">
        <f>IF(OR(P330="",P330&lt;0,P330&gt;0.5),0,P330)</f>
        <v/>
      </c>
      <c r="W330">
        <f>N330*O330*(1-V330)</f>
        <v/>
      </c>
      <c r="X330">
        <f>W330-R330</f>
        <v/>
      </c>
      <c r="Y330">
        <f>IF(W330=0,0,X330/W330)</f>
        <v/>
      </c>
      <c r="Z330">
        <f>C330-B330</f>
        <v/>
      </c>
      <c r="AA330">
        <f>TEXT(B330,"mmmm")</f>
        <v/>
      </c>
      <c r="AB330">
        <f>YEAR(B330)</f>
        <v/>
      </c>
      <c r="AC330">
        <f>IF(OR(P330&lt;0,P330&gt;0.5,C330&lt;B330),"INVALID","CLEAN")</f>
        <v/>
      </c>
    </row>
    <row r="331">
      <c r="A331" s="12" t="inlineStr">
        <is>
          <t>ORD-2025-10330</t>
        </is>
      </c>
      <c r="B331" s="12" t="inlineStr">
        <is>
          <t>12 May 2025</t>
        </is>
      </c>
      <c r="C331" s="12" t="inlineStr">
        <is>
          <t>2025-05-18</t>
        </is>
      </c>
      <c r="D331" s="12" t="inlineStr">
        <is>
          <t>CUST-9718</t>
        </is>
      </c>
      <c r="E331" s="12" t="inlineStr">
        <is>
          <t>Neha Gupta</t>
        </is>
      </c>
      <c r="F331" s="12" t="inlineStr">
        <is>
          <t>Small Business</t>
        </is>
      </c>
      <c r="G331" s="12" t="inlineStr">
        <is>
          <t>West</t>
        </is>
      </c>
      <c r="H331" s="12" t="inlineStr">
        <is>
          <t>Maharashtra</t>
        </is>
      </c>
      <c r="I331" s="12" t="inlineStr">
        <is>
          <t>Mumbai</t>
        </is>
      </c>
      <c r="J331" s="12" t="inlineStr">
        <is>
          <t>Office Supplies</t>
        </is>
      </c>
      <c r="K331" s="12" t="inlineStr">
        <is>
          <t>Storage</t>
        </is>
      </c>
      <c r="L331" s="12" t="inlineStr">
        <is>
          <t>Prime Storage 232</t>
        </is>
      </c>
      <c r="M331" s="12" t="inlineStr">
        <is>
          <t>Standard Class</t>
        </is>
      </c>
      <c r="N331" s="12" t="n">
        <v>4</v>
      </c>
      <c r="O331" s="12" t="n">
        <v>4053.03</v>
      </c>
      <c r="P331" s="12" t="n">
        <v>0.05</v>
      </c>
      <c r="Q331" s="12" t="n">
        <v>15401.51</v>
      </c>
      <c r="R331" s="12" t="n">
        <v>8650.42</v>
      </c>
      <c r="S331" s="12" t="n">
        <v>6751.09</v>
      </c>
      <c r="T331" s="12" t="inlineStr">
        <is>
          <t>Paid</t>
        </is>
      </c>
      <c r="U331" s="12" t="inlineStr">
        <is>
          <t>Completed</t>
        </is>
      </c>
      <c r="V331">
        <f>IF(OR(P331="",P331&lt;0,P331&gt;0.5),0,P331)</f>
        <v/>
      </c>
      <c r="W331">
        <f>N331*O331*(1-V331)</f>
        <v/>
      </c>
      <c r="X331">
        <f>W331-R331</f>
        <v/>
      </c>
      <c r="Y331">
        <f>IF(W331=0,0,X331/W331)</f>
        <v/>
      </c>
      <c r="Z331">
        <f>C331-B331</f>
        <v/>
      </c>
      <c r="AA331">
        <f>TEXT(B331,"mmmm")</f>
        <v/>
      </c>
      <c r="AB331">
        <f>YEAR(B331)</f>
        <v/>
      </c>
      <c r="AC331">
        <f>IF(OR(P331&lt;0,P331&gt;0.5,C331&lt;B331),"INVALID","CLEAN")</f>
        <v/>
      </c>
    </row>
    <row r="332">
      <c r="A332" s="12" t="inlineStr">
        <is>
          <t>ORD-2024-10331</t>
        </is>
      </c>
      <c r="B332" s="12" t="inlineStr">
        <is>
          <t>05/16/2024</t>
        </is>
      </c>
      <c r="C332" s="12" t="inlineStr">
        <is>
          <t>05/24/2024</t>
        </is>
      </c>
      <c r="D332" s="12" t="inlineStr">
        <is>
          <t>CUST-1116</t>
        </is>
      </c>
      <c r="E332" s="12" t="inlineStr">
        <is>
          <t>Arjun Bose</t>
        </is>
      </c>
      <c r="F332" s="12" t="inlineStr">
        <is>
          <t>Home Office</t>
        </is>
      </c>
      <c r="G332" s="12" t="inlineStr">
        <is>
          <t>North</t>
        </is>
      </c>
      <c r="H332" s="12" t="inlineStr">
        <is>
          <t>Punjab</t>
        </is>
      </c>
      <c r="I332" s="12" t="inlineStr">
        <is>
          <t>Ludhiana</t>
        </is>
      </c>
      <c r="J332" s="12" t="inlineStr">
        <is>
          <t>Technology</t>
        </is>
      </c>
      <c r="K332" s="12" t="inlineStr">
        <is>
          <t>Accessories</t>
        </is>
      </c>
      <c r="L332" s="12" t="inlineStr">
        <is>
          <t>Prime Accessories 335</t>
        </is>
      </c>
      <c r="M332" s="12" t="inlineStr">
        <is>
          <t>Same Day</t>
        </is>
      </c>
      <c r="N332" s="12" t="n">
        <v>1</v>
      </c>
      <c r="O332" s="12" t="n">
        <v>783.09</v>
      </c>
      <c r="P332" s="12" t="n">
        <v>0</v>
      </c>
      <c r="Q332" s="12" t="n">
        <v>783.09</v>
      </c>
      <c r="R332" s="12" t="n">
        <v>503.89</v>
      </c>
      <c r="S332" s="12" t="n">
        <v>279.2</v>
      </c>
      <c r="T332" s="12" t="inlineStr">
        <is>
          <t>Failed</t>
        </is>
      </c>
      <c r="U332" s="12" t="inlineStr">
        <is>
          <t>Cancelled</t>
        </is>
      </c>
      <c r="V332">
        <f>IF(OR(P332="",P332&lt;0,P332&gt;0.5),0,P332)</f>
        <v/>
      </c>
      <c r="W332">
        <f>N332*O332*(1-V332)</f>
        <v/>
      </c>
      <c r="X332">
        <f>W332-R332</f>
        <v/>
      </c>
      <c r="Y332">
        <f>IF(W332=0,0,X332/W332)</f>
        <v/>
      </c>
      <c r="Z332">
        <f>C332-B332</f>
        <v/>
      </c>
      <c r="AA332">
        <f>TEXT(B332,"mmmm")</f>
        <v/>
      </c>
      <c r="AB332">
        <f>YEAR(B332)</f>
        <v/>
      </c>
      <c r="AC332">
        <f>IF(OR(P332&lt;0,P332&gt;0.5,C332&lt;B332),"INVALID","CLEAN")</f>
        <v/>
      </c>
    </row>
    <row r="333">
      <c r="A333" s="12" t="inlineStr">
        <is>
          <t>ORD-2024-10332</t>
        </is>
      </c>
      <c r="B333" s="12" t="inlineStr">
        <is>
          <t>04-12-2024</t>
        </is>
      </c>
      <c r="C333" s="12" t="inlineStr">
        <is>
          <t>2024-12-06</t>
        </is>
      </c>
      <c r="D333" s="12" t="inlineStr">
        <is>
          <t>CUST-9346</t>
        </is>
      </c>
      <c r="E333" s="12" t="inlineStr">
        <is>
          <t>Sneha Kapoor</t>
        </is>
      </c>
      <c r="F333" s="12" t="inlineStr">
        <is>
          <t>Home Office</t>
        </is>
      </c>
      <c r="G333" s="12" t="inlineStr">
        <is>
          <t>East</t>
        </is>
      </c>
      <c r="H333" s="12" t="inlineStr">
        <is>
          <t>Odisha</t>
        </is>
      </c>
      <c r="I333" s="12" t="inlineStr">
        <is>
          <t>Bhubaneswar</t>
        </is>
      </c>
      <c r="J333" s="12" t="inlineStr">
        <is>
          <t>Office Supplies</t>
        </is>
      </c>
      <c r="K333" s="12" t="inlineStr">
        <is>
          <t>Binders</t>
        </is>
      </c>
      <c r="L333" s="12" t="inlineStr">
        <is>
          <t>Smart Binders 939</t>
        </is>
      </c>
      <c r="M333" s="12" t="inlineStr">
        <is>
          <t>Second Class</t>
        </is>
      </c>
      <c r="N333" s="12" t="n">
        <v>4</v>
      </c>
      <c r="O333" s="12" t="n">
        <v>2685.66</v>
      </c>
      <c r="P333" s="12" t="n">
        <v>0</v>
      </c>
      <c r="Q333" s="12" t="n">
        <v>10742.64</v>
      </c>
      <c r="R333" s="12" t="n">
        <v>6477.37</v>
      </c>
      <c r="S333" s="12" t="n">
        <v>4265.27</v>
      </c>
      <c r="T333" s="12" t="inlineStr">
        <is>
          <t>Paid</t>
        </is>
      </c>
      <c r="U333" s="12" t="inlineStr">
        <is>
          <t>Returned</t>
        </is>
      </c>
      <c r="V333">
        <f>IF(OR(P333="",P333&lt;0,P333&gt;0.5),0,P333)</f>
        <v/>
      </c>
      <c r="W333">
        <f>N333*O333*(1-V333)</f>
        <v/>
      </c>
      <c r="X333">
        <f>W333-R333</f>
        <v/>
      </c>
      <c r="Y333">
        <f>IF(W333=0,0,X333/W333)</f>
        <v/>
      </c>
      <c r="Z333">
        <f>C333-B333</f>
        <v/>
      </c>
      <c r="AA333">
        <f>TEXT(B333,"mmmm")</f>
        <v/>
      </c>
      <c r="AB333">
        <f>YEAR(B333)</f>
        <v/>
      </c>
      <c r="AC333">
        <f>IF(OR(P333&lt;0,P333&gt;0.5,C333&lt;B333),"INVALID","CLEAN")</f>
        <v/>
      </c>
    </row>
    <row r="334">
      <c r="A334" s="12" t="inlineStr">
        <is>
          <t>ORD-2025-10333</t>
        </is>
      </c>
      <c r="B334" s="12" t="inlineStr">
        <is>
          <t>27 May 2025</t>
        </is>
      </c>
      <c r="C334" s="12" t="inlineStr">
        <is>
          <t>2025-05-28</t>
        </is>
      </c>
      <c r="D334" s="12" t="inlineStr">
        <is>
          <t>CUST-5332</t>
        </is>
      </c>
      <c r="E334" s="12" t="inlineStr">
        <is>
          <t>Aarav Sharma</t>
        </is>
      </c>
      <c r="F334" s="12" t="inlineStr">
        <is>
          <t>Consumer</t>
        </is>
      </c>
      <c r="G334" s="12" t="inlineStr">
        <is>
          <t>South</t>
        </is>
      </c>
      <c r="H334" s="12" t="inlineStr">
        <is>
          <t>Andhra Pradesh</t>
        </is>
      </c>
      <c r="I334" s="12" t="inlineStr">
        <is>
          <t>Vijayawada</t>
        </is>
      </c>
      <c r="J334" s="12" t="inlineStr">
        <is>
          <t>Technology</t>
        </is>
      </c>
      <c r="K334" s="12" t="inlineStr">
        <is>
          <t>machines</t>
        </is>
      </c>
      <c r="L334" s="12" t="inlineStr">
        <is>
          <t>Basic Machines 601</t>
        </is>
      </c>
      <c r="M334" s="12" t="inlineStr">
        <is>
          <t>Second Class</t>
        </is>
      </c>
      <c r="N334" s="12" t="n">
        <v>2</v>
      </c>
      <c r="O334" s="12" t="n">
        <v>3911.96</v>
      </c>
      <c r="P334" s="12" t="n">
        <v>0</v>
      </c>
      <c r="Q334" s="12" t="n">
        <v>7823.92</v>
      </c>
      <c r="R334" s="12" t="n">
        <v>6034.63</v>
      </c>
      <c r="S334" s="12" t="n">
        <v>1789.29</v>
      </c>
      <c r="T334" s="12" t="inlineStr">
        <is>
          <t>Paid</t>
        </is>
      </c>
      <c r="U334" s="12" t="inlineStr">
        <is>
          <t>Completed</t>
        </is>
      </c>
      <c r="V334">
        <f>IF(OR(P334="",P334&lt;0,P334&gt;0.5),0,P334)</f>
        <v/>
      </c>
      <c r="W334">
        <f>N334*O334*(1-V334)</f>
        <v/>
      </c>
      <c r="X334">
        <f>W334-R334</f>
        <v/>
      </c>
      <c r="Y334">
        <f>IF(W334=0,0,X334/W334)</f>
        <v/>
      </c>
      <c r="Z334">
        <f>C334-B334</f>
        <v/>
      </c>
      <c r="AA334">
        <f>TEXT(B334,"mmmm")</f>
        <v/>
      </c>
      <c r="AB334">
        <f>YEAR(B334)</f>
        <v/>
      </c>
      <c r="AC334">
        <f>IF(OR(P334&lt;0,P334&gt;0.5,C334&lt;B334),"INVALID","CLEAN")</f>
        <v/>
      </c>
    </row>
    <row r="335">
      <c r="A335" s="12" t="inlineStr">
        <is>
          <t>ORD-2025-10334</t>
        </is>
      </c>
      <c r="B335" s="12" t="inlineStr">
        <is>
          <t>22 Jun 2025</t>
        </is>
      </c>
      <c r="C335" s="12" t="inlineStr">
        <is>
          <t>2025-06-27</t>
        </is>
      </c>
      <c r="D335" s="12" t="inlineStr">
        <is>
          <t>CUST-8081</t>
        </is>
      </c>
      <c r="E335" s="12" t="inlineStr">
        <is>
          <t>Rohan Mehta</t>
        </is>
      </c>
      <c r="F335" s="12" t="inlineStr">
        <is>
          <t>Home Office</t>
        </is>
      </c>
      <c r="G335" s="12" t="n"/>
      <c r="H335" s="12" t="inlineStr">
        <is>
          <t>Delhi</t>
        </is>
      </c>
      <c r="I335" s="12" t="inlineStr">
        <is>
          <t>New Delhi</t>
        </is>
      </c>
      <c r="J335" s="12" t="inlineStr">
        <is>
          <t>Technology</t>
        </is>
      </c>
      <c r="K335" s="12" t="inlineStr">
        <is>
          <t>Phones</t>
        </is>
      </c>
      <c r="L335" s="12" t="inlineStr">
        <is>
          <t>Pro Phones 968</t>
        </is>
      </c>
      <c r="M335" s="12" t="inlineStr">
        <is>
          <t>First Class</t>
        </is>
      </c>
      <c r="N335" s="12" t="n">
        <v>2</v>
      </c>
      <c r="O335" s="12" t="n">
        <v>1468.05</v>
      </c>
      <c r="P335" s="12" t="n">
        <v>0</v>
      </c>
      <c r="Q335" s="12" t="n">
        <v>2936.1</v>
      </c>
      <c r="R335" s="12" t="n">
        <v>1923.1</v>
      </c>
      <c r="S335" s="12" t="n">
        <v>1013</v>
      </c>
      <c r="T335" s="12" t="inlineStr">
        <is>
          <t>Paid</t>
        </is>
      </c>
      <c r="U335" s="12" t="inlineStr">
        <is>
          <t>Completed</t>
        </is>
      </c>
      <c r="V335">
        <f>IF(OR(P335="",P335&lt;0,P335&gt;0.5),0,P335)</f>
        <v/>
      </c>
      <c r="W335">
        <f>N335*O335*(1-V335)</f>
        <v/>
      </c>
      <c r="X335">
        <f>W335-R335</f>
        <v/>
      </c>
      <c r="Y335">
        <f>IF(W335=0,0,X335/W335)</f>
        <v/>
      </c>
      <c r="Z335">
        <f>C335-B335</f>
        <v/>
      </c>
      <c r="AA335">
        <f>TEXT(B335,"mmmm")</f>
        <v/>
      </c>
      <c r="AB335">
        <f>YEAR(B335)</f>
        <v/>
      </c>
      <c r="AC335">
        <f>IF(OR(P335&lt;0,P335&gt;0.5,C335&lt;B335),"INVALID","CLEAN")</f>
        <v/>
      </c>
    </row>
    <row r="336">
      <c r="A336" s="12" t="inlineStr">
        <is>
          <t>ORD-2024-10335</t>
        </is>
      </c>
      <c r="B336" s="12" t="inlineStr">
        <is>
          <t>12 Sep 2024</t>
        </is>
      </c>
      <c r="C336" s="12" t="inlineStr">
        <is>
          <t>17-09-2024</t>
        </is>
      </c>
      <c r="D336" s="12" t="inlineStr">
        <is>
          <t>CUST-3062</t>
        </is>
      </c>
      <c r="E336" s="12" t="inlineStr">
        <is>
          <t>Ananya Rao</t>
        </is>
      </c>
      <c r="F336" s="12" t="inlineStr">
        <is>
          <t>Consumer</t>
        </is>
      </c>
      <c r="G336" s="12" t="inlineStr">
        <is>
          <t>East</t>
        </is>
      </c>
      <c r="H336" s="12" t="inlineStr">
        <is>
          <t>Jharkhand</t>
        </is>
      </c>
      <c r="I336" s="12" t="inlineStr">
        <is>
          <t>Ranchi</t>
        </is>
      </c>
      <c r="J336" s="12" t="inlineStr">
        <is>
          <t>Office Supplies</t>
        </is>
      </c>
      <c r="K336" s="12" t="inlineStr">
        <is>
          <t>Storage</t>
        </is>
      </c>
      <c r="L336" s="12" t="inlineStr">
        <is>
          <t>Pro Storage 563</t>
        </is>
      </c>
      <c r="M336" s="12" t="inlineStr">
        <is>
          <t>First Class</t>
        </is>
      </c>
      <c r="N336" s="12" t="n">
        <v>9</v>
      </c>
      <c r="O336" s="12" t="n">
        <v>1921.47</v>
      </c>
      <c r="P336" s="12" t="n">
        <v>0.25</v>
      </c>
      <c r="Q336" s="12" t="n">
        <v>12969.92</v>
      </c>
      <c r="R336" s="12" t="n">
        <v>9398.459999999999</v>
      </c>
      <c r="S336" s="12" t="n">
        <v>3571.46</v>
      </c>
      <c r="T336" s="12" t="inlineStr">
        <is>
          <t>Paid</t>
        </is>
      </c>
      <c r="U336" s="12" t="inlineStr">
        <is>
          <t>Completed</t>
        </is>
      </c>
      <c r="V336">
        <f>IF(OR(P336="",P336&lt;0,P336&gt;0.5),0,P336)</f>
        <v/>
      </c>
      <c r="W336">
        <f>N336*O336*(1-V336)</f>
        <v/>
      </c>
      <c r="X336">
        <f>W336-R336</f>
        <v/>
      </c>
      <c r="Y336">
        <f>IF(W336=0,0,X336/W336)</f>
        <v/>
      </c>
      <c r="Z336">
        <f>C336-B336</f>
        <v/>
      </c>
      <c r="AA336">
        <f>TEXT(B336,"mmmm")</f>
        <v/>
      </c>
      <c r="AB336">
        <f>YEAR(B336)</f>
        <v/>
      </c>
      <c r="AC336">
        <f>IF(OR(P336&lt;0,P336&gt;0.5,C336&lt;B336),"INVALID","CLEAN")</f>
        <v/>
      </c>
    </row>
    <row r="337">
      <c r="A337" s="12" t="inlineStr">
        <is>
          <t>ORD-2025-10336</t>
        </is>
      </c>
      <c r="B337" s="12" t="inlineStr">
        <is>
          <t>06/16/2025</t>
        </is>
      </c>
      <c r="C337" s="12" t="inlineStr">
        <is>
          <t>18 Jun 2025</t>
        </is>
      </c>
      <c r="D337" s="12" t="inlineStr">
        <is>
          <t>CUST-3621</t>
        </is>
      </c>
      <c r="E337" s="12" t="inlineStr">
        <is>
          <t>Rahul Verma</t>
        </is>
      </c>
      <c r="F337" s="12" t="inlineStr">
        <is>
          <t>Home Office</t>
        </is>
      </c>
      <c r="G337" s="12" t="inlineStr">
        <is>
          <t>West</t>
        </is>
      </c>
      <c r="H337" s="12" t="inlineStr">
        <is>
          <t>Madhya Pradesh</t>
        </is>
      </c>
      <c r="I337" s="12" t="inlineStr">
        <is>
          <t>Indore</t>
        </is>
      </c>
      <c r="J337" s="12" t="inlineStr">
        <is>
          <t>Office Supplies</t>
        </is>
      </c>
      <c r="K337" s="12" t="inlineStr">
        <is>
          <t>Paper</t>
        </is>
      </c>
      <c r="L337" s="12" t="inlineStr">
        <is>
          <t>Prime Paper 559</t>
        </is>
      </c>
      <c r="M337" s="12" t="inlineStr">
        <is>
          <t>First Class</t>
        </is>
      </c>
      <c r="N337" s="12" t="n">
        <v>3</v>
      </c>
      <c r="O337" s="12" t="n">
        <v>4289.37</v>
      </c>
      <c r="P337" s="12" t="n">
        <v>0.1</v>
      </c>
      <c r="Q337" s="12" t="n">
        <v>11581.3</v>
      </c>
      <c r="R337" s="12" t="n">
        <v>6829.43</v>
      </c>
      <c r="S337" s="12" t="n">
        <v>4751.87</v>
      </c>
      <c r="T337" s="12" t="inlineStr">
        <is>
          <t>Paid</t>
        </is>
      </c>
      <c r="U337" s="12" t="inlineStr">
        <is>
          <t>Completed</t>
        </is>
      </c>
      <c r="V337">
        <f>IF(OR(P337="",P337&lt;0,P337&gt;0.5),0,P337)</f>
        <v/>
      </c>
      <c r="W337">
        <f>N337*O337*(1-V337)</f>
        <v/>
      </c>
      <c r="X337">
        <f>W337-R337</f>
        <v/>
      </c>
      <c r="Y337">
        <f>IF(W337=0,0,X337/W337)</f>
        <v/>
      </c>
      <c r="Z337">
        <f>C337-B337</f>
        <v/>
      </c>
      <c r="AA337">
        <f>TEXT(B337,"mmmm")</f>
        <v/>
      </c>
      <c r="AB337">
        <f>YEAR(B337)</f>
        <v/>
      </c>
      <c r="AC337">
        <f>IF(OR(P337&lt;0,P337&gt;0.5,C337&lt;B337),"INVALID","CLEAN")</f>
        <v/>
      </c>
    </row>
    <row r="338">
      <c r="A338" s="12" t="inlineStr">
        <is>
          <t>ORD-2024-10337</t>
        </is>
      </c>
      <c r="B338" s="12" t="inlineStr">
        <is>
          <t>17-03-2024</t>
        </is>
      </c>
      <c r="C338" s="12" t="inlineStr">
        <is>
          <t>03/21/2024</t>
        </is>
      </c>
      <c r="D338" s="12" t="inlineStr">
        <is>
          <t>CUST-2103</t>
        </is>
      </c>
      <c r="E338" s="12" t="inlineStr">
        <is>
          <t>Aarav Sharma</t>
        </is>
      </c>
      <c r="F338" s="12" t="inlineStr">
        <is>
          <t>Consumer</t>
        </is>
      </c>
      <c r="G338" s="12" t="inlineStr">
        <is>
          <t>North</t>
        </is>
      </c>
      <c r="H338" s="12" t="inlineStr">
        <is>
          <t>Rajasthan</t>
        </is>
      </c>
      <c r="I338" s="12" t="inlineStr">
        <is>
          <t>Jaipur</t>
        </is>
      </c>
      <c r="J338" s="12" t="inlineStr">
        <is>
          <t>Technology</t>
        </is>
      </c>
      <c r="K338" s="12" t="inlineStr">
        <is>
          <t>Copiers</t>
        </is>
      </c>
      <c r="L338" s="12" t="inlineStr">
        <is>
          <t>Pro Copiers 999</t>
        </is>
      </c>
      <c r="M338" s="12" t="inlineStr">
        <is>
          <t>First Class</t>
        </is>
      </c>
      <c r="N338" s="12" t="n">
        <v>8</v>
      </c>
      <c r="O338" s="12" t="n">
        <v>1992.57</v>
      </c>
      <c r="P338" s="12" t="n">
        <v>0</v>
      </c>
      <c r="Q338" s="12" t="n">
        <v>15940.56</v>
      </c>
      <c r="R338" s="12" t="n">
        <v>12347.15</v>
      </c>
      <c r="S338" s="12" t="n">
        <v>3593.41</v>
      </c>
      <c r="T338" s="12" t="inlineStr">
        <is>
          <t>Paid</t>
        </is>
      </c>
      <c r="U338" s="12" t="inlineStr">
        <is>
          <t>Completed</t>
        </is>
      </c>
      <c r="V338">
        <f>IF(OR(P338="",P338&lt;0,P338&gt;0.5),0,P338)</f>
        <v/>
      </c>
      <c r="W338">
        <f>N338*O338*(1-V338)</f>
        <v/>
      </c>
      <c r="X338">
        <f>W338-R338</f>
        <v/>
      </c>
      <c r="Y338">
        <f>IF(W338=0,0,X338/W338)</f>
        <v/>
      </c>
      <c r="Z338">
        <f>C338-B338</f>
        <v/>
      </c>
      <c r="AA338">
        <f>TEXT(B338,"mmmm")</f>
        <v/>
      </c>
      <c r="AB338">
        <f>YEAR(B338)</f>
        <v/>
      </c>
      <c r="AC338">
        <f>IF(OR(P338&lt;0,P338&gt;0.5,C338&lt;B338),"INVALID","CLEAN")</f>
        <v/>
      </c>
    </row>
    <row r="339">
      <c r="A339" s="12" t="inlineStr">
        <is>
          <t>ORD-2024-10338</t>
        </is>
      </c>
      <c r="B339" s="12" t="inlineStr">
        <is>
          <t>12 Aug 2024</t>
        </is>
      </c>
      <c r="C339" s="12" t="inlineStr">
        <is>
          <t>18 Aug 2024</t>
        </is>
      </c>
      <c r="D339" s="12" t="inlineStr">
        <is>
          <t>CUST-4599</t>
        </is>
      </c>
      <c r="E339" s="12" t="inlineStr">
        <is>
          <t>Ananya Rao</t>
        </is>
      </c>
      <c r="F339" s="12" t="inlineStr">
        <is>
          <t>Consumer</t>
        </is>
      </c>
      <c r="G339" s="12" t="inlineStr">
        <is>
          <t>East</t>
        </is>
      </c>
      <c r="H339" s="12" t="inlineStr">
        <is>
          <t>Assam</t>
        </is>
      </c>
      <c r="I339" s="12" t="inlineStr">
        <is>
          <t>Guwahati</t>
        </is>
      </c>
      <c r="J339" s="12" t="inlineStr">
        <is>
          <t>Office Supplies</t>
        </is>
      </c>
      <c r="K339" s="12" t="inlineStr">
        <is>
          <t>Labels</t>
        </is>
      </c>
      <c r="L339" s="12" t="inlineStr">
        <is>
          <t>Classic Labels 206</t>
        </is>
      </c>
      <c r="M339" s="12" t="inlineStr">
        <is>
          <t>Same Day</t>
        </is>
      </c>
      <c r="N339" s="12" t="n">
        <v>6</v>
      </c>
      <c r="O339" s="12" t="n">
        <v>1181.74</v>
      </c>
      <c r="P339" s="12" t="n">
        <v>0</v>
      </c>
      <c r="Q339" s="12" t="n">
        <v>7090.44</v>
      </c>
      <c r="R339" s="12" t="n">
        <v>5672.27</v>
      </c>
      <c r="S339" s="12" t="n">
        <v>1262.87</v>
      </c>
      <c r="T339" s="12" t="inlineStr">
        <is>
          <t>Paid</t>
        </is>
      </c>
      <c r="U339" s="12" t="inlineStr">
        <is>
          <t>Completed</t>
        </is>
      </c>
      <c r="V339">
        <f>IF(OR(P339="",P339&lt;0,P339&gt;0.5),0,P339)</f>
        <v/>
      </c>
      <c r="W339">
        <f>N339*O339*(1-V339)</f>
        <v/>
      </c>
      <c r="X339">
        <f>W339-R339</f>
        <v/>
      </c>
      <c r="Y339">
        <f>IF(W339=0,0,X339/W339)</f>
        <v/>
      </c>
      <c r="Z339">
        <f>C339-B339</f>
        <v/>
      </c>
      <c r="AA339">
        <f>TEXT(B339,"mmmm")</f>
        <v/>
      </c>
      <c r="AB339">
        <f>YEAR(B339)</f>
        <v/>
      </c>
      <c r="AC339">
        <f>IF(OR(P339&lt;0,P339&gt;0.5,C339&lt;B339),"INVALID","CLEAN")</f>
        <v/>
      </c>
    </row>
    <row r="340">
      <c r="A340" s="12" t="inlineStr">
        <is>
          <t>ORD-2024-10339</t>
        </is>
      </c>
      <c r="B340" s="12" t="inlineStr">
        <is>
          <t>08-12-2024</t>
        </is>
      </c>
      <c r="C340" s="12" t="inlineStr">
        <is>
          <t>12/08/2024</t>
        </is>
      </c>
      <c r="D340" s="12" t="inlineStr">
        <is>
          <t>CUST-3066</t>
        </is>
      </c>
      <c r="E340" s="12" t="inlineStr">
        <is>
          <t>Arjun Bose</t>
        </is>
      </c>
      <c r="F340" s="12" t="inlineStr">
        <is>
          <t>Small Business</t>
        </is>
      </c>
      <c r="G340" s="12" t="inlineStr">
        <is>
          <t>South</t>
        </is>
      </c>
      <c r="H340" s="12" t="inlineStr">
        <is>
          <t>Andhra Pradesh</t>
        </is>
      </c>
      <c r="I340" s="12" t="inlineStr">
        <is>
          <t>Vijayawada</t>
        </is>
      </c>
      <c r="J340" s="12" t="inlineStr">
        <is>
          <t>Technology</t>
        </is>
      </c>
      <c r="K340" s="12" t="inlineStr">
        <is>
          <t>Accessories</t>
        </is>
      </c>
      <c r="L340" s="12" t="inlineStr">
        <is>
          <t>Eco Accessories 315</t>
        </is>
      </c>
      <c r="M340" s="12" t="inlineStr">
        <is>
          <t>First Class</t>
        </is>
      </c>
      <c r="N340" s="12" t="n">
        <v>8</v>
      </c>
      <c r="O340" s="12" t="n">
        <v>4402.36</v>
      </c>
      <c r="P340" s="12" t="n">
        <v>0.25</v>
      </c>
      <c r="Q340" s="12" t="n">
        <v>26414.16</v>
      </c>
      <c r="R340" s="12" t="n">
        <v>21822.53</v>
      </c>
      <c r="S340" s="12" t="n">
        <v>4591.63</v>
      </c>
      <c r="T340" s="12" t="inlineStr">
        <is>
          <t>Paid</t>
        </is>
      </c>
      <c r="U340" s="12" t="inlineStr">
        <is>
          <t>Completed</t>
        </is>
      </c>
      <c r="V340">
        <f>IF(OR(P340="",P340&lt;0,P340&gt;0.5),0,P340)</f>
        <v/>
      </c>
      <c r="W340">
        <f>N340*O340*(1-V340)</f>
        <v/>
      </c>
      <c r="X340">
        <f>W340-R340</f>
        <v/>
      </c>
      <c r="Y340">
        <f>IF(W340=0,0,X340/W340)</f>
        <v/>
      </c>
      <c r="Z340">
        <f>C340-B340</f>
        <v/>
      </c>
      <c r="AA340">
        <f>TEXT(B340,"mmmm")</f>
        <v/>
      </c>
      <c r="AB340">
        <f>YEAR(B340)</f>
        <v/>
      </c>
      <c r="AC340">
        <f>IF(OR(P340&lt;0,P340&gt;0.5,C340&lt;B340),"INVALID","CLEAN")</f>
        <v/>
      </c>
    </row>
    <row r="341">
      <c r="A341" s="12" t="inlineStr">
        <is>
          <t>ORD-2025-10340</t>
        </is>
      </c>
      <c r="B341" s="12" t="inlineStr">
        <is>
          <t>20-02-2025</t>
        </is>
      </c>
      <c r="C341" s="12" t="inlineStr">
        <is>
          <t>22-02-2025</t>
        </is>
      </c>
      <c r="D341" s="12" t="inlineStr">
        <is>
          <t>CUST-2752</t>
        </is>
      </c>
      <c r="E341" s="12" t="inlineStr">
        <is>
          <t>Neha Gupta</t>
        </is>
      </c>
      <c r="F341" s="12" t="inlineStr">
        <is>
          <t>Corporate</t>
        </is>
      </c>
      <c r="G341" s="12" t="inlineStr">
        <is>
          <t>East</t>
        </is>
      </c>
      <c r="H341" s="12" t="inlineStr">
        <is>
          <t>Jharkhand</t>
        </is>
      </c>
      <c r="I341" s="12" t="inlineStr">
        <is>
          <t>Ranchi</t>
        </is>
      </c>
      <c r="J341" s="12" t="inlineStr">
        <is>
          <t>Furniture</t>
        </is>
      </c>
      <c r="K341" s="12" t="inlineStr">
        <is>
          <t>Bookcases</t>
        </is>
      </c>
      <c r="L341" s="12" t="inlineStr">
        <is>
          <t>Elite Bookcases 988</t>
        </is>
      </c>
      <c r="M341" s="12" t="inlineStr">
        <is>
          <t>Standard Class</t>
        </is>
      </c>
      <c r="N341" s="12" t="n">
        <v>8</v>
      </c>
      <c r="O341" s="12" t="n">
        <v>3265.76</v>
      </c>
      <c r="P341" s="12" t="n">
        <v>0.2</v>
      </c>
      <c r="Q341" s="12" t="n">
        <v>20900.86</v>
      </c>
      <c r="R341" s="12" t="n">
        <v>12513.14</v>
      </c>
      <c r="S341" s="12" t="n">
        <v>8387.719999999999</v>
      </c>
      <c r="T341" s="12" t="inlineStr">
        <is>
          <t>Paid</t>
        </is>
      </c>
      <c r="U341" s="12" t="inlineStr">
        <is>
          <t>Completed</t>
        </is>
      </c>
      <c r="V341">
        <f>IF(OR(P341="",P341&lt;0,P341&gt;0.5),0,P341)</f>
        <v/>
      </c>
      <c r="W341">
        <f>N341*O341*(1-V341)</f>
        <v/>
      </c>
      <c r="X341">
        <f>W341-R341</f>
        <v/>
      </c>
      <c r="Y341">
        <f>IF(W341=0,0,X341/W341)</f>
        <v/>
      </c>
      <c r="Z341">
        <f>C341-B341</f>
        <v/>
      </c>
      <c r="AA341">
        <f>TEXT(B341,"mmmm")</f>
        <v/>
      </c>
      <c r="AB341">
        <f>YEAR(B341)</f>
        <v/>
      </c>
      <c r="AC341">
        <f>IF(OR(P341&lt;0,P341&gt;0.5,C341&lt;B341),"INVALID","CLEAN")</f>
        <v/>
      </c>
    </row>
    <row r="342">
      <c r="A342" s="12" t="inlineStr">
        <is>
          <t>ORD-2024-10341</t>
        </is>
      </c>
      <c r="B342" s="12" t="inlineStr">
        <is>
          <t>21 Jan 2024</t>
        </is>
      </c>
      <c r="C342" s="12" t="inlineStr">
        <is>
          <t>01/29/2024</t>
        </is>
      </c>
      <c r="D342" s="12" t="inlineStr">
        <is>
          <t>CUST-6291</t>
        </is>
      </c>
      <c r="E342" s="12" t="inlineStr">
        <is>
          <t>Neha Gupta</t>
        </is>
      </c>
      <c r="F342" s="12" t="inlineStr">
        <is>
          <t>Consumer</t>
        </is>
      </c>
      <c r="G342" s="12" t="inlineStr">
        <is>
          <t>South</t>
        </is>
      </c>
      <c r="H342" s="12" t="inlineStr">
        <is>
          <t>Karnataka</t>
        </is>
      </c>
      <c r="I342" s="12" t="inlineStr">
        <is>
          <t>Bengaluru</t>
        </is>
      </c>
      <c r="J342" s="12" t="inlineStr">
        <is>
          <t>Office Supplies</t>
        </is>
      </c>
      <c r="K342" s="12" t="inlineStr">
        <is>
          <t>Binders</t>
        </is>
      </c>
      <c r="L342" s="12" t="inlineStr">
        <is>
          <t>Smart Binders 414</t>
        </is>
      </c>
      <c r="M342" s="12" t="inlineStr">
        <is>
          <t>Standard Class</t>
        </is>
      </c>
      <c r="N342" s="12" t="n">
        <v>5</v>
      </c>
      <c r="O342" s="12" t="n">
        <v>4058.08</v>
      </c>
      <c r="P342" s="12" t="n">
        <v>0.1</v>
      </c>
      <c r="Q342" s="12" t="n">
        <v>18261.36</v>
      </c>
      <c r="R342" s="12" t="n">
        <v>11399.94</v>
      </c>
      <c r="S342" s="12" t="n">
        <v>6861.42</v>
      </c>
      <c r="T342" s="12" t="inlineStr">
        <is>
          <t>Paid</t>
        </is>
      </c>
      <c r="U342" s="12" t="inlineStr">
        <is>
          <t>Completed</t>
        </is>
      </c>
      <c r="V342">
        <f>IF(OR(P342="",P342&lt;0,P342&gt;0.5),0,P342)</f>
        <v/>
      </c>
      <c r="W342">
        <f>N342*O342*(1-V342)</f>
        <v/>
      </c>
      <c r="X342">
        <f>W342-R342</f>
        <v/>
      </c>
      <c r="Y342">
        <f>IF(W342=0,0,X342/W342)</f>
        <v/>
      </c>
      <c r="Z342">
        <f>C342-B342</f>
        <v/>
      </c>
      <c r="AA342">
        <f>TEXT(B342,"mmmm")</f>
        <v/>
      </c>
      <c r="AB342">
        <f>YEAR(B342)</f>
        <v/>
      </c>
      <c r="AC342">
        <f>IF(OR(P342&lt;0,P342&gt;0.5,C342&lt;B342),"INVALID","CLEAN")</f>
        <v/>
      </c>
    </row>
    <row r="343">
      <c r="A343" s="12" t="inlineStr">
        <is>
          <t>ORD-2025-10342</t>
        </is>
      </c>
      <c r="B343" s="12" t="inlineStr">
        <is>
          <t>08 Sep 2025</t>
        </is>
      </c>
      <c r="C343" s="12" t="inlineStr">
        <is>
          <t>2025-09-09</t>
        </is>
      </c>
      <c r="D343" s="12" t="inlineStr">
        <is>
          <t>CUST-9969</t>
        </is>
      </c>
      <c r="E343" s="12" t="inlineStr">
        <is>
          <t>Rohan Mehta</t>
        </is>
      </c>
      <c r="F343" s="12" t="inlineStr">
        <is>
          <t>Home Office</t>
        </is>
      </c>
      <c r="G343" s="12" t="inlineStr">
        <is>
          <t>West</t>
        </is>
      </c>
      <c r="H343" s="12" t="inlineStr">
        <is>
          <t>Gujarat</t>
        </is>
      </c>
      <c r="I343" s="12" t="inlineStr">
        <is>
          <t>Ahmedabad</t>
        </is>
      </c>
      <c r="J343" s="12" t="inlineStr">
        <is>
          <t>Furniture</t>
        </is>
      </c>
      <c r="K343" s="12" t="inlineStr">
        <is>
          <t>Chairs</t>
        </is>
      </c>
      <c r="L343" s="12" t="inlineStr">
        <is>
          <t>Eco Chairs 552</t>
        </is>
      </c>
      <c r="M343" s="12" t="inlineStr">
        <is>
          <t>Second Class</t>
        </is>
      </c>
      <c r="N343" s="12" t="n">
        <v>2</v>
      </c>
      <c r="O343" s="12" t="n">
        <v>3960.33</v>
      </c>
      <c r="P343" s="12" t="n">
        <v>0.05</v>
      </c>
      <c r="Q343" s="12" t="n">
        <v>7524.63</v>
      </c>
      <c r="R343" s="12" t="n">
        <v>6229.6</v>
      </c>
      <c r="S343" s="12" t="n">
        <v>1295.03</v>
      </c>
      <c r="T343" s="12" t="inlineStr">
        <is>
          <t>Paid</t>
        </is>
      </c>
      <c r="U343" s="12" t="inlineStr">
        <is>
          <t>Completed</t>
        </is>
      </c>
      <c r="V343">
        <f>IF(OR(P343="",P343&lt;0,P343&gt;0.5),0,P343)</f>
        <v/>
      </c>
      <c r="W343">
        <f>N343*O343*(1-V343)</f>
        <v/>
      </c>
      <c r="X343">
        <f>W343-R343</f>
        <v/>
      </c>
      <c r="Y343">
        <f>IF(W343=0,0,X343/W343)</f>
        <v/>
      </c>
      <c r="Z343">
        <f>C343-B343</f>
        <v/>
      </c>
      <c r="AA343">
        <f>TEXT(B343,"mmmm")</f>
        <v/>
      </c>
      <c r="AB343">
        <f>YEAR(B343)</f>
        <v/>
      </c>
      <c r="AC343">
        <f>IF(OR(P343&lt;0,P343&gt;0.5,C343&lt;B343),"INVALID","CLEAN")</f>
        <v/>
      </c>
    </row>
    <row r="344">
      <c r="A344" s="12" t="inlineStr">
        <is>
          <t>ORD-2025-10343</t>
        </is>
      </c>
      <c r="B344" s="12" t="inlineStr">
        <is>
          <t>24-07-2025</t>
        </is>
      </c>
      <c r="C344" s="12" t="inlineStr">
        <is>
          <t>01-08-2025</t>
        </is>
      </c>
      <c r="D344" s="12" t="inlineStr">
        <is>
          <t>CUST-3335</t>
        </is>
      </c>
      <c r="E344" s="12" t="inlineStr">
        <is>
          <t>Kabir Singh</t>
        </is>
      </c>
      <c r="F344" s="12" t="inlineStr">
        <is>
          <t>Small Business</t>
        </is>
      </c>
      <c r="G344" s="12" t="inlineStr">
        <is>
          <t>East</t>
        </is>
      </c>
      <c r="H344" s="12" t="inlineStr">
        <is>
          <t>Jharkhand</t>
        </is>
      </c>
      <c r="I344" s="12" t="inlineStr">
        <is>
          <t>Ranchi</t>
        </is>
      </c>
      <c r="J344" s="12" t="inlineStr">
        <is>
          <t>Office Supplies</t>
        </is>
      </c>
      <c r="K344" s="12" t="inlineStr">
        <is>
          <t>Binders</t>
        </is>
      </c>
      <c r="L344" s="12" t="inlineStr">
        <is>
          <t>Smart Binders 574</t>
        </is>
      </c>
      <c r="M344" s="12" t="inlineStr">
        <is>
          <t>First Class</t>
        </is>
      </c>
      <c r="N344" s="12" t="n">
        <v>8</v>
      </c>
      <c r="O344" s="12" t="n">
        <v>1528.92</v>
      </c>
      <c r="P344" s="12" t="n">
        <v>0</v>
      </c>
      <c r="Q344" s="12" t="n">
        <v>12231.36</v>
      </c>
      <c r="R344" s="12" t="n">
        <v>8766.9</v>
      </c>
      <c r="S344" s="12" t="n">
        <v>3464.46</v>
      </c>
      <c r="T344" s="12" t="inlineStr">
        <is>
          <t>Paid</t>
        </is>
      </c>
      <c r="U344" s="12" t="inlineStr">
        <is>
          <t>Completed</t>
        </is>
      </c>
      <c r="V344">
        <f>IF(OR(P344="",P344&lt;0,P344&gt;0.5),0,P344)</f>
        <v/>
      </c>
      <c r="W344">
        <f>N344*O344*(1-V344)</f>
        <v/>
      </c>
      <c r="X344">
        <f>W344-R344</f>
        <v/>
      </c>
      <c r="Y344">
        <f>IF(W344=0,0,X344/W344)</f>
        <v/>
      </c>
      <c r="Z344">
        <f>C344-B344</f>
        <v/>
      </c>
      <c r="AA344">
        <f>TEXT(B344,"mmmm")</f>
        <v/>
      </c>
      <c r="AB344">
        <f>YEAR(B344)</f>
        <v/>
      </c>
      <c r="AC344">
        <f>IF(OR(P344&lt;0,P344&gt;0.5,C344&lt;B344),"INVALID","CLEAN")</f>
        <v/>
      </c>
    </row>
    <row r="345">
      <c r="A345" s="12" t="inlineStr">
        <is>
          <t>ORD-2025-10344</t>
        </is>
      </c>
      <c r="B345" s="12" t="inlineStr">
        <is>
          <t>10/03/2025</t>
        </is>
      </c>
      <c r="C345" s="12" t="inlineStr">
        <is>
          <t>08 Oct 2025</t>
        </is>
      </c>
      <c r="D345" s="12" t="inlineStr">
        <is>
          <t>CUST-7358</t>
        </is>
      </c>
      <c r="E345" s="12" t="inlineStr">
        <is>
          <t>Aarav Sharma</t>
        </is>
      </c>
      <c r="F345" s="12" t="inlineStr">
        <is>
          <t>Corporate</t>
        </is>
      </c>
      <c r="G345" s="12" t="inlineStr">
        <is>
          <t>West</t>
        </is>
      </c>
      <c r="H345" s="12" t="inlineStr">
        <is>
          <t>Madhya Pradesh</t>
        </is>
      </c>
      <c r="I345" s="12" t="inlineStr">
        <is>
          <t>Indore</t>
        </is>
      </c>
      <c r="J345" s="12" t="inlineStr">
        <is>
          <t>Technology</t>
        </is>
      </c>
      <c r="K345" s="12" t="inlineStr">
        <is>
          <t>Machines</t>
        </is>
      </c>
      <c r="L345" s="12" t="inlineStr">
        <is>
          <t>Pro Machines 444</t>
        </is>
      </c>
      <c r="M345" s="12" t="inlineStr">
        <is>
          <t>Same Day</t>
        </is>
      </c>
      <c r="N345" s="12" t="n">
        <v>9</v>
      </c>
      <c r="O345" s="12" t="n">
        <v>3837</v>
      </c>
      <c r="P345" s="12" t="n">
        <v>0.1</v>
      </c>
      <c r="Q345" s="12" t="n">
        <v>31079.7</v>
      </c>
      <c r="R345" s="12" t="n">
        <v>17758.25</v>
      </c>
      <c r="S345" s="12" t="n">
        <v>13321.45</v>
      </c>
      <c r="T345" s="12" t="inlineStr">
        <is>
          <t>Paid</t>
        </is>
      </c>
      <c r="U345" s="12" t="inlineStr">
        <is>
          <t>Completed</t>
        </is>
      </c>
      <c r="V345">
        <f>IF(OR(P345="",P345&lt;0,P345&gt;0.5),0,P345)</f>
        <v/>
      </c>
      <c r="W345">
        <f>N345*O345*(1-V345)</f>
        <v/>
      </c>
      <c r="X345">
        <f>W345-R345</f>
        <v/>
      </c>
      <c r="Y345">
        <f>IF(W345=0,0,X345/W345)</f>
        <v/>
      </c>
      <c r="Z345">
        <f>C345-B345</f>
        <v/>
      </c>
      <c r="AA345">
        <f>TEXT(B345,"mmmm")</f>
        <v/>
      </c>
      <c r="AB345">
        <f>YEAR(B345)</f>
        <v/>
      </c>
      <c r="AC345">
        <f>IF(OR(P345&lt;0,P345&gt;0.5,C345&lt;B345),"INVALID","CLEAN")</f>
        <v/>
      </c>
    </row>
    <row r="346">
      <c r="A346" s="12" t="inlineStr">
        <is>
          <t>ORD-2024-10345</t>
        </is>
      </c>
      <c r="B346" s="12" t="inlineStr">
        <is>
          <t>11-03-2024</t>
        </is>
      </c>
      <c r="C346" s="12" t="inlineStr">
        <is>
          <t>11-03-2024</t>
        </is>
      </c>
      <c r="D346" s="12" t="inlineStr">
        <is>
          <t>CUST-8025</t>
        </is>
      </c>
      <c r="E346" s="12" t="inlineStr">
        <is>
          <t>Priya Menon</t>
        </is>
      </c>
      <c r="F346" s="12" t="inlineStr">
        <is>
          <t>Consumer</t>
        </is>
      </c>
      <c r="G346" s="12" t="inlineStr">
        <is>
          <t>North</t>
        </is>
      </c>
      <c r="H346" s="12" t="inlineStr">
        <is>
          <t>Punjab</t>
        </is>
      </c>
      <c r="I346" s="12" t="inlineStr">
        <is>
          <t>Ludhiana</t>
        </is>
      </c>
      <c r="J346" s="12" t="inlineStr">
        <is>
          <t>Furniture</t>
        </is>
      </c>
      <c r="K346" s="12" t="inlineStr">
        <is>
          <t>Bookcases</t>
        </is>
      </c>
      <c r="L346" s="12" t="inlineStr">
        <is>
          <t>Elite Bookcases 184</t>
        </is>
      </c>
      <c r="M346" s="12" t="inlineStr">
        <is>
          <t>Same Day</t>
        </is>
      </c>
      <c r="N346" s="12" t="n">
        <v>9</v>
      </c>
      <c r="O346" s="12" t="n">
        <v>3456.38</v>
      </c>
      <c r="P346" s="12" t="n">
        <v>0</v>
      </c>
      <c r="Q346" s="12" t="n">
        <v>31107.42</v>
      </c>
      <c r="R346" s="12" t="n">
        <v>20146.66</v>
      </c>
      <c r="S346" s="12" t="n">
        <v>10960.76</v>
      </c>
      <c r="T346" s="12" t="inlineStr">
        <is>
          <t>Pending</t>
        </is>
      </c>
      <c r="U346" s="12" t="inlineStr">
        <is>
          <t>Returned</t>
        </is>
      </c>
      <c r="V346">
        <f>IF(OR(P346="",P346&lt;0,P346&gt;0.5),0,P346)</f>
        <v/>
      </c>
      <c r="W346">
        <f>N346*O346*(1-V346)</f>
        <v/>
      </c>
      <c r="X346">
        <f>W346-R346</f>
        <v/>
      </c>
      <c r="Y346">
        <f>IF(W346=0,0,X346/W346)</f>
        <v/>
      </c>
      <c r="Z346">
        <f>C346-B346</f>
        <v/>
      </c>
      <c r="AA346">
        <f>TEXT(B346,"mmmm")</f>
        <v/>
      </c>
      <c r="AB346">
        <f>YEAR(B346)</f>
        <v/>
      </c>
      <c r="AC346">
        <f>IF(OR(P346&lt;0,P346&gt;0.5,C346&lt;B346),"INVALID","CLEAN")</f>
        <v/>
      </c>
    </row>
    <row r="347">
      <c r="A347" s="12" t="inlineStr">
        <is>
          <t>ORD-2024-10346</t>
        </is>
      </c>
      <c r="B347" s="12" t="inlineStr">
        <is>
          <t>2024-09-14</t>
        </is>
      </c>
      <c r="C347" s="12" t="inlineStr">
        <is>
          <t>2024-09-22</t>
        </is>
      </c>
      <c r="D347" s="12" t="inlineStr">
        <is>
          <t>CUST-4634</t>
        </is>
      </c>
      <c r="E347" s="12" t="inlineStr">
        <is>
          <t>Karan Malhotra</t>
        </is>
      </c>
      <c r="F347" s="12" t="inlineStr">
        <is>
          <t>Consumer</t>
        </is>
      </c>
      <c r="G347" s="12" t="inlineStr">
        <is>
          <t>West</t>
        </is>
      </c>
      <c r="H347" s="12" t="inlineStr">
        <is>
          <t>Madhya Pradesh</t>
        </is>
      </c>
      <c r="I347" s="12" t="inlineStr">
        <is>
          <t>Indore</t>
        </is>
      </c>
      <c r="J347" s="12" t="inlineStr">
        <is>
          <t>Furniture</t>
        </is>
      </c>
      <c r="K347" s="12" t="inlineStr">
        <is>
          <t>Furnishings</t>
        </is>
      </c>
      <c r="L347" s="12" t="inlineStr">
        <is>
          <t>Elite Furnishings 138</t>
        </is>
      </c>
      <c r="M347" s="12" t="inlineStr">
        <is>
          <t>Second Class</t>
        </is>
      </c>
      <c r="N347" s="12" t="n">
        <v>2</v>
      </c>
      <c r="O347" s="12" t="n">
        <v>2765.3</v>
      </c>
      <c r="P347" s="12" t="n">
        <v>0</v>
      </c>
      <c r="Q347" s="12" t="n">
        <v>5530.6</v>
      </c>
      <c r="R347" s="12" t="n">
        <v>4453.11</v>
      </c>
      <c r="S347" s="12" t="n">
        <v>1077.49</v>
      </c>
      <c r="T347" s="12" t="inlineStr">
        <is>
          <t>Paid</t>
        </is>
      </c>
      <c r="U347" s="12" t="inlineStr">
        <is>
          <t>Completed</t>
        </is>
      </c>
      <c r="V347">
        <f>IF(OR(P347="",P347&lt;0,P347&gt;0.5),0,P347)</f>
        <v/>
      </c>
      <c r="W347">
        <f>N347*O347*(1-V347)</f>
        <v/>
      </c>
      <c r="X347">
        <f>W347-R347</f>
        <v/>
      </c>
      <c r="Y347">
        <f>IF(W347=0,0,X347/W347)</f>
        <v/>
      </c>
      <c r="Z347">
        <f>C347-B347</f>
        <v/>
      </c>
      <c r="AA347">
        <f>TEXT(B347,"mmmm")</f>
        <v/>
      </c>
      <c r="AB347">
        <f>YEAR(B347)</f>
        <v/>
      </c>
      <c r="AC347">
        <f>IF(OR(P347&lt;0,P347&gt;0.5,C347&lt;B347),"INVALID","CLEAN")</f>
        <v/>
      </c>
    </row>
    <row r="348">
      <c r="A348" s="12" t="inlineStr">
        <is>
          <t>ORD-2025-10347</t>
        </is>
      </c>
      <c r="B348" s="12" t="inlineStr">
        <is>
          <t>2025-07-22</t>
        </is>
      </c>
      <c r="C348" s="12" t="inlineStr">
        <is>
          <t>28-07-2025</t>
        </is>
      </c>
      <c r="D348" s="12" t="inlineStr">
        <is>
          <t>CUST-3400</t>
        </is>
      </c>
      <c r="E348" s="12" t="inlineStr">
        <is>
          <t>Rahul Verma</t>
        </is>
      </c>
      <c r="F348" s="12" t="inlineStr">
        <is>
          <t>Corporate</t>
        </is>
      </c>
      <c r="G348" s="12" t="inlineStr">
        <is>
          <t>South</t>
        </is>
      </c>
      <c r="H348" s="12" t="inlineStr">
        <is>
          <t>Kerala</t>
        </is>
      </c>
      <c r="I348" s="12" t="inlineStr">
        <is>
          <t>Kochi</t>
        </is>
      </c>
      <c r="J348" s="12" t="inlineStr">
        <is>
          <t>Furniture</t>
        </is>
      </c>
      <c r="K348" s="12" t="inlineStr">
        <is>
          <t>Chairs</t>
        </is>
      </c>
      <c r="L348" s="12" t="inlineStr">
        <is>
          <t>Eco Chairs 369</t>
        </is>
      </c>
      <c r="M348" s="12" t="inlineStr">
        <is>
          <t>Second Class</t>
        </is>
      </c>
      <c r="N348" s="12" t="n">
        <v>6</v>
      </c>
      <c r="O348" s="12" t="n">
        <v>1607.46</v>
      </c>
      <c r="P348" s="12" t="n">
        <v>0.2</v>
      </c>
      <c r="Q348" s="12" t="n">
        <v>7715.81</v>
      </c>
      <c r="R348" s="12" t="n">
        <v>4258.42</v>
      </c>
      <c r="S348" s="12" t="n">
        <v>3457.39</v>
      </c>
      <c r="T348" s="12" t="inlineStr">
        <is>
          <t>Paid</t>
        </is>
      </c>
      <c r="U348" s="12" t="inlineStr">
        <is>
          <t>Completed</t>
        </is>
      </c>
      <c r="V348">
        <f>IF(OR(P348="",P348&lt;0,P348&gt;0.5),0,P348)</f>
        <v/>
      </c>
      <c r="W348">
        <f>N348*O348*(1-V348)</f>
        <v/>
      </c>
      <c r="X348">
        <f>W348-R348</f>
        <v/>
      </c>
      <c r="Y348">
        <f>IF(W348=0,0,X348/W348)</f>
        <v/>
      </c>
      <c r="Z348">
        <f>C348-B348</f>
        <v/>
      </c>
      <c r="AA348">
        <f>TEXT(B348,"mmmm")</f>
        <v/>
      </c>
      <c r="AB348">
        <f>YEAR(B348)</f>
        <v/>
      </c>
      <c r="AC348">
        <f>IF(OR(P348&lt;0,P348&gt;0.5,C348&lt;B348),"INVALID","CLEAN")</f>
        <v/>
      </c>
    </row>
    <row r="349">
      <c r="A349" s="12" t="inlineStr">
        <is>
          <t>ORD-2024-10348</t>
        </is>
      </c>
      <c r="B349" s="12" t="inlineStr">
        <is>
          <t>01-12-2024</t>
        </is>
      </c>
      <c r="C349" s="12" t="inlineStr">
        <is>
          <t>12/08/2024</t>
        </is>
      </c>
      <c r="D349" s="12" t="inlineStr">
        <is>
          <t>CUST-1172</t>
        </is>
      </c>
      <c r="E349" s="12" t="inlineStr">
        <is>
          <t>Aarav Sharma</t>
        </is>
      </c>
      <c r="F349" s="12" t="inlineStr">
        <is>
          <t>Small Business</t>
        </is>
      </c>
      <c r="G349" s="12" t="inlineStr">
        <is>
          <t>West</t>
        </is>
      </c>
      <c r="H349" s="12" t="inlineStr">
        <is>
          <t>Goa</t>
        </is>
      </c>
      <c r="I349" s="12" t="inlineStr">
        <is>
          <t>Panaji</t>
        </is>
      </c>
      <c r="J349" s="12" t="inlineStr">
        <is>
          <t>Furniture</t>
        </is>
      </c>
      <c r="K349" s="12" t="inlineStr">
        <is>
          <t>Chairs</t>
        </is>
      </c>
      <c r="L349" s="12" t="inlineStr">
        <is>
          <t>Max Chairs 487</t>
        </is>
      </c>
      <c r="M349" s="12" t="inlineStr">
        <is>
          <t>Second Class</t>
        </is>
      </c>
      <c r="N349" s="12" t="n">
        <v>5</v>
      </c>
      <c r="O349" s="12" t="n">
        <v>2981.49</v>
      </c>
      <c r="P349" s="12" t="n">
        <v>0.2</v>
      </c>
      <c r="Q349" s="12" t="n">
        <v>11925.96</v>
      </c>
      <c r="R349" s="12" t="n">
        <v>10103.51</v>
      </c>
      <c r="S349" s="12" t="n">
        <v>1822.45</v>
      </c>
      <c r="T349" s="12" t="inlineStr">
        <is>
          <t>Refunded</t>
        </is>
      </c>
      <c r="U349" s="12" t="inlineStr">
        <is>
          <t>Returned</t>
        </is>
      </c>
      <c r="V349">
        <f>IF(OR(P349="",P349&lt;0,P349&gt;0.5),0,P349)</f>
        <v/>
      </c>
      <c r="W349">
        <f>N349*O349*(1-V349)</f>
        <v/>
      </c>
      <c r="X349">
        <f>W349-R349</f>
        <v/>
      </c>
      <c r="Y349">
        <f>IF(W349=0,0,X349/W349)</f>
        <v/>
      </c>
      <c r="Z349">
        <f>C349-B349</f>
        <v/>
      </c>
      <c r="AA349">
        <f>TEXT(B349,"mmmm")</f>
        <v/>
      </c>
      <c r="AB349">
        <f>YEAR(B349)</f>
        <v/>
      </c>
      <c r="AC349">
        <f>IF(OR(P349&lt;0,P349&gt;0.5,C349&lt;B349),"INVALID","CLEAN")</f>
        <v/>
      </c>
    </row>
    <row r="350">
      <c r="A350" s="12" t="inlineStr">
        <is>
          <t>ORD-2024-10349</t>
        </is>
      </c>
      <c r="B350" s="12" t="inlineStr">
        <is>
          <t>06/02/2024</t>
        </is>
      </c>
      <c r="C350" s="12" t="inlineStr">
        <is>
          <t>06/07/2024</t>
        </is>
      </c>
      <c r="D350" s="12" t="inlineStr">
        <is>
          <t>CUST-9517</t>
        </is>
      </c>
      <c r="E350" s="12" t="inlineStr">
        <is>
          <t>Aarav Sharma</t>
        </is>
      </c>
      <c r="F350" s="12" t="inlineStr">
        <is>
          <t>Corporate</t>
        </is>
      </c>
      <c r="G350" s="12" t="inlineStr">
        <is>
          <t>South</t>
        </is>
      </c>
      <c r="H350" s="12" t="inlineStr">
        <is>
          <t>Karnataka</t>
        </is>
      </c>
      <c r="I350" s="12" t="inlineStr">
        <is>
          <t>Bengaluru</t>
        </is>
      </c>
      <c r="J350" s="12" t="inlineStr">
        <is>
          <t>Technology</t>
        </is>
      </c>
      <c r="K350" s="12" t="inlineStr">
        <is>
          <t>Phones</t>
        </is>
      </c>
      <c r="L350" s="12" t="inlineStr">
        <is>
          <t>Classic Phones 989</t>
        </is>
      </c>
      <c r="M350" s="12" t="inlineStr">
        <is>
          <t>Same Day</t>
        </is>
      </c>
      <c r="N350" s="12" t="n">
        <v>9</v>
      </c>
      <c r="O350" s="12" t="n">
        <v>2860.26</v>
      </c>
      <c r="P350" s="12" t="n">
        <v>0.25</v>
      </c>
      <c r="Q350" s="12" t="n">
        <v>19306.76</v>
      </c>
      <c r="R350" s="12" t="n">
        <v>14442.38</v>
      </c>
      <c r="S350" s="12" t="n">
        <v>4864.38</v>
      </c>
      <c r="T350" s="12" t="inlineStr">
        <is>
          <t>Paid</t>
        </is>
      </c>
      <c r="U350" s="12" t="inlineStr">
        <is>
          <t>Completed</t>
        </is>
      </c>
      <c r="V350">
        <f>IF(OR(P350="",P350&lt;0,P350&gt;0.5),0,P350)</f>
        <v/>
      </c>
      <c r="W350">
        <f>N350*O350*(1-V350)</f>
        <v/>
      </c>
      <c r="X350">
        <f>W350-R350</f>
        <v/>
      </c>
      <c r="Y350">
        <f>IF(W350=0,0,X350/W350)</f>
        <v/>
      </c>
      <c r="Z350">
        <f>C350-B350</f>
        <v/>
      </c>
      <c r="AA350">
        <f>TEXT(B350,"mmmm")</f>
        <v/>
      </c>
      <c r="AB350">
        <f>YEAR(B350)</f>
        <v/>
      </c>
      <c r="AC350">
        <f>IF(OR(P350&lt;0,P350&gt;0.5,C350&lt;B350),"INVALID","CLEAN")</f>
        <v/>
      </c>
    </row>
    <row r="351">
      <c r="A351" s="12" t="inlineStr">
        <is>
          <t>ORD-2025-10350</t>
        </is>
      </c>
      <c r="B351" s="12" t="inlineStr">
        <is>
          <t>27-09-2025</t>
        </is>
      </c>
      <c r="C351" s="12" t="inlineStr">
        <is>
          <t>09/29/2025</t>
        </is>
      </c>
      <c r="D351" s="12" t="inlineStr">
        <is>
          <t>CUST-6697</t>
        </is>
      </c>
      <c r="E351" s="12" t="inlineStr">
        <is>
          <t>Kabir Singh</t>
        </is>
      </c>
      <c r="F351" s="12" t="inlineStr">
        <is>
          <t>Home Office</t>
        </is>
      </c>
      <c r="G351" s="12" t="inlineStr">
        <is>
          <t>East</t>
        </is>
      </c>
      <c r="H351" s="12" t="inlineStr">
        <is>
          <t>Jharkhand</t>
        </is>
      </c>
      <c r="I351" s="12" t="inlineStr">
        <is>
          <t>Ranchi</t>
        </is>
      </c>
      <c r="J351" s="12" t="inlineStr">
        <is>
          <t>Furniture</t>
        </is>
      </c>
      <c r="K351" s="12" t="inlineStr">
        <is>
          <t>Furnishings</t>
        </is>
      </c>
      <c r="L351" s="12" t="inlineStr">
        <is>
          <t>Max Furnishings 628</t>
        </is>
      </c>
      <c r="M351" s="12" t="inlineStr">
        <is>
          <t>Second Class</t>
        </is>
      </c>
      <c r="N351" s="12" t="n">
        <v>9</v>
      </c>
      <c r="O351" s="12" t="n">
        <v>2867.55</v>
      </c>
      <c r="P351" s="12" t="n">
        <v>0.25</v>
      </c>
      <c r="Q351" s="12" t="n">
        <v>19355.96</v>
      </c>
      <c r="R351" s="12" t="n">
        <v>15012.45</v>
      </c>
      <c r="S351" s="12" t="n">
        <v>4017.4</v>
      </c>
      <c r="T351" s="12" t="inlineStr">
        <is>
          <t>Paid</t>
        </is>
      </c>
      <c r="U351" s="12" t="inlineStr">
        <is>
          <t>Completed</t>
        </is>
      </c>
      <c r="V351">
        <f>IF(OR(P351="",P351&lt;0,P351&gt;0.5),0,P351)</f>
        <v/>
      </c>
      <c r="W351">
        <f>N351*O351*(1-V351)</f>
        <v/>
      </c>
      <c r="X351">
        <f>W351-R351</f>
        <v/>
      </c>
      <c r="Y351">
        <f>IF(W351=0,0,X351/W351)</f>
        <v/>
      </c>
      <c r="Z351">
        <f>C351-B351</f>
        <v/>
      </c>
      <c r="AA351">
        <f>TEXT(B351,"mmmm")</f>
        <v/>
      </c>
      <c r="AB351">
        <f>YEAR(B351)</f>
        <v/>
      </c>
      <c r="AC351">
        <f>IF(OR(P351&lt;0,P351&gt;0.5,C351&lt;B351),"INVALID","CLEAN")</f>
        <v/>
      </c>
    </row>
    <row r="352">
      <c r="A352" s="12" t="inlineStr">
        <is>
          <t>ORD-2024-10351</t>
        </is>
      </c>
      <c r="B352" s="12" t="inlineStr">
        <is>
          <t>07-01-2024</t>
        </is>
      </c>
      <c r="C352" s="12" t="inlineStr">
        <is>
          <t>14 Jan 2024</t>
        </is>
      </c>
      <c r="D352" s="12" t="inlineStr">
        <is>
          <t>CUST-7644</t>
        </is>
      </c>
      <c r="E352" s="12" t="inlineStr">
        <is>
          <t>Sneha Kapoor</t>
        </is>
      </c>
      <c r="F352" s="12" t="inlineStr">
        <is>
          <t>Small Business</t>
        </is>
      </c>
      <c r="G352" s="12" t="inlineStr">
        <is>
          <t>East</t>
        </is>
      </c>
      <c r="H352" s="12" t="inlineStr">
        <is>
          <t>Jharkhand</t>
        </is>
      </c>
      <c r="I352" s="12" t="inlineStr">
        <is>
          <t>Ranchi</t>
        </is>
      </c>
      <c r="J352" s="12" t="inlineStr">
        <is>
          <t>Furniture</t>
        </is>
      </c>
      <c r="K352" s="12" t="inlineStr">
        <is>
          <t>Furnishings</t>
        </is>
      </c>
      <c r="L352" s="12" t="inlineStr">
        <is>
          <t>Elite Furnishings 279</t>
        </is>
      </c>
      <c r="M352" s="12" t="inlineStr">
        <is>
          <t>Second Class</t>
        </is>
      </c>
      <c r="N352" s="12" t="n">
        <v>4</v>
      </c>
      <c r="O352" s="12" t="n">
        <v>3309.54</v>
      </c>
      <c r="P352" s="12" t="n">
        <v>0.1</v>
      </c>
      <c r="Q352" s="12" t="n">
        <v>11914.34</v>
      </c>
      <c r="R352" s="12" t="n">
        <v>9771.24</v>
      </c>
      <c r="S352" s="12" t="n">
        <v>2143.1</v>
      </c>
      <c r="T352" s="12" t="inlineStr">
        <is>
          <t>Refunded</t>
        </is>
      </c>
      <c r="U352" s="12" t="inlineStr">
        <is>
          <t>Returned</t>
        </is>
      </c>
      <c r="V352">
        <f>IF(OR(P352="",P352&lt;0,P352&gt;0.5),0,P352)</f>
        <v/>
      </c>
      <c r="W352">
        <f>N352*O352*(1-V352)</f>
        <v/>
      </c>
      <c r="X352">
        <f>W352-R352</f>
        <v/>
      </c>
      <c r="Y352">
        <f>IF(W352=0,0,X352/W352)</f>
        <v/>
      </c>
      <c r="Z352">
        <f>C352-B352</f>
        <v/>
      </c>
      <c r="AA352">
        <f>TEXT(B352,"mmmm")</f>
        <v/>
      </c>
      <c r="AB352">
        <f>YEAR(B352)</f>
        <v/>
      </c>
      <c r="AC352">
        <f>IF(OR(P352&lt;0,P352&gt;0.5,C352&lt;B352),"INVALID","CLEAN")</f>
        <v/>
      </c>
    </row>
    <row r="353">
      <c r="A353" s="12" t="inlineStr">
        <is>
          <t>ORD-2025-10352</t>
        </is>
      </c>
      <c r="B353" s="12" t="inlineStr">
        <is>
          <t>23-05-2025</t>
        </is>
      </c>
      <c r="C353" s="12" t="inlineStr">
        <is>
          <t>27 May 2025</t>
        </is>
      </c>
      <c r="D353" s="12" t="inlineStr">
        <is>
          <t>CUST-9963</t>
        </is>
      </c>
      <c r="E353" s="12" t="inlineStr">
        <is>
          <t>Vikram Iyer</t>
        </is>
      </c>
      <c r="F353" s="12" t="inlineStr">
        <is>
          <t>Small Business</t>
        </is>
      </c>
      <c r="G353" s="12" t="inlineStr">
        <is>
          <t>South</t>
        </is>
      </c>
      <c r="H353" s="12" t="inlineStr">
        <is>
          <t>Telangana</t>
        </is>
      </c>
      <c r="I353" s="12" t="inlineStr">
        <is>
          <t>Hyderabad</t>
        </is>
      </c>
      <c r="J353" s="12" t="inlineStr">
        <is>
          <t>Office Supplies</t>
        </is>
      </c>
      <c r="K353" s="12" t="inlineStr">
        <is>
          <t>Storage</t>
        </is>
      </c>
      <c r="L353" s="12" t="inlineStr">
        <is>
          <t>Pro Storage 847</t>
        </is>
      </c>
      <c r="M353" s="12" t="inlineStr">
        <is>
          <t>First Class</t>
        </is>
      </c>
      <c r="N353" s="12" t="n">
        <v>6</v>
      </c>
      <c r="O353" s="12" t="n">
        <v>719.4400000000001</v>
      </c>
      <c r="P353" s="12" t="n">
        <v>0.25</v>
      </c>
      <c r="Q353" s="12" t="n">
        <v>3237.48</v>
      </c>
      <c r="R353" s="12" t="n">
        <v>2118.34</v>
      </c>
      <c r="S353" s="12" t="n">
        <v>1119.14</v>
      </c>
      <c r="T353" s="12" t="inlineStr">
        <is>
          <t>Pending</t>
        </is>
      </c>
      <c r="U353" s="12" t="inlineStr">
        <is>
          <t>Cancelled</t>
        </is>
      </c>
      <c r="V353">
        <f>IF(OR(P353="",P353&lt;0,P353&gt;0.5),0,P353)</f>
        <v/>
      </c>
      <c r="W353">
        <f>N353*O353*(1-V353)</f>
        <v/>
      </c>
      <c r="X353">
        <f>W353-R353</f>
        <v/>
      </c>
      <c r="Y353">
        <f>IF(W353=0,0,X353/W353)</f>
        <v/>
      </c>
      <c r="Z353">
        <f>C353-B353</f>
        <v/>
      </c>
      <c r="AA353">
        <f>TEXT(B353,"mmmm")</f>
        <v/>
      </c>
      <c r="AB353">
        <f>YEAR(B353)</f>
        <v/>
      </c>
      <c r="AC353">
        <f>IF(OR(P353&lt;0,P353&gt;0.5,C353&lt;B353),"INVALID","CLEAN")</f>
        <v/>
      </c>
    </row>
    <row r="354">
      <c r="A354" s="12" t="inlineStr">
        <is>
          <t>ORD-2025-10353</t>
        </is>
      </c>
      <c r="B354" s="12" t="inlineStr">
        <is>
          <t>15 Aug 2025</t>
        </is>
      </c>
      <c r="C354" s="12" t="inlineStr">
        <is>
          <t>08/17/2025</t>
        </is>
      </c>
      <c r="D354" s="12" t="inlineStr">
        <is>
          <t>CUST-6382</t>
        </is>
      </c>
      <c r="E354" s="12" t="inlineStr">
        <is>
          <t>Diya Patel</t>
        </is>
      </c>
      <c r="F354" s="12" t="inlineStr">
        <is>
          <t>Small Business</t>
        </is>
      </c>
      <c r="G354" s="12" t="inlineStr">
        <is>
          <t>East</t>
        </is>
      </c>
      <c r="H354" s="12" t="inlineStr">
        <is>
          <t>Assam</t>
        </is>
      </c>
      <c r="I354" s="12" t="inlineStr">
        <is>
          <t>Guwahati</t>
        </is>
      </c>
      <c r="J354" s="12" t="inlineStr">
        <is>
          <t>Technology</t>
        </is>
      </c>
      <c r="K354" s="12" t="inlineStr">
        <is>
          <t>Copiers</t>
        </is>
      </c>
      <c r="L354" s="12" t="inlineStr">
        <is>
          <t>Elite Copiers 706</t>
        </is>
      </c>
      <c r="M354" s="12" t="inlineStr">
        <is>
          <t>First Class</t>
        </is>
      </c>
      <c r="N354" s="12" t="n">
        <v>5</v>
      </c>
      <c r="O354" s="12" t="n">
        <v>2862.6</v>
      </c>
      <c r="P354" s="12" t="n">
        <v>0.25</v>
      </c>
      <c r="Q354" s="12" t="n">
        <v>10734.75</v>
      </c>
      <c r="R354" s="12" t="n">
        <v>6475.73</v>
      </c>
      <c r="S354" s="12" t="n">
        <v>4259.02</v>
      </c>
      <c r="T354" s="12" t="inlineStr">
        <is>
          <t>Paid</t>
        </is>
      </c>
      <c r="U354" s="12" t="inlineStr">
        <is>
          <t>Completed</t>
        </is>
      </c>
      <c r="V354">
        <f>IF(OR(P354="",P354&lt;0,P354&gt;0.5),0,P354)</f>
        <v/>
      </c>
      <c r="W354">
        <f>N354*O354*(1-V354)</f>
        <v/>
      </c>
      <c r="X354">
        <f>W354-R354</f>
        <v/>
      </c>
      <c r="Y354">
        <f>IF(W354=0,0,X354/W354)</f>
        <v/>
      </c>
      <c r="Z354">
        <f>C354-B354</f>
        <v/>
      </c>
      <c r="AA354">
        <f>TEXT(B354,"mmmm")</f>
        <v/>
      </c>
      <c r="AB354">
        <f>YEAR(B354)</f>
        <v/>
      </c>
      <c r="AC354">
        <f>IF(OR(P354&lt;0,P354&gt;0.5,C354&lt;B354),"INVALID","CLEAN")</f>
        <v/>
      </c>
    </row>
    <row r="355">
      <c r="A355" s="12" t="inlineStr">
        <is>
          <t>ORD-2025-10354</t>
        </is>
      </c>
      <c r="B355" s="12" t="inlineStr">
        <is>
          <t>21-02-2025</t>
        </is>
      </c>
      <c r="C355" s="12" t="inlineStr">
        <is>
          <t>27-02-2025</t>
        </is>
      </c>
      <c r="D355" s="12" t="inlineStr">
        <is>
          <t>CUST-3253</t>
        </is>
      </c>
      <c r="E355" s="12" t="inlineStr">
        <is>
          <t>Ananya Rao</t>
        </is>
      </c>
      <c r="F355" s="12" t="inlineStr">
        <is>
          <t>Consumer</t>
        </is>
      </c>
      <c r="G355" s="12" t="inlineStr">
        <is>
          <t>North</t>
        </is>
      </c>
      <c r="H355" s="12" t="inlineStr">
        <is>
          <t>Rajasthan</t>
        </is>
      </c>
      <c r="I355" s="12" t="inlineStr">
        <is>
          <t>Jaipur</t>
        </is>
      </c>
      <c r="J355" s="12" t="inlineStr">
        <is>
          <t>Office Supplies</t>
        </is>
      </c>
      <c r="K355" s="12" t="inlineStr">
        <is>
          <t>Art</t>
        </is>
      </c>
      <c r="L355" s="12" t="inlineStr">
        <is>
          <t>Prime Art 978</t>
        </is>
      </c>
      <c r="M355" s="12" t="inlineStr">
        <is>
          <t>Same Day</t>
        </is>
      </c>
      <c r="N355" s="12" t="n">
        <v>9</v>
      </c>
      <c r="O355" s="12" t="n">
        <v>1431.67</v>
      </c>
      <c r="P355" s="12" t="n">
        <v>0.2</v>
      </c>
      <c r="Q355" s="12" t="n">
        <v>10308.02</v>
      </c>
      <c r="R355" s="12" t="n">
        <v>5822.31</v>
      </c>
      <c r="S355" s="12" t="n">
        <v>4485.71</v>
      </c>
      <c r="T355" s="12" t="inlineStr">
        <is>
          <t>Paid</t>
        </is>
      </c>
      <c r="U355" s="12" t="inlineStr">
        <is>
          <t>Completed</t>
        </is>
      </c>
      <c r="V355">
        <f>IF(OR(P355="",P355&lt;0,P355&gt;0.5),0,P355)</f>
        <v/>
      </c>
      <c r="W355">
        <f>N355*O355*(1-V355)</f>
        <v/>
      </c>
      <c r="X355">
        <f>W355-R355</f>
        <v/>
      </c>
      <c r="Y355">
        <f>IF(W355=0,0,X355/W355)</f>
        <v/>
      </c>
      <c r="Z355">
        <f>C355-B355</f>
        <v/>
      </c>
      <c r="AA355">
        <f>TEXT(B355,"mmmm")</f>
        <v/>
      </c>
      <c r="AB355">
        <f>YEAR(B355)</f>
        <v/>
      </c>
      <c r="AC355">
        <f>IF(OR(P355&lt;0,P355&gt;0.5,C355&lt;B355),"INVALID","CLEAN")</f>
        <v/>
      </c>
    </row>
    <row r="356">
      <c r="A356" s="12" t="inlineStr">
        <is>
          <t>ORD-2024-10355</t>
        </is>
      </c>
      <c r="B356" s="12" t="inlineStr">
        <is>
          <t>27 Dec 2024</t>
        </is>
      </c>
      <c r="C356" s="12" t="inlineStr">
        <is>
          <t>2024-12-31</t>
        </is>
      </c>
      <c r="D356" s="12" t="inlineStr">
        <is>
          <t>CUST-1058</t>
        </is>
      </c>
      <c r="E356" s="12" t="inlineStr">
        <is>
          <t>Kabir Singh</t>
        </is>
      </c>
      <c r="F356" s="12" t="inlineStr">
        <is>
          <t>corporate</t>
        </is>
      </c>
      <c r="G356" s="12" t="inlineStr">
        <is>
          <t>North</t>
        </is>
      </c>
      <c r="H356" s="12" t="inlineStr">
        <is>
          <t>Punjab</t>
        </is>
      </c>
      <c r="I356" s="12" t="inlineStr">
        <is>
          <t>Ludhiana</t>
        </is>
      </c>
      <c r="J356" s="12" t="inlineStr">
        <is>
          <t>Furniture</t>
        </is>
      </c>
      <c r="K356" s="12" t="inlineStr">
        <is>
          <t>Furnishings</t>
        </is>
      </c>
      <c r="L356" s="12" t="inlineStr">
        <is>
          <t>Classic Furnishings 498</t>
        </is>
      </c>
      <c r="M356" s="12" t="inlineStr">
        <is>
          <t>Standard Class</t>
        </is>
      </c>
      <c r="N356" s="12" t="n">
        <v>6</v>
      </c>
      <c r="O356" s="12" t="n">
        <v>3346.78</v>
      </c>
      <c r="P356" s="12" t="n">
        <v>-0.06</v>
      </c>
      <c r="Q356" s="12" t="n">
        <v>20080.68</v>
      </c>
      <c r="R356" s="12" t="n">
        <v>12908.84</v>
      </c>
      <c r="S356" s="12" t="n">
        <v>7171.84</v>
      </c>
      <c r="T356" s="12" t="inlineStr">
        <is>
          <t>Pending</t>
        </is>
      </c>
      <c r="U356" s="12" t="inlineStr">
        <is>
          <t>Cancelled</t>
        </is>
      </c>
      <c r="V356">
        <f>IF(OR(P356="",P356&lt;0,P356&gt;0.5),0,P356)</f>
        <v/>
      </c>
      <c r="W356">
        <f>N356*O356*(1-V356)</f>
        <v/>
      </c>
      <c r="X356">
        <f>W356-R356</f>
        <v/>
      </c>
      <c r="Y356">
        <f>IF(W356=0,0,X356/W356)</f>
        <v/>
      </c>
      <c r="Z356">
        <f>C356-B356</f>
        <v/>
      </c>
      <c r="AA356">
        <f>TEXT(B356,"mmmm")</f>
        <v/>
      </c>
      <c r="AB356">
        <f>YEAR(B356)</f>
        <v/>
      </c>
      <c r="AC356">
        <f>IF(OR(P356&lt;0,P356&gt;0.5,C356&lt;B356),"INVALID","CLEAN")</f>
        <v/>
      </c>
    </row>
    <row r="357">
      <c r="A357" s="12" t="inlineStr">
        <is>
          <t>ORD-2024-10356</t>
        </is>
      </c>
      <c r="B357" s="12" t="inlineStr">
        <is>
          <t>12-05-2024</t>
        </is>
      </c>
      <c r="C357" s="12" t="inlineStr">
        <is>
          <t>2024-05-09</t>
        </is>
      </c>
      <c r="D357" s="12" t="inlineStr">
        <is>
          <t>CUST-6414</t>
        </is>
      </c>
      <c r="E357" s="12" t="inlineStr">
        <is>
          <t>Priya Menon</t>
        </is>
      </c>
      <c r="F357" s="12" t="inlineStr">
        <is>
          <t>Corporate</t>
        </is>
      </c>
      <c r="G357" s="12" t="inlineStr">
        <is>
          <t>West</t>
        </is>
      </c>
      <c r="H357" s="12" t="inlineStr">
        <is>
          <t>Rajasthan</t>
        </is>
      </c>
      <c r="I357" s="12" t="inlineStr">
        <is>
          <t>Udaipur</t>
        </is>
      </c>
      <c r="J357" s="12" t="inlineStr">
        <is>
          <t>Furniture</t>
        </is>
      </c>
      <c r="K357" s="12" t="inlineStr">
        <is>
          <t>Tables</t>
        </is>
      </c>
      <c r="L357" s="12" t="inlineStr">
        <is>
          <t>Max Tables 829</t>
        </is>
      </c>
      <c r="M357" s="12" t="inlineStr">
        <is>
          <t>Standard Class</t>
        </is>
      </c>
      <c r="N357" s="12" t="n">
        <v>5</v>
      </c>
      <c r="O357" s="12" t="n">
        <v>3203.48</v>
      </c>
      <c r="P357" s="12" t="n">
        <v>0</v>
      </c>
      <c r="Q357" s="12" t="n">
        <v>16017.4</v>
      </c>
      <c r="R357" s="12" t="n">
        <v>9557.799999999999</v>
      </c>
      <c r="S357" s="12" t="n">
        <v>6459.6</v>
      </c>
      <c r="T357" s="12" t="inlineStr">
        <is>
          <t>Pending</t>
        </is>
      </c>
      <c r="U357" s="12" t="inlineStr">
        <is>
          <t>Cancelled</t>
        </is>
      </c>
      <c r="V357">
        <f>IF(OR(P357="",P357&lt;0,P357&gt;0.5),0,P357)</f>
        <v/>
      </c>
      <c r="W357">
        <f>N357*O357*(1-V357)</f>
        <v/>
      </c>
      <c r="X357">
        <f>W357-R357</f>
        <v/>
      </c>
      <c r="Y357">
        <f>IF(W357=0,0,X357/W357)</f>
        <v/>
      </c>
      <c r="Z357">
        <f>C357-B357</f>
        <v/>
      </c>
      <c r="AA357">
        <f>TEXT(B357,"mmmm")</f>
        <v/>
      </c>
      <c r="AB357">
        <f>YEAR(B357)</f>
        <v/>
      </c>
      <c r="AC357">
        <f>IF(OR(P357&lt;0,P357&gt;0.5,C357&lt;B357),"INVALID","CLEAN")</f>
        <v/>
      </c>
    </row>
    <row r="358">
      <c r="A358" s="12" t="inlineStr">
        <is>
          <t>ORD-2025-10357</t>
        </is>
      </c>
      <c r="B358" s="12" t="inlineStr">
        <is>
          <t>27 Jun 2025</t>
        </is>
      </c>
      <c r="C358" s="12" t="inlineStr">
        <is>
          <t>29 Jun 2025</t>
        </is>
      </c>
      <c r="D358" s="12" t="inlineStr">
        <is>
          <t>CUST-9268</t>
        </is>
      </c>
      <c r="E358" s="12" t="inlineStr">
        <is>
          <t>Rohan Mehta</t>
        </is>
      </c>
      <c r="F358" s="12" t="inlineStr">
        <is>
          <t>Home Office</t>
        </is>
      </c>
      <c r="G358" s="12" t="inlineStr">
        <is>
          <t>South</t>
        </is>
      </c>
      <c r="H358" s="12" t="inlineStr">
        <is>
          <t>Telangana</t>
        </is>
      </c>
      <c r="I358" s="12" t="inlineStr">
        <is>
          <t>Hyderabad</t>
        </is>
      </c>
      <c r="J358" s="12" t="inlineStr">
        <is>
          <t>Furniture</t>
        </is>
      </c>
      <c r="K358" s="12" t="inlineStr">
        <is>
          <t>Chairs</t>
        </is>
      </c>
      <c r="L358" s="12" t="inlineStr">
        <is>
          <t>Eco Chairs 346</t>
        </is>
      </c>
      <c r="M358" s="12" t="inlineStr">
        <is>
          <t>First Class</t>
        </is>
      </c>
      <c r="N358" s="12" t="n">
        <v>5</v>
      </c>
      <c r="O358" s="12" t="n">
        <v>621.7</v>
      </c>
      <c r="P358" s="12" t="n">
        <v>0.2</v>
      </c>
      <c r="Q358" s="12" t="n">
        <v>2486.8</v>
      </c>
      <c r="R358" s="12" t="n">
        <v>2131.73</v>
      </c>
      <c r="S358" s="12" t="n">
        <v>355.07</v>
      </c>
      <c r="T358" s="12" t="inlineStr">
        <is>
          <t>Pending</t>
        </is>
      </c>
      <c r="U358" s="12" t="inlineStr">
        <is>
          <t>Returned</t>
        </is>
      </c>
      <c r="V358">
        <f>IF(OR(P358="",P358&lt;0,P358&gt;0.5),0,P358)</f>
        <v/>
      </c>
      <c r="W358">
        <f>N358*O358*(1-V358)</f>
        <v/>
      </c>
      <c r="X358">
        <f>W358-R358</f>
        <v/>
      </c>
      <c r="Y358">
        <f>IF(W358=0,0,X358/W358)</f>
        <v/>
      </c>
      <c r="Z358">
        <f>C358-B358</f>
        <v/>
      </c>
      <c r="AA358">
        <f>TEXT(B358,"mmmm")</f>
        <v/>
      </c>
      <c r="AB358">
        <f>YEAR(B358)</f>
        <v/>
      </c>
      <c r="AC358">
        <f>IF(OR(P358&lt;0,P358&gt;0.5,C358&lt;B358),"INVALID","CLEAN")</f>
        <v/>
      </c>
    </row>
    <row r="359">
      <c r="A359" s="12" t="inlineStr">
        <is>
          <t>ORD-2025-10358</t>
        </is>
      </c>
      <c r="B359" s="12" t="inlineStr">
        <is>
          <t>2025-01-21</t>
        </is>
      </c>
      <c r="C359" s="12" t="inlineStr">
        <is>
          <t>01/29/2025</t>
        </is>
      </c>
      <c r="D359" s="12" t="inlineStr">
        <is>
          <t>CUST-1363</t>
        </is>
      </c>
      <c r="E359" s="12" t="inlineStr">
        <is>
          <t>Mira Das</t>
        </is>
      </c>
      <c r="F359" s="12" t="inlineStr">
        <is>
          <t>Home Office</t>
        </is>
      </c>
      <c r="G359" s="12" t="inlineStr">
        <is>
          <t>South</t>
        </is>
      </c>
      <c r="H359" s="12" t="inlineStr">
        <is>
          <t>Andhra Pradesh</t>
        </is>
      </c>
      <c r="I359" s="12" t="inlineStr">
        <is>
          <t>Vijayawada</t>
        </is>
      </c>
      <c r="J359" s="12" t="inlineStr">
        <is>
          <t>Technology</t>
        </is>
      </c>
      <c r="K359" s="12" t="inlineStr">
        <is>
          <t>Machines</t>
        </is>
      </c>
      <c r="L359" s="12" t="inlineStr">
        <is>
          <t>Max Machines 770</t>
        </is>
      </c>
      <c r="M359" s="12" t="inlineStr">
        <is>
          <t>Second Class</t>
        </is>
      </c>
      <c r="N359" s="12" t="n">
        <v>8</v>
      </c>
      <c r="O359" s="12" t="n">
        <v>546.13</v>
      </c>
      <c r="P359" s="12" t="n">
        <v>0</v>
      </c>
      <c r="Q359" s="12" t="n">
        <v>4369.04</v>
      </c>
      <c r="R359" s="12" t="n">
        <v>3716.88</v>
      </c>
      <c r="S359" s="12" t="n">
        <v>652.16</v>
      </c>
      <c r="T359" s="12" t="inlineStr">
        <is>
          <t>Paid</t>
        </is>
      </c>
      <c r="U359" s="12" t="inlineStr">
        <is>
          <t>Cancelled</t>
        </is>
      </c>
      <c r="V359">
        <f>IF(OR(P359="",P359&lt;0,P359&gt;0.5),0,P359)</f>
        <v/>
      </c>
      <c r="W359">
        <f>N359*O359*(1-V359)</f>
        <v/>
      </c>
      <c r="X359">
        <f>W359-R359</f>
        <v/>
      </c>
      <c r="Y359">
        <f>IF(W359=0,0,X359/W359)</f>
        <v/>
      </c>
      <c r="Z359">
        <f>C359-B359</f>
        <v/>
      </c>
      <c r="AA359">
        <f>TEXT(B359,"mmmm")</f>
        <v/>
      </c>
      <c r="AB359">
        <f>YEAR(B359)</f>
        <v/>
      </c>
      <c r="AC359">
        <f>IF(OR(P359&lt;0,P359&gt;0.5,C359&lt;B359),"INVALID","CLEAN")</f>
        <v/>
      </c>
    </row>
    <row r="360">
      <c r="A360" s="12" t="inlineStr">
        <is>
          <t>ORD-2025-10359</t>
        </is>
      </c>
      <c r="B360" s="12" t="inlineStr">
        <is>
          <t>08/09/2025</t>
        </is>
      </c>
      <c r="C360" s="12" t="inlineStr">
        <is>
          <t>2025-08-07</t>
        </is>
      </c>
      <c r="D360" s="12" t="inlineStr">
        <is>
          <t>CUST-2477</t>
        </is>
      </c>
      <c r="E360" s="12" t="inlineStr">
        <is>
          <t>Vikram Iyer</t>
        </is>
      </c>
      <c r="F360" s="12" t="inlineStr">
        <is>
          <t>Home Office</t>
        </is>
      </c>
      <c r="G360" s="12" t="inlineStr">
        <is>
          <t>West</t>
        </is>
      </c>
      <c r="H360" s="12" t="inlineStr">
        <is>
          <t>Gujarat</t>
        </is>
      </c>
      <c r="I360" s="12" t="inlineStr">
        <is>
          <t>Ahmedabad</t>
        </is>
      </c>
      <c r="J360" s="12" t="inlineStr">
        <is>
          <t>Furniture</t>
        </is>
      </c>
      <c r="K360" s="12" t="inlineStr">
        <is>
          <t>Bookcases</t>
        </is>
      </c>
      <c r="L360" s="12" t="inlineStr">
        <is>
          <t>Smart Bookcases 134</t>
        </is>
      </c>
      <c r="M360" s="12" t="inlineStr">
        <is>
          <t>Second Class</t>
        </is>
      </c>
      <c r="N360" s="12" t="n">
        <v>5</v>
      </c>
      <c r="O360" s="12" t="n">
        <v>1253.92</v>
      </c>
      <c r="P360" s="12" t="n">
        <v>0.05</v>
      </c>
      <c r="Q360" s="12" t="n">
        <v>5956.12</v>
      </c>
      <c r="R360" s="12" t="n">
        <v>4379.18</v>
      </c>
      <c r="S360" s="12" t="n">
        <v>1576.94</v>
      </c>
      <c r="T360" s="12" t="inlineStr">
        <is>
          <t>Pending</t>
        </is>
      </c>
      <c r="U360" s="12" t="inlineStr">
        <is>
          <t>Returned</t>
        </is>
      </c>
      <c r="V360">
        <f>IF(OR(P360="",P360&lt;0,P360&gt;0.5),0,P360)</f>
        <v/>
      </c>
      <c r="W360">
        <f>N360*O360*(1-V360)</f>
        <v/>
      </c>
      <c r="X360">
        <f>W360-R360</f>
        <v/>
      </c>
      <c r="Y360">
        <f>IF(W360=0,0,X360/W360)</f>
        <v/>
      </c>
      <c r="Z360">
        <f>C360-B360</f>
        <v/>
      </c>
      <c r="AA360">
        <f>TEXT(B360,"mmmm")</f>
        <v/>
      </c>
      <c r="AB360">
        <f>YEAR(B360)</f>
        <v/>
      </c>
      <c r="AC360">
        <f>IF(OR(P360&lt;0,P360&gt;0.5,C360&lt;B360),"INVALID","CLEAN")</f>
        <v/>
      </c>
    </row>
    <row r="361">
      <c r="A361" s="12" t="inlineStr">
        <is>
          <t>ORD-2024-10360</t>
        </is>
      </c>
      <c r="B361" s="12" t="inlineStr">
        <is>
          <t>21 Aug 2024</t>
        </is>
      </c>
      <c r="C361" s="12" t="inlineStr">
        <is>
          <t>22-08-2024</t>
        </is>
      </c>
      <c r="D361" s="12" t="inlineStr">
        <is>
          <t>CUST-9571</t>
        </is>
      </c>
      <c r="E361" s="12" t="inlineStr">
        <is>
          <t>Isha Nair</t>
        </is>
      </c>
      <c r="F361" s="12" t="inlineStr">
        <is>
          <t>Consumer</t>
        </is>
      </c>
      <c r="G361" s="12" t="inlineStr">
        <is>
          <t>South</t>
        </is>
      </c>
      <c r="H361" s="12" t="inlineStr">
        <is>
          <t>Tamil Nadu</t>
        </is>
      </c>
      <c r="I361" s="12" t="inlineStr">
        <is>
          <t>Chennai</t>
        </is>
      </c>
      <c r="J361" s="12" t="inlineStr">
        <is>
          <t>Technology</t>
        </is>
      </c>
      <c r="K361" s="12" t="inlineStr">
        <is>
          <t>Phones</t>
        </is>
      </c>
      <c r="L361" s="12" t="inlineStr">
        <is>
          <t>Classic Phones 586</t>
        </is>
      </c>
      <c r="M361" s="12" t="inlineStr">
        <is>
          <t>Same Day</t>
        </is>
      </c>
      <c r="N361" s="12" t="n">
        <v>9</v>
      </c>
      <c r="O361" s="12" t="n">
        <v>616.96</v>
      </c>
      <c r="P361" s="12" t="n">
        <v>0.1</v>
      </c>
      <c r="Q361" s="12" t="n">
        <v>4997.38</v>
      </c>
      <c r="R361" s="12" t="n">
        <v>2971.39</v>
      </c>
      <c r="S361" s="12" t="n">
        <v>2025.99</v>
      </c>
      <c r="T361" s="12" t="inlineStr">
        <is>
          <t>Paid</t>
        </is>
      </c>
      <c r="U361" s="12" t="inlineStr">
        <is>
          <t>Completed</t>
        </is>
      </c>
      <c r="V361">
        <f>IF(OR(P361="",P361&lt;0,P361&gt;0.5),0,P361)</f>
        <v/>
      </c>
      <c r="W361">
        <f>N361*O361*(1-V361)</f>
        <v/>
      </c>
      <c r="X361">
        <f>W361-R361</f>
        <v/>
      </c>
      <c r="Y361">
        <f>IF(W361=0,0,X361/W361)</f>
        <v/>
      </c>
      <c r="Z361">
        <f>C361-B361</f>
        <v/>
      </c>
      <c r="AA361">
        <f>TEXT(B361,"mmmm")</f>
        <v/>
      </c>
      <c r="AB361">
        <f>YEAR(B361)</f>
        <v/>
      </c>
      <c r="AC361">
        <f>IF(OR(P361&lt;0,P361&gt;0.5,C361&lt;B361),"INVALID","CLEAN")</f>
        <v/>
      </c>
    </row>
    <row r="362">
      <c r="A362" s="12" t="inlineStr">
        <is>
          <t>ORD-2024-10361</t>
        </is>
      </c>
      <c r="B362" s="12" t="inlineStr">
        <is>
          <t>17 Jun 2024</t>
        </is>
      </c>
      <c r="C362" s="12" t="inlineStr">
        <is>
          <t>2024-06-20</t>
        </is>
      </c>
      <c r="D362" s="12" t="inlineStr">
        <is>
          <t>CUST-3690</t>
        </is>
      </c>
      <c r="E362" s="12" t="inlineStr">
        <is>
          <t>Sneha Kapoor</t>
        </is>
      </c>
      <c r="F362" s="12" t="inlineStr">
        <is>
          <t>Small Business</t>
        </is>
      </c>
      <c r="G362" s="12" t="inlineStr">
        <is>
          <t>West</t>
        </is>
      </c>
      <c r="H362" s="12" t="inlineStr">
        <is>
          <t>Gujarat</t>
        </is>
      </c>
      <c r="I362" s="12" t="inlineStr">
        <is>
          <t>Ahmedabad</t>
        </is>
      </c>
      <c r="J362" s="12" t="inlineStr">
        <is>
          <t>Furniture</t>
        </is>
      </c>
      <c r="K362" s="12" t="inlineStr">
        <is>
          <t>Furnishings</t>
        </is>
      </c>
      <c r="L362" s="12" t="inlineStr">
        <is>
          <t>Elite Furnishings 634</t>
        </is>
      </c>
      <c r="M362" s="12" t="inlineStr">
        <is>
          <t>Standard Class</t>
        </is>
      </c>
      <c r="N362" s="12" t="n">
        <v>7</v>
      </c>
      <c r="O362" s="12" t="n">
        <v>3155.25</v>
      </c>
      <c r="P362" s="12" t="n">
        <v>0.2</v>
      </c>
      <c r="Q362" s="12" t="n">
        <v>17669.4</v>
      </c>
      <c r="R362" s="12" t="n">
        <v>13718.77</v>
      </c>
      <c r="S362" s="12" t="n">
        <v>3950.63</v>
      </c>
      <c r="T362" s="12" t="inlineStr">
        <is>
          <t>Refunded</t>
        </is>
      </c>
      <c r="U362" s="12" t="inlineStr">
        <is>
          <t>Cancelled</t>
        </is>
      </c>
      <c r="V362">
        <f>IF(OR(P362="",P362&lt;0,P362&gt;0.5),0,P362)</f>
        <v/>
      </c>
      <c r="W362">
        <f>N362*O362*(1-V362)</f>
        <v/>
      </c>
      <c r="X362">
        <f>W362-R362</f>
        <v/>
      </c>
      <c r="Y362">
        <f>IF(W362=0,0,X362/W362)</f>
        <v/>
      </c>
      <c r="Z362">
        <f>C362-B362</f>
        <v/>
      </c>
      <c r="AA362">
        <f>TEXT(B362,"mmmm")</f>
        <v/>
      </c>
      <c r="AB362">
        <f>YEAR(B362)</f>
        <v/>
      </c>
      <c r="AC362">
        <f>IF(OR(P362&lt;0,P362&gt;0.5,C362&lt;B362),"INVALID","CLEAN")</f>
        <v/>
      </c>
    </row>
    <row r="363">
      <c r="A363" s="12" t="inlineStr">
        <is>
          <t>ORD-2025-10362</t>
        </is>
      </c>
      <c r="B363" s="12" t="inlineStr">
        <is>
          <t>01-04-2025</t>
        </is>
      </c>
      <c r="C363" s="12" t="inlineStr">
        <is>
          <t>2025-04-02</t>
        </is>
      </c>
      <c r="D363" s="12" t="inlineStr">
        <is>
          <t>CUST-2909</t>
        </is>
      </c>
      <c r="E363" s="12" t="inlineStr">
        <is>
          <t>Rohan Mehta</t>
        </is>
      </c>
      <c r="F363" s="12" t="inlineStr">
        <is>
          <t>Corporate</t>
        </is>
      </c>
      <c r="G363" s="12" t="inlineStr">
        <is>
          <t>East</t>
        </is>
      </c>
      <c r="H363" s="12" t="inlineStr">
        <is>
          <t>Odisha</t>
        </is>
      </c>
      <c r="I363" s="12" t="inlineStr">
        <is>
          <t>Bhubaneswar</t>
        </is>
      </c>
      <c r="J363" s="12" t="inlineStr">
        <is>
          <t>Furniture</t>
        </is>
      </c>
      <c r="K363" s="12" t="inlineStr">
        <is>
          <t>Chairs</t>
        </is>
      </c>
      <c r="L363" s="12" t="inlineStr">
        <is>
          <t>Basic Chairs 113</t>
        </is>
      </c>
      <c r="M363" s="12" t="inlineStr">
        <is>
          <t>Second Class</t>
        </is>
      </c>
      <c r="N363" s="12" t="n">
        <v>9</v>
      </c>
      <c r="O363" s="12" t="n">
        <v>4165.58</v>
      </c>
      <c r="P363" s="12" t="n">
        <v>0.05</v>
      </c>
      <c r="Q363" s="12" t="n">
        <v>35615.71</v>
      </c>
      <c r="R363" s="12" t="n">
        <v>20389.71</v>
      </c>
      <c r="S363" s="12" t="n">
        <v>15226</v>
      </c>
      <c r="T363" s="12" t="inlineStr">
        <is>
          <t>Pending</t>
        </is>
      </c>
      <c r="U363" s="12" t="inlineStr">
        <is>
          <t>Returned</t>
        </is>
      </c>
      <c r="V363">
        <f>IF(OR(P363="",P363&lt;0,P363&gt;0.5),0,P363)</f>
        <v/>
      </c>
      <c r="W363">
        <f>N363*O363*(1-V363)</f>
        <v/>
      </c>
      <c r="X363">
        <f>W363-R363</f>
        <v/>
      </c>
      <c r="Y363">
        <f>IF(W363=0,0,X363/W363)</f>
        <v/>
      </c>
      <c r="Z363">
        <f>C363-B363</f>
        <v/>
      </c>
      <c r="AA363">
        <f>TEXT(B363,"mmmm")</f>
        <v/>
      </c>
      <c r="AB363">
        <f>YEAR(B363)</f>
        <v/>
      </c>
      <c r="AC363">
        <f>IF(OR(P363&lt;0,P363&gt;0.5,C363&lt;B363),"INVALID","CLEAN")</f>
        <v/>
      </c>
    </row>
    <row r="364">
      <c r="A364" s="12" t="inlineStr">
        <is>
          <t>ORD-2024-10363</t>
        </is>
      </c>
      <c r="B364" s="12" t="inlineStr">
        <is>
          <t>23 Aug 2024</t>
        </is>
      </c>
      <c r="C364" s="12" t="inlineStr">
        <is>
          <t>25-08-2024</t>
        </is>
      </c>
      <c r="D364" s="12" t="inlineStr">
        <is>
          <t>CUST-6755</t>
        </is>
      </c>
      <c r="E364" s="12" t="inlineStr">
        <is>
          <t>Vikram Iyer</t>
        </is>
      </c>
      <c r="F364" s="12" t="inlineStr">
        <is>
          <t>Consumer</t>
        </is>
      </c>
      <c r="G364" s="12" t="inlineStr">
        <is>
          <t>West</t>
        </is>
      </c>
      <c r="H364" s="12" t="inlineStr">
        <is>
          <t>Goa</t>
        </is>
      </c>
      <c r="I364" s="12" t="inlineStr">
        <is>
          <t>Panaji</t>
        </is>
      </c>
      <c r="J364" s="12" t="inlineStr">
        <is>
          <t>Technology</t>
        </is>
      </c>
      <c r="K364" s="12" t="inlineStr">
        <is>
          <t>Machines</t>
        </is>
      </c>
      <c r="L364" s="12" t="inlineStr">
        <is>
          <t>Elite Machines 216</t>
        </is>
      </c>
      <c r="M364" s="12" t="inlineStr">
        <is>
          <t>Same Day</t>
        </is>
      </c>
      <c r="N364" s="12" t="n">
        <v>4</v>
      </c>
      <c r="O364" s="12" t="n">
        <v>491.16</v>
      </c>
      <c r="P364" s="12" t="n">
        <v>0.05</v>
      </c>
      <c r="Q364" s="12" t="n">
        <v>1866.41</v>
      </c>
      <c r="R364" s="12" t="n">
        <v>1576.49</v>
      </c>
      <c r="S364" s="12" t="n">
        <v>289.92</v>
      </c>
      <c r="T364" s="12" t="inlineStr">
        <is>
          <t>Paid</t>
        </is>
      </c>
      <c r="U364" s="12" t="inlineStr">
        <is>
          <t>Completed</t>
        </is>
      </c>
      <c r="V364">
        <f>IF(OR(P364="",P364&lt;0,P364&gt;0.5),0,P364)</f>
        <v/>
      </c>
      <c r="W364">
        <f>N364*O364*(1-V364)</f>
        <v/>
      </c>
      <c r="X364">
        <f>W364-R364</f>
        <v/>
      </c>
      <c r="Y364">
        <f>IF(W364=0,0,X364/W364)</f>
        <v/>
      </c>
      <c r="Z364">
        <f>C364-B364</f>
        <v/>
      </c>
      <c r="AA364">
        <f>TEXT(B364,"mmmm")</f>
        <v/>
      </c>
      <c r="AB364">
        <f>YEAR(B364)</f>
        <v/>
      </c>
      <c r="AC364">
        <f>IF(OR(P364&lt;0,P364&gt;0.5,C364&lt;B364),"INVALID","CLEAN")</f>
        <v/>
      </c>
    </row>
    <row r="365">
      <c r="A365" s="12" t="inlineStr">
        <is>
          <t>ORD-2025-10364</t>
        </is>
      </c>
      <c r="B365" s="12" t="inlineStr">
        <is>
          <t>07/07/2025</t>
        </is>
      </c>
      <c r="C365" s="12" t="inlineStr">
        <is>
          <t>07/12/2025</t>
        </is>
      </c>
      <c r="D365" s="12" t="inlineStr">
        <is>
          <t>CUST-1832</t>
        </is>
      </c>
      <c r="E365" s="12" t="inlineStr">
        <is>
          <t>Diya Patel</t>
        </is>
      </c>
      <c r="F365" s="12" t="inlineStr">
        <is>
          <t>Corporate</t>
        </is>
      </c>
      <c r="G365" s="12" t="inlineStr">
        <is>
          <t>East</t>
        </is>
      </c>
      <c r="H365" s="12" t="inlineStr">
        <is>
          <t>West Bengal</t>
        </is>
      </c>
      <c r="I365" s="12" t="inlineStr">
        <is>
          <t>Kolkata</t>
        </is>
      </c>
      <c r="J365" s="12" t="inlineStr">
        <is>
          <t>Furniture</t>
        </is>
      </c>
      <c r="K365" s="12" t="inlineStr">
        <is>
          <t>Tables</t>
        </is>
      </c>
      <c r="L365" s="12" t="inlineStr">
        <is>
          <t>Smart Tables 943</t>
        </is>
      </c>
      <c r="M365" s="12" t="inlineStr">
        <is>
          <t>Second Class</t>
        </is>
      </c>
      <c r="N365" s="12" t="n">
        <v>5</v>
      </c>
      <c r="O365" s="12" t="n">
        <v>1831.37</v>
      </c>
      <c r="P365" s="12" t="n">
        <v>0.25</v>
      </c>
      <c r="Q365" s="12" t="n">
        <v>6867.64</v>
      </c>
      <c r="R365" s="12" t="n">
        <v>5205.36</v>
      </c>
      <c r="S365" s="12" t="n">
        <v>1662.28</v>
      </c>
      <c r="T365" s="12" t="inlineStr">
        <is>
          <t>Paid</t>
        </is>
      </c>
      <c r="U365" s="12" t="inlineStr">
        <is>
          <t>Completed</t>
        </is>
      </c>
      <c r="V365">
        <f>IF(OR(P365="",P365&lt;0,P365&gt;0.5),0,P365)</f>
        <v/>
      </c>
      <c r="W365">
        <f>N365*O365*(1-V365)</f>
        <v/>
      </c>
      <c r="X365">
        <f>W365-R365</f>
        <v/>
      </c>
      <c r="Y365">
        <f>IF(W365=0,0,X365/W365)</f>
        <v/>
      </c>
      <c r="Z365">
        <f>C365-B365</f>
        <v/>
      </c>
      <c r="AA365">
        <f>TEXT(B365,"mmmm")</f>
        <v/>
      </c>
      <c r="AB365">
        <f>YEAR(B365)</f>
        <v/>
      </c>
      <c r="AC365">
        <f>IF(OR(P365&lt;0,P365&gt;0.5,C365&lt;B365),"INVALID","CLEAN")</f>
        <v/>
      </c>
    </row>
    <row r="366">
      <c r="A366" s="12" t="inlineStr">
        <is>
          <t>ORD-2025-10365</t>
        </is>
      </c>
      <c r="B366" s="12" t="inlineStr">
        <is>
          <t>03/21/2025</t>
        </is>
      </c>
      <c r="C366" s="12" t="inlineStr">
        <is>
          <t>2025-03-24</t>
        </is>
      </c>
      <c r="D366" s="12" t="inlineStr">
        <is>
          <t>CUST-4452</t>
        </is>
      </c>
      <c r="E366" s="12" t="inlineStr">
        <is>
          <t>Aarav Sharma</t>
        </is>
      </c>
      <c r="F366" s="12" t="inlineStr">
        <is>
          <t>Small Business</t>
        </is>
      </c>
      <c r="G366" s="12" t="inlineStr">
        <is>
          <t>South</t>
        </is>
      </c>
      <c r="H366" s="12" t="inlineStr">
        <is>
          <t>Andhra Pradesh</t>
        </is>
      </c>
      <c r="I366" s="12" t="inlineStr">
        <is>
          <t>Vijayawada</t>
        </is>
      </c>
      <c r="J366" s="12" t="inlineStr">
        <is>
          <t>Furniture</t>
        </is>
      </c>
      <c r="K366" s="12" t="inlineStr">
        <is>
          <t>Chairs</t>
        </is>
      </c>
      <c r="L366" s="12" t="inlineStr">
        <is>
          <t>Prime Chairs 101</t>
        </is>
      </c>
      <c r="M366" s="12" t="inlineStr">
        <is>
          <t>Second Class</t>
        </is>
      </c>
      <c r="N366" s="12" t="n">
        <v>5</v>
      </c>
      <c r="O366" s="12" t="n">
        <v>1239.15</v>
      </c>
      <c r="P366" s="12" t="n">
        <v>0</v>
      </c>
      <c r="Q366" s="12" t="n">
        <v>6195.75</v>
      </c>
      <c r="R366" s="12" t="n">
        <v>3967.02</v>
      </c>
      <c r="S366" s="12" t="n">
        <v>2228.73</v>
      </c>
      <c r="T366" s="12" t="inlineStr">
        <is>
          <t>Paid</t>
        </is>
      </c>
      <c r="U366" s="12" t="inlineStr">
        <is>
          <t>Completed</t>
        </is>
      </c>
      <c r="V366">
        <f>IF(OR(P366="",P366&lt;0,P366&gt;0.5),0,P366)</f>
        <v/>
      </c>
      <c r="W366">
        <f>N366*O366*(1-V366)</f>
        <v/>
      </c>
      <c r="X366">
        <f>W366-R366</f>
        <v/>
      </c>
      <c r="Y366">
        <f>IF(W366=0,0,X366/W366)</f>
        <v/>
      </c>
      <c r="Z366">
        <f>C366-B366</f>
        <v/>
      </c>
      <c r="AA366">
        <f>TEXT(B366,"mmmm")</f>
        <v/>
      </c>
      <c r="AB366">
        <f>YEAR(B366)</f>
        <v/>
      </c>
      <c r="AC366">
        <f>IF(OR(P366&lt;0,P366&gt;0.5,C366&lt;B366),"INVALID","CLEAN")</f>
        <v/>
      </c>
    </row>
    <row r="367">
      <c r="A367" s="12" t="inlineStr">
        <is>
          <t>ORD-2024-10366</t>
        </is>
      </c>
      <c r="B367" s="12" t="inlineStr">
        <is>
          <t>15-06-2024</t>
        </is>
      </c>
      <c r="C367" s="12" t="inlineStr">
        <is>
          <t>21-06-2024</t>
        </is>
      </c>
      <c r="D367" s="12" t="inlineStr">
        <is>
          <t>CUST-2203</t>
        </is>
      </c>
      <c r="E367" s="12" t="inlineStr">
        <is>
          <t>Aditi Sen</t>
        </is>
      </c>
      <c r="F367" s="12" t="inlineStr">
        <is>
          <t>Corporate</t>
        </is>
      </c>
      <c r="G367" s="12" t="inlineStr">
        <is>
          <t>West</t>
        </is>
      </c>
      <c r="H367" s="12" t="inlineStr">
        <is>
          <t>Goa</t>
        </is>
      </c>
      <c r="I367" s="12" t="inlineStr">
        <is>
          <t>Panaji</t>
        </is>
      </c>
      <c r="J367" s="12" t="inlineStr">
        <is>
          <t>Technology</t>
        </is>
      </c>
      <c r="K367" s="12" t="inlineStr">
        <is>
          <t>Accessories</t>
        </is>
      </c>
      <c r="L367" s="12" t="inlineStr">
        <is>
          <t>Basic Accessories 774</t>
        </is>
      </c>
      <c r="M367" s="12" t="inlineStr">
        <is>
          <t>First Class</t>
        </is>
      </c>
      <c r="N367" s="12" t="n">
        <v>8</v>
      </c>
      <c r="O367" s="12" t="n">
        <v>1706.4</v>
      </c>
      <c r="P367" s="12" t="n"/>
      <c r="Q367" s="12" t="n">
        <v>12968.64</v>
      </c>
      <c r="R367" s="12" t="n">
        <v>10119.61</v>
      </c>
      <c r="S367" s="12" t="n">
        <v>2849.03</v>
      </c>
      <c r="T367" s="12" t="inlineStr">
        <is>
          <t>Paid</t>
        </is>
      </c>
      <c r="U367" s="12" t="inlineStr">
        <is>
          <t>Completed</t>
        </is>
      </c>
      <c r="V367">
        <f>IF(OR(P367="",P367&lt;0,P367&gt;0.5),0,P367)</f>
        <v/>
      </c>
      <c r="W367">
        <f>N367*O367*(1-V367)</f>
        <v/>
      </c>
      <c r="X367">
        <f>W367-R367</f>
        <v/>
      </c>
      <c r="Y367">
        <f>IF(W367=0,0,X367/W367)</f>
        <v/>
      </c>
      <c r="Z367">
        <f>C367-B367</f>
        <v/>
      </c>
      <c r="AA367">
        <f>TEXT(B367,"mmmm")</f>
        <v/>
      </c>
      <c r="AB367">
        <f>YEAR(B367)</f>
        <v/>
      </c>
      <c r="AC367">
        <f>IF(OR(P367&lt;0,P367&gt;0.5,C367&lt;B367),"INVALID","CLEAN")</f>
        <v/>
      </c>
    </row>
    <row r="368">
      <c r="A368" s="12" t="inlineStr">
        <is>
          <t>ORD-2025-10367</t>
        </is>
      </c>
      <c r="B368" s="12" t="inlineStr">
        <is>
          <t>2025-01-16</t>
        </is>
      </c>
      <c r="C368" s="12" t="inlineStr">
        <is>
          <t>2025-01-22</t>
        </is>
      </c>
      <c r="D368" s="12" t="inlineStr">
        <is>
          <t>CUST-5397</t>
        </is>
      </c>
      <c r="E368" s="12" t="inlineStr">
        <is>
          <t>Sneha Kapoor</t>
        </is>
      </c>
      <c r="F368" s="12" t="inlineStr">
        <is>
          <t>Corporate</t>
        </is>
      </c>
      <c r="G368" s="12" t="inlineStr">
        <is>
          <t>North</t>
        </is>
      </c>
      <c r="H368" s="12" t="inlineStr">
        <is>
          <t>Rajasthan</t>
        </is>
      </c>
      <c r="I368" s="12" t="inlineStr">
        <is>
          <t>Jaipur</t>
        </is>
      </c>
      <c r="J368" s="12" t="inlineStr">
        <is>
          <t>Furniture</t>
        </is>
      </c>
      <c r="K368" s="12" t="inlineStr">
        <is>
          <t>Tables</t>
        </is>
      </c>
      <c r="L368" s="12" t="inlineStr">
        <is>
          <t>Max Tables 478</t>
        </is>
      </c>
      <c r="M368" s="12" t="inlineStr">
        <is>
          <t>Same Day</t>
        </is>
      </c>
      <c r="N368" s="12" t="n">
        <v>2</v>
      </c>
      <c r="O368" s="12" t="n">
        <v>4418.28</v>
      </c>
      <c r="P368" s="12" t="n">
        <v>0</v>
      </c>
      <c r="Q368" s="12" t="n">
        <v>8836.559999999999</v>
      </c>
      <c r="R368" s="12" t="n">
        <v>5867.75</v>
      </c>
      <c r="S368" s="12" t="n">
        <v>2968.81</v>
      </c>
      <c r="T368" s="12" t="inlineStr">
        <is>
          <t>Paid</t>
        </is>
      </c>
      <c r="U368" s="12" t="inlineStr">
        <is>
          <t>Completed</t>
        </is>
      </c>
      <c r="V368">
        <f>IF(OR(P368="",P368&lt;0,P368&gt;0.5),0,P368)</f>
        <v/>
      </c>
      <c r="W368">
        <f>N368*O368*(1-V368)</f>
        <v/>
      </c>
      <c r="X368">
        <f>W368-R368</f>
        <v/>
      </c>
      <c r="Y368">
        <f>IF(W368=0,0,X368/W368)</f>
        <v/>
      </c>
      <c r="Z368">
        <f>C368-B368</f>
        <v/>
      </c>
      <c r="AA368">
        <f>TEXT(B368,"mmmm")</f>
        <v/>
      </c>
      <c r="AB368">
        <f>YEAR(B368)</f>
        <v/>
      </c>
      <c r="AC368">
        <f>IF(OR(P368&lt;0,P368&gt;0.5,C368&lt;B368),"INVALID","CLEAN")</f>
        <v/>
      </c>
    </row>
    <row r="369">
      <c r="A369" s="12" t="inlineStr">
        <is>
          <t>ORD-2024-10368</t>
        </is>
      </c>
      <c r="B369" s="12" t="inlineStr">
        <is>
          <t>2024-03-15</t>
        </is>
      </c>
      <c r="C369" s="12" t="inlineStr">
        <is>
          <t>03/16/2024</t>
        </is>
      </c>
      <c r="D369" s="12" t="inlineStr">
        <is>
          <t>CUST-4696</t>
        </is>
      </c>
      <c r="E369" s="12" t="inlineStr">
        <is>
          <t>Rohan Mehta</t>
        </is>
      </c>
      <c r="F369" s="12" t="inlineStr">
        <is>
          <t>Consumer</t>
        </is>
      </c>
      <c r="G369" s="12" t="inlineStr">
        <is>
          <t>North</t>
        </is>
      </c>
      <c r="H369" s="12" t="inlineStr">
        <is>
          <t>Delhi</t>
        </is>
      </c>
      <c r="I369" s="12" t="inlineStr">
        <is>
          <t>New Delhi</t>
        </is>
      </c>
      <c r="J369" s="12" t="inlineStr">
        <is>
          <t>Office Supplies</t>
        </is>
      </c>
      <c r="K369" s="12" t="inlineStr">
        <is>
          <t>Art</t>
        </is>
      </c>
      <c r="L369" s="12" t="inlineStr">
        <is>
          <t>Eco Art 646</t>
        </is>
      </c>
      <c r="M369" s="12" t="inlineStr">
        <is>
          <t>Standard Class</t>
        </is>
      </c>
      <c r="N369" s="12" t="n">
        <v>6</v>
      </c>
      <c r="O369" s="12" t="n">
        <v>3815.09</v>
      </c>
      <c r="P369" s="12" t="n">
        <v>0.15</v>
      </c>
      <c r="Q369" s="12" t="n">
        <v>19456.96</v>
      </c>
      <c r="R369" s="12" t="n">
        <v>14520.06</v>
      </c>
      <c r="S369" s="12" t="n">
        <v>4936.9</v>
      </c>
      <c r="T369" s="12" t="inlineStr">
        <is>
          <t>Failed</t>
        </is>
      </c>
      <c r="U369" s="12" t="inlineStr">
        <is>
          <t>Cancelled</t>
        </is>
      </c>
      <c r="V369">
        <f>IF(OR(P369="",P369&lt;0,P369&gt;0.5),0,P369)</f>
        <v/>
      </c>
      <c r="W369">
        <f>N369*O369*(1-V369)</f>
        <v/>
      </c>
      <c r="X369">
        <f>W369-R369</f>
        <v/>
      </c>
      <c r="Y369">
        <f>IF(W369=0,0,X369/W369)</f>
        <v/>
      </c>
      <c r="Z369">
        <f>C369-B369</f>
        <v/>
      </c>
      <c r="AA369">
        <f>TEXT(B369,"mmmm")</f>
        <v/>
      </c>
      <c r="AB369">
        <f>YEAR(B369)</f>
        <v/>
      </c>
      <c r="AC369">
        <f>IF(OR(P369&lt;0,P369&gt;0.5,C369&lt;B369),"INVALID","CLEAN")</f>
        <v/>
      </c>
    </row>
    <row r="370">
      <c r="A370" s="12" t="inlineStr">
        <is>
          <t>ORD-2025-10369</t>
        </is>
      </c>
      <c r="B370" s="12" t="inlineStr">
        <is>
          <t>06-07-2025</t>
        </is>
      </c>
      <c r="C370" s="12" t="inlineStr">
        <is>
          <t>06-07-2025</t>
        </is>
      </c>
      <c r="D370" s="12" t="inlineStr">
        <is>
          <t>CUST-8246</t>
        </is>
      </c>
      <c r="E370" s="12" t="inlineStr">
        <is>
          <t>Aarav Sharma</t>
        </is>
      </c>
      <c r="F370" s="12" t="inlineStr">
        <is>
          <t>Home Office</t>
        </is>
      </c>
      <c r="G370" s="12" t="inlineStr">
        <is>
          <t>North</t>
        </is>
      </c>
      <c r="H370" s="12" t="inlineStr">
        <is>
          <t>Rajasthan</t>
        </is>
      </c>
      <c r="I370" s="12" t="inlineStr">
        <is>
          <t>Jaipur</t>
        </is>
      </c>
      <c r="J370" s="12" t="inlineStr">
        <is>
          <t>Technology</t>
        </is>
      </c>
      <c r="K370" s="12" t="inlineStr">
        <is>
          <t>Accessories</t>
        </is>
      </c>
      <c r="L370" s="12" t="inlineStr">
        <is>
          <t>Prime Accessories 962</t>
        </is>
      </c>
      <c r="M370" s="12" t="inlineStr">
        <is>
          <t>Same Day</t>
        </is>
      </c>
      <c r="N370" s="12" t="n">
        <v>9</v>
      </c>
      <c r="O370" s="12" t="n">
        <v>243.19</v>
      </c>
      <c r="P370" s="12" t="n">
        <v>0.05</v>
      </c>
      <c r="Q370" s="12" t="n">
        <v>2079.27</v>
      </c>
      <c r="R370" s="12" t="n">
        <v>1512.17</v>
      </c>
      <c r="S370" s="12" t="n">
        <v>567.1</v>
      </c>
      <c r="T370" s="12" t="inlineStr">
        <is>
          <t>Refunded</t>
        </is>
      </c>
      <c r="U370" s="12" t="inlineStr">
        <is>
          <t>Returned</t>
        </is>
      </c>
      <c r="V370">
        <f>IF(OR(P370="",P370&lt;0,P370&gt;0.5),0,P370)</f>
        <v/>
      </c>
      <c r="W370">
        <f>N370*O370*(1-V370)</f>
        <v/>
      </c>
      <c r="X370">
        <f>W370-R370</f>
        <v/>
      </c>
      <c r="Y370">
        <f>IF(W370=0,0,X370/W370)</f>
        <v/>
      </c>
      <c r="Z370">
        <f>C370-B370</f>
        <v/>
      </c>
      <c r="AA370">
        <f>TEXT(B370,"mmmm")</f>
        <v/>
      </c>
      <c r="AB370">
        <f>YEAR(B370)</f>
        <v/>
      </c>
      <c r="AC370">
        <f>IF(OR(P370&lt;0,P370&gt;0.5,C370&lt;B370),"INVALID","CLEAN")</f>
        <v/>
      </c>
    </row>
    <row r="371">
      <c r="A371" s="12" t="inlineStr">
        <is>
          <t>ORD-2025-10370</t>
        </is>
      </c>
      <c r="B371" s="12" t="inlineStr">
        <is>
          <t>23-01-2025</t>
        </is>
      </c>
      <c r="C371" s="12" t="inlineStr">
        <is>
          <t>01/30/2025</t>
        </is>
      </c>
      <c r="D371" s="12" t="inlineStr">
        <is>
          <t>CUST-5672</t>
        </is>
      </c>
      <c r="E371" s="12" t="inlineStr">
        <is>
          <t>Priya Menon</t>
        </is>
      </c>
      <c r="F371" s="12" t="inlineStr">
        <is>
          <t>Consumer</t>
        </is>
      </c>
      <c r="G371" s="12" t="inlineStr">
        <is>
          <t>North</t>
        </is>
      </c>
      <c r="H371" s="12" t="inlineStr">
        <is>
          <t>Delhi</t>
        </is>
      </c>
      <c r="I371" s="12" t="inlineStr">
        <is>
          <t>New Delhi</t>
        </is>
      </c>
      <c r="J371" s="12" t="inlineStr">
        <is>
          <t>Office Supplies</t>
        </is>
      </c>
      <c r="K371" s="12" t="inlineStr">
        <is>
          <t>Labels</t>
        </is>
      </c>
      <c r="L371" s="12" t="inlineStr">
        <is>
          <t>Eco Labels 646</t>
        </is>
      </c>
      <c r="M371" s="12" t="inlineStr">
        <is>
          <t>Standard Class</t>
        </is>
      </c>
      <c r="N371" s="12" t="n">
        <v>9</v>
      </c>
      <c r="O371" s="12" t="n">
        <v>1169.37</v>
      </c>
      <c r="P371" s="12" t="n">
        <v>0.15</v>
      </c>
      <c r="Q371" s="12" t="n">
        <v>8945.68</v>
      </c>
      <c r="R371" s="12" t="n">
        <v>6740.35</v>
      </c>
      <c r="S371" s="12" t="n">
        <v>2205.33</v>
      </c>
      <c r="T371" s="12" t="inlineStr">
        <is>
          <t>Paid</t>
        </is>
      </c>
      <c r="U371" s="12" t="inlineStr">
        <is>
          <t>Completed</t>
        </is>
      </c>
      <c r="V371">
        <f>IF(OR(P371="",P371&lt;0,P371&gt;0.5),0,P371)</f>
        <v/>
      </c>
      <c r="W371">
        <f>N371*O371*(1-V371)</f>
        <v/>
      </c>
      <c r="X371">
        <f>W371-R371</f>
        <v/>
      </c>
      <c r="Y371">
        <f>IF(W371=0,0,X371/W371)</f>
        <v/>
      </c>
      <c r="Z371">
        <f>C371-B371</f>
        <v/>
      </c>
      <c r="AA371">
        <f>TEXT(B371,"mmmm")</f>
        <v/>
      </c>
      <c r="AB371">
        <f>YEAR(B371)</f>
        <v/>
      </c>
      <c r="AC371">
        <f>IF(OR(P371&lt;0,P371&gt;0.5,C371&lt;B371),"INVALID","CLEAN")</f>
        <v/>
      </c>
    </row>
    <row r="372">
      <c r="A372" s="12" t="inlineStr">
        <is>
          <t>ORD-2024-10371</t>
        </is>
      </c>
      <c r="B372" s="12" t="inlineStr">
        <is>
          <t>08/15/2024</t>
        </is>
      </c>
      <c r="C372" s="12" t="inlineStr">
        <is>
          <t>21 Aug 2024</t>
        </is>
      </c>
      <c r="D372" s="12" t="inlineStr">
        <is>
          <t>CUST-8521</t>
        </is>
      </c>
      <c r="E372" s="12" t="inlineStr">
        <is>
          <t>Ananya Rao</t>
        </is>
      </c>
      <c r="F372" s="12" t="inlineStr">
        <is>
          <t>Small Business</t>
        </is>
      </c>
      <c r="G372" s="12" t="inlineStr">
        <is>
          <t>West</t>
        </is>
      </c>
      <c r="H372" s="12" t="inlineStr">
        <is>
          <t>Rajasthan</t>
        </is>
      </c>
      <c r="I372" s="12" t="inlineStr">
        <is>
          <t>Udaipur</t>
        </is>
      </c>
      <c r="J372" s="12" t="inlineStr">
        <is>
          <t>Technology</t>
        </is>
      </c>
      <c r="K372" s="12" t="inlineStr">
        <is>
          <t>Copiers</t>
        </is>
      </c>
      <c r="L372" s="12" t="inlineStr">
        <is>
          <t>Classic Copiers 505</t>
        </is>
      </c>
      <c r="M372" s="12" t="inlineStr">
        <is>
          <t>First Class</t>
        </is>
      </c>
      <c r="N372" s="12" t="n">
        <v>7</v>
      </c>
      <c r="O372" s="12" t="n">
        <v>2333.81</v>
      </c>
      <c r="P372" s="12" t="n">
        <v>0.2</v>
      </c>
      <c r="Q372" s="12" t="n">
        <v>13069.34</v>
      </c>
      <c r="R372" s="12" t="n">
        <v>8768.59</v>
      </c>
      <c r="S372" s="12" t="n">
        <v>4300.75</v>
      </c>
      <c r="T372" s="12" t="inlineStr">
        <is>
          <t>Paid</t>
        </is>
      </c>
      <c r="U372" s="12" t="inlineStr">
        <is>
          <t>Completed</t>
        </is>
      </c>
      <c r="V372">
        <f>IF(OR(P372="",P372&lt;0,P372&gt;0.5),0,P372)</f>
        <v/>
      </c>
      <c r="W372">
        <f>N372*O372*(1-V372)</f>
        <v/>
      </c>
      <c r="X372">
        <f>W372-R372</f>
        <v/>
      </c>
      <c r="Y372">
        <f>IF(W372=0,0,X372/W372)</f>
        <v/>
      </c>
      <c r="Z372">
        <f>C372-B372</f>
        <v/>
      </c>
      <c r="AA372">
        <f>TEXT(B372,"mmmm")</f>
        <v/>
      </c>
      <c r="AB372">
        <f>YEAR(B372)</f>
        <v/>
      </c>
      <c r="AC372">
        <f>IF(OR(P372&lt;0,P372&gt;0.5,C372&lt;B372),"INVALID","CLEAN")</f>
        <v/>
      </c>
    </row>
    <row r="373">
      <c r="A373" s="12" t="inlineStr">
        <is>
          <t>ORD-2024-10372</t>
        </is>
      </c>
      <c r="B373" s="12" t="inlineStr">
        <is>
          <t>22-01-2024</t>
        </is>
      </c>
      <c r="C373" s="12" t="inlineStr">
        <is>
          <t>2024-01-24</t>
        </is>
      </c>
      <c r="D373" s="12" t="inlineStr">
        <is>
          <t>CUST-2204</t>
        </is>
      </c>
      <c r="E373" s="12" t="inlineStr">
        <is>
          <t>Diya Patel</t>
        </is>
      </c>
      <c r="F373" s="12" t="inlineStr">
        <is>
          <t>Home Office</t>
        </is>
      </c>
      <c r="G373" s="12" t="inlineStr">
        <is>
          <t>West</t>
        </is>
      </c>
      <c r="H373" s="12" t="inlineStr">
        <is>
          <t>Maharashtra</t>
        </is>
      </c>
      <c r="I373" s="12" t="inlineStr">
        <is>
          <t>Mumbai</t>
        </is>
      </c>
      <c r="J373" s="12" t="inlineStr">
        <is>
          <t>Office Supplies</t>
        </is>
      </c>
      <c r="K373" s="12" t="inlineStr">
        <is>
          <t>Art</t>
        </is>
      </c>
      <c r="L373" s="12" t="inlineStr">
        <is>
          <t>Pro Art 906</t>
        </is>
      </c>
      <c r="M373" s="12" t="inlineStr">
        <is>
          <t>Standard Class</t>
        </is>
      </c>
      <c r="N373" s="12" t="n">
        <v>6</v>
      </c>
      <c r="O373" s="12" t="n">
        <v>1026.06</v>
      </c>
      <c r="P373" s="12" t="n"/>
      <c r="Q373" s="12" t="n">
        <v>4617.27</v>
      </c>
      <c r="R373" s="12" t="n">
        <v>2981.94</v>
      </c>
      <c r="S373" s="12" t="n">
        <v>1635.33</v>
      </c>
      <c r="T373" s="12" t="inlineStr">
        <is>
          <t>Refunded</t>
        </is>
      </c>
      <c r="U373" s="12" t="inlineStr">
        <is>
          <t>Cancelled</t>
        </is>
      </c>
      <c r="V373">
        <f>IF(OR(P373="",P373&lt;0,P373&gt;0.5),0,P373)</f>
        <v/>
      </c>
      <c r="W373">
        <f>N373*O373*(1-V373)</f>
        <v/>
      </c>
      <c r="X373">
        <f>W373-R373</f>
        <v/>
      </c>
      <c r="Y373">
        <f>IF(W373=0,0,X373/W373)</f>
        <v/>
      </c>
      <c r="Z373">
        <f>C373-B373</f>
        <v/>
      </c>
      <c r="AA373">
        <f>TEXT(B373,"mmmm")</f>
        <v/>
      </c>
      <c r="AB373">
        <f>YEAR(B373)</f>
        <v/>
      </c>
      <c r="AC373">
        <f>IF(OR(P373&lt;0,P373&gt;0.5,C373&lt;B373),"INVALID","CLEAN")</f>
        <v/>
      </c>
    </row>
    <row r="374">
      <c r="A374" s="12" t="inlineStr">
        <is>
          <t>ORD-2025-10373</t>
        </is>
      </c>
      <c r="B374" s="12" t="inlineStr">
        <is>
          <t>2025-08-16</t>
        </is>
      </c>
      <c r="C374" s="12" t="inlineStr">
        <is>
          <t>2025-08-18</t>
        </is>
      </c>
      <c r="D374" s="12" t="inlineStr">
        <is>
          <t>CUST-4399</t>
        </is>
      </c>
      <c r="E374" s="12" t="inlineStr">
        <is>
          <t>Kabir Singh</t>
        </is>
      </c>
      <c r="F374" s="12" t="inlineStr">
        <is>
          <t>Consumer</t>
        </is>
      </c>
      <c r="G374" s="12" t="inlineStr">
        <is>
          <t>East</t>
        </is>
      </c>
      <c r="H374" s="12" t="inlineStr">
        <is>
          <t>Jharkhand</t>
        </is>
      </c>
      <c r="I374" s="12" t="inlineStr">
        <is>
          <t>Ranchi</t>
        </is>
      </c>
      <c r="J374" s="12" t="inlineStr">
        <is>
          <t>Furniture</t>
        </is>
      </c>
      <c r="K374" s="12" t="inlineStr">
        <is>
          <t>Chairs</t>
        </is>
      </c>
      <c r="L374" s="12" t="inlineStr">
        <is>
          <t>Max Chairs 181</t>
        </is>
      </c>
      <c r="M374" s="12" t="inlineStr">
        <is>
          <t>Same Day</t>
        </is>
      </c>
      <c r="N374" s="12" t="n">
        <v>5</v>
      </c>
      <c r="O374" s="12" t="n">
        <v>1530.36</v>
      </c>
      <c r="P374" s="12" t="n">
        <v>0</v>
      </c>
      <c r="Q374" s="12" t="n">
        <v>7651.8</v>
      </c>
      <c r="R374" s="12" t="n">
        <v>5171.78</v>
      </c>
      <c r="S374" s="12" t="n">
        <v>2480.02</v>
      </c>
      <c r="T374" s="12" t="inlineStr">
        <is>
          <t>Paid</t>
        </is>
      </c>
      <c r="U374" s="12" t="inlineStr">
        <is>
          <t>Completed</t>
        </is>
      </c>
      <c r="V374">
        <f>IF(OR(P374="",P374&lt;0,P374&gt;0.5),0,P374)</f>
        <v/>
      </c>
      <c r="W374">
        <f>N374*O374*(1-V374)</f>
        <v/>
      </c>
      <c r="X374">
        <f>W374-R374</f>
        <v/>
      </c>
      <c r="Y374">
        <f>IF(W374=0,0,X374/W374)</f>
        <v/>
      </c>
      <c r="Z374">
        <f>C374-B374</f>
        <v/>
      </c>
      <c r="AA374">
        <f>TEXT(B374,"mmmm")</f>
        <v/>
      </c>
      <c r="AB374">
        <f>YEAR(B374)</f>
        <v/>
      </c>
      <c r="AC374">
        <f>IF(OR(P374&lt;0,P374&gt;0.5,C374&lt;B374),"INVALID","CLEAN")</f>
        <v/>
      </c>
    </row>
    <row r="375">
      <c r="A375" s="12" t="inlineStr">
        <is>
          <t>ORD-2025-10374</t>
        </is>
      </c>
      <c r="B375" s="12" t="inlineStr">
        <is>
          <t>2025-04-13</t>
        </is>
      </c>
      <c r="C375" s="12" t="inlineStr">
        <is>
          <t>2025-04-13</t>
        </is>
      </c>
      <c r="D375" s="12" t="inlineStr">
        <is>
          <t>CUST-8566</t>
        </is>
      </c>
      <c r="E375" s="12" t="inlineStr">
        <is>
          <t>Sneha Kapoor</t>
        </is>
      </c>
      <c r="F375" s="12" t="inlineStr">
        <is>
          <t>Small Business</t>
        </is>
      </c>
      <c r="G375" s="12" t="inlineStr">
        <is>
          <t>North</t>
        </is>
      </c>
      <c r="H375" s="12" t="inlineStr">
        <is>
          <t>Uttar Pradesh</t>
        </is>
      </c>
      <c r="I375" s="12" t="inlineStr">
        <is>
          <t>Noida</t>
        </is>
      </c>
      <c r="J375" s="12" t="inlineStr">
        <is>
          <t>Office Supplies</t>
        </is>
      </c>
      <c r="K375" s="12" t="inlineStr">
        <is>
          <t>Storage</t>
        </is>
      </c>
      <c r="L375" s="12" t="inlineStr">
        <is>
          <t>Prime Storage 951</t>
        </is>
      </c>
      <c r="M375" s="12" t="inlineStr">
        <is>
          <t>Second Class</t>
        </is>
      </c>
      <c r="N375" s="12" t="n">
        <v>9</v>
      </c>
      <c r="O375" s="12" t="n">
        <v>1118.68</v>
      </c>
      <c r="P375" s="12" t="n">
        <v>0</v>
      </c>
      <c r="Q375" s="12" t="n">
        <v>10068.12</v>
      </c>
      <c r="R375" s="12" t="n">
        <v>8595.370000000001</v>
      </c>
      <c r="S375" s="12" t="n">
        <v>1472.75</v>
      </c>
      <c r="T375" s="12" t="inlineStr">
        <is>
          <t>Paid</t>
        </is>
      </c>
      <c r="U375" s="12" t="inlineStr">
        <is>
          <t>Completed</t>
        </is>
      </c>
      <c r="V375">
        <f>IF(OR(P375="",P375&lt;0,P375&gt;0.5),0,P375)</f>
        <v/>
      </c>
      <c r="W375">
        <f>N375*O375*(1-V375)</f>
        <v/>
      </c>
      <c r="X375">
        <f>W375-R375</f>
        <v/>
      </c>
      <c r="Y375">
        <f>IF(W375=0,0,X375/W375)</f>
        <v/>
      </c>
      <c r="Z375">
        <f>C375-B375</f>
        <v/>
      </c>
      <c r="AA375">
        <f>TEXT(B375,"mmmm")</f>
        <v/>
      </c>
      <c r="AB375">
        <f>YEAR(B375)</f>
        <v/>
      </c>
      <c r="AC375">
        <f>IF(OR(P375&lt;0,P375&gt;0.5,C375&lt;B375),"INVALID","CLEAN")</f>
        <v/>
      </c>
    </row>
    <row r="376">
      <c r="A376" s="12" t="inlineStr">
        <is>
          <t>ORD-2025-10375</t>
        </is>
      </c>
      <c r="B376" s="12" t="inlineStr">
        <is>
          <t>2025-02-27</t>
        </is>
      </c>
      <c r="C376" s="12" t="inlineStr">
        <is>
          <t>28-02-2025</t>
        </is>
      </c>
      <c r="D376" s="12" t="inlineStr">
        <is>
          <t>CUST-2358</t>
        </is>
      </c>
      <c r="E376" s="12" t="inlineStr">
        <is>
          <t>Aditi Sen</t>
        </is>
      </c>
      <c r="F376" s="12" t="inlineStr">
        <is>
          <t>Small Business</t>
        </is>
      </c>
      <c r="G376" s="12" t="inlineStr">
        <is>
          <t>North</t>
        </is>
      </c>
      <c r="H376" s="12" t="inlineStr">
        <is>
          <t>Uttar Pradesh</t>
        </is>
      </c>
      <c r="I376" s="12" t="inlineStr">
        <is>
          <t>Noida</t>
        </is>
      </c>
      <c r="J376" s="12" t="inlineStr">
        <is>
          <t>Office Supplies</t>
        </is>
      </c>
      <c r="K376" s="12" t="inlineStr">
        <is>
          <t>Labels</t>
        </is>
      </c>
      <c r="L376" s="12" t="inlineStr">
        <is>
          <t>Smart Labels 668</t>
        </is>
      </c>
      <c r="M376" s="12" t="inlineStr">
        <is>
          <t>Standard Class</t>
        </is>
      </c>
      <c r="N376" s="12" t="n">
        <v>6</v>
      </c>
      <c r="O376" s="12" t="n">
        <v>2393.25</v>
      </c>
      <c r="P376" s="12" t="n">
        <v>0</v>
      </c>
      <c r="Q376" s="12" t="n">
        <v>14359.5</v>
      </c>
      <c r="R376" s="12" t="n">
        <v>8117.71</v>
      </c>
      <c r="S376" s="12" t="n">
        <v>6241.79</v>
      </c>
      <c r="T376" s="12" t="inlineStr">
        <is>
          <t>Paid</t>
        </is>
      </c>
      <c r="U376" s="12" t="inlineStr">
        <is>
          <t>Completed</t>
        </is>
      </c>
      <c r="V376">
        <f>IF(OR(P376="",P376&lt;0,P376&gt;0.5),0,P376)</f>
        <v/>
      </c>
      <c r="W376">
        <f>N376*O376*(1-V376)</f>
        <v/>
      </c>
      <c r="X376">
        <f>W376-R376</f>
        <v/>
      </c>
      <c r="Y376">
        <f>IF(W376=0,0,X376/W376)</f>
        <v/>
      </c>
      <c r="Z376">
        <f>C376-B376</f>
        <v/>
      </c>
      <c r="AA376">
        <f>TEXT(B376,"mmmm")</f>
        <v/>
      </c>
      <c r="AB376">
        <f>YEAR(B376)</f>
        <v/>
      </c>
      <c r="AC376">
        <f>IF(OR(P376&lt;0,P376&gt;0.5,C376&lt;B376),"INVALID","CLEAN")</f>
        <v/>
      </c>
    </row>
    <row r="377">
      <c r="A377" s="12" t="inlineStr">
        <is>
          <t>ORD-2024-10376</t>
        </is>
      </c>
      <c r="B377" s="12" t="inlineStr">
        <is>
          <t>31-12-2024</t>
        </is>
      </c>
      <c r="C377" s="12" t="inlineStr">
        <is>
          <t>04 Jan 2025</t>
        </is>
      </c>
      <c r="D377" s="12" t="inlineStr">
        <is>
          <t>CUST-2810</t>
        </is>
      </c>
      <c r="E377" s="12" t="inlineStr">
        <is>
          <t>Vikram Iyer</t>
        </is>
      </c>
      <c r="F377" s="12" t="inlineStr">
        <is>
          <t>Consumer</t>
        </is>
      </c>
      <c r="G377" s="12" t="inlineStr">
        <is>
          <t>North</t>
        </is>
      </c>
      <c r="H377" s="12" t="inlineStr">
        <is>
          <t>Delhi</t>
        </is>
      </c>
      <c r="I377" s="12" t="inlineStr">
        <is>
          <t>New Delhi</t>
        </is>
      </c>
      <c r="J377" s="12" t="inlineStr">
        <is>
          <t>Furniture</t>
        </is>
      </c>
      <c r="K377" s="12" t="inlineStr">
        <is>
          <t>Chairs</t>
        </is>
      </c>
      <c r="L377" s="12" t="inlineStr">
        <is>
          <t>Pro Chairs 364</t>
        </is>
      </c>
      <c r="M377" s="12" t="inlineStr">
        <is>
          <t>Same Day</t>
        </is>
      </c>
      <c r="N377" s="12" t="n">
        <v>3</v>
      </c>
      <c r="O377" s="12" t="n">
        <v>1166.61</v>
      </c>
      <c r="P377" s="12" t="n">
        <v>0.25</v>
      </c>
      <c r="Q377" s="12" t="n">
        <v>2624.87</v>
      </c>
      <c r="R377" s="12" t="n">
        <v>2253.88</v>
      </c>
      <c r="S377" s="12" t="n">
        <v>370.99</v>
      </c>
      <c r="T377" s="12" t="inlineStr">
        <is>
          <t>Paid</t>
        </is>
      </c>
      <c r="U377" s="12" t="inlineStr">
        <is>
          <t>Completed</t>
        </is>
      </c>
      <c r="V377">
        <f>IF(OR(P377="",P377&lt;0,P377&gt;0.5),0,P377)</f>
        <v/>
      </c>
      <c r="W377">
        <f>N377*O377*(1-V377)</f>
        <v/>
      </c>
      <c r="X377">
        <f>W377-R377</f>
        <v/>
      </c>
      <c r="Y377">
        <f>IF(W377=0,0,X377/W377)</f>
        <v/>
      </c>
      <c r="Z377">
        <f>C377-B377</f>
        <v/>
      </c>
      <c r="AA377">
        <f>TEXT(B377,"mmmm")</f>
        <v/>
      </c>
      <c r="AB377">
        <f>YEAR(B377)</f>
        <v/>
      </c>
      <c r="AC377">
        <f>IF(OR(P377&lt;0,P377&gt;0.5,C377&lt;B377),"INVALID","CLEAN")</f>
        <v/>
      </c>
    </row>
    <row r="378">
      <c r="A378" s="12" t="inlineStr">
        <is>
          <t>ORD-2024-10377</t>
        </is>
      </c>
      <c r="B378" s="12" t="inlineStr">
        <is>
          <t>29-12-2024</t>
        </is>
      </c>
      <c r="C378" s="12" t="inlineStr">
        <is>
          <t>2024-12-31</t>
        </is>
      </c>
      <c r="D378" s="12" t="inlineStr">
        <is>
          <t>CUST-5166</t>
        </is>
      </c>
      <c r="E378" s="12" t="inlineStr">
        <is>
          <t>Isha Nair</t>
        </is>
      </c>
      <c r="F378" s="12" t="inlineStr">
        <is>
          <t>Small Business</t>
        </is>
      </c>
      <c r="G378" s="12" t="inlineStr">
        <is>
          <t>East</t>
        </is>
      </c>
      <c r="H378" s="12" t="inlineStr">
        <is>
          <t>Bihar</t>
        </is>
      </c>
      <c r="I378" s="12" t="inlineStr">
        <is>
          <t>Patna</t>
        </is>
      </c>
      <c r="J378" s="12" t="inlineStr">
        <is>
          <t>Furniture</t>
        </is>
      </c>
      <c r="K378" s="12" t="inlineStr">
        <is>
          <t>Chairs</t>
        </is>
      </c>
      <c r="L378" s="12" t="inlineStr">
        <is>
          <t>Basic Chairs 248</t>
        </is>
      </c>
      <c r="M378" s="12" t="inlineStr">
        <is>
          <t>First Class</t>
        </is>
      </c>
      <c r="N378" s="12" t="n">
        <v>6</v>
      </c>
      <c r="O378" s="12" t="n">
        <v>1844.78</v>
      </c>
      <c r="P378" s="12" t="n">
        <v>0.2</v>
      </c>
      <c r="Q378" s="12" t="n">
        <v>8854.940000000001</v>
      </c>
      <c r="R378" s="12" t="n">
        <v>7433.95</v>
      </c>
      <c r="S378" s="12" t="n">
        <v>1420.99</v>
      </c>
      <c r="T378" s="12" t="inlineStr">
        <is>
          <t>Paid</t>
        </is>
      </c>
      <c r="U378" s="12" t="inlineStr">
        <is>
          <t>Completed</t>
        </is>
      </c>
      <c r="V378">
        <f>IF(OR(P378="",P378&lt;0,P378&gt;0.5),0,P378)</f>
        <v/>
      </c>
      <c r="W378">
        <f>N378*O378*(1-V378)</f>
        <v/>
      </c>
      <c r="X378">
        <f>W378-R378</f>
        <v/>
      </c>
      <c r="Y378">
        <f>IF(W378=0,0,X378/W378)</f>
        <v/>
      </c>
      <c r="Z378">
        <f>C378-B378</f>
        <v/>
      </c>
      <c r="AA378">
        <f>TEXT(B378,"mmmm")</f>
        <v/>
      </c>
      <c r="AB378">
        <f>YEAR(B378)</f>
        <v/>
      </c>
      <c r="AC378">
        <f>IF(OR(P378&lt;0,P378&gt;0.5,C378&lt;B378),"INVALID","CLEAN")</f>
        <v/>
      </c>
    </row>
    <row r="379">
      <c r="A379" s="12" t="inlineStr">
        <is>
          <t>ORD-2025-10378</t>
        </is>
      </c>
      <c r="B379" s="12" t="inlineStr">
        <is>
          <t>24 May 2025</t>
        </is>
      </c>
      <c r="C379" s="12" t="inlineStr">
        <is>
          <t>30-05-2025</t>
        </is>
      </c>
      <c r="D379" s="12" t="inlineStr">
        <is>
          <t>CUST-4875</t>
        </is>
      </c>
      <c r="E379" s="12" t="inlineStr">
        <is>
          <t>Kabir Singh</t>
        </is>
      </c>
      <c r="F379" s="12" t="inlineStr">
        <is>
          <t>Small Business</t>
        </is>
      </c>
      <c r="G379" s="12" t="inlineStr">
        <is>
          <t>East</t>
        </is>
      </c>
      <c r="H379" s="12" t="inlineStr">
        <is>
          <t>Odisha</t>
        </is>
      </c>
      <c r="I379" s="12" t="inlineStr">
        <is>
          <t>Bhubaneswar</t>
        </is>
      </c>
      <c r="J379" s="12" t="inlineStr">
        <is>
          <t>Office Supplies</t>
        </is>
      </c>
      <c r="K379" s="12" t="inlineStr">
        <is>
          <t>storage</t>
        </is>
      </c>
      <c r="L379" s="12" t="inlineStr">
        <is>
          <t>Basic Storage 360</t>
        </is>
      </c>
      <c r="M379" s="12" t="inlineStr">
        <is>
          <t>Same Day</t>
        </is>
      </c>
      <c r="N379" s="12" t="n">
        <v>1</v>
      </c>
      <c r="O379" s="12" t="n">
        <v>2564.74</v>
      </c>
      <c r="P379" s="12" t="n">
        <v>0</v>
      </c>
      <c r="Q379" s="12" t="n">
        <v>2564.74</v>
      </c>
      <c r="R379" s="12" t="n">
        <v>1754.58</v>
      </c>
      <c r="S379" s="12" t="n">
        <v>810.16</v>
      </c>
      <c r="T379" s="12" t="inlineStr">
        <is>
          <t>Paid</t>
        </is>
      </c>
      <c r="U379" s="12" t="inlineStr">
        <is>
          <t>Completed</t>
        </is>
      </c>
      <c r="V379">
        <f>IF(OR(P379="",P379&lt;0,P379&gt;0.5),0,P379)</f>
        <v/>
      </c>
      <c r="W379">
        <f>N379*O379*(1-V379)</f>
        <v/>
      </c>
      <c r="X379">
        <f>W379-R379</f>
        <v/>
      </c>
      <c r="Y379">
        <f>IF(W379=0,0,X379/W379)</f>
        <v/>
      </c>
      <c r="Z379">
        <f>C379-B379</f>
        <v/>
      </c>
      <c r="AA379">
        <f>TEXT(B379,"mmmm")</f>
        <v/>
      </c>
      <c r="AB379">
        <f>YEAR(B379)</f>
        <v/>
      </c>
      <c r="AC379">
        <f>IF(OR(P379&lt;0,P379&gt;0.5,C379&lt;B379),"INVALID","CLEAN")</f>
        <v/>
      </c>
    </row>
    <row r="380">
      <c r="A380" s="12" t="inlineStr">
        <is>
          <t>ORD-2025-10379</t>
        </is>
      </c>
      <c r="B380" s="12" t="inlineStr">
        <is>
          <t>22-05-2025</t>
        </is>
      </c>
      <c r="C380" s="12" t="inlineStr">
        <is>
          <t>22-05-2025</t>
        </is>
      </c>
      <c r="D380" s="12" t="inlineStr">
        <is>
          <t>CUST-3154</t>
        </is>
      </c>
      <c r="E380" s="12" t="inlineStr">
        <is>
          <t>Mira Das</t>
        </is>
      </c>
      <c r="F380" s="12" t="inlineStr">
        <is>
          <t>Consumer</t>
        </is>
      </c>
      <c r="G380" s="12" t="inlineStr">
        <is>
          <t>West</t>
        </is>
      </c>
      <c r="H380" s="12" t="inlineStr">
        <is>
          <t>Goa</t>
        </is>
      </c>
      <c r="I380" s="12" t="inlineStr">
        <is>
          <t>Panaji</t>
        </is>
      </c>
      <c r="J380" s="12" t="inlineStr">
        <is>
          <t>Technology</t>
        </is>
      </c>
      <c r="K380" s="12" t="inlineStr">
        <is>
          <t>Accessories</t>
        </is>
      </c>
      <c r="L380" s="12" t="inlineStr">
        <is>
          <t>Basic Accessories 988</t>
        </is>
      </c>
      <c r="M380" s="12" t="inlineStr">
        <is>
          <t>Standard Class</t>
        </is>
      </c>
      <c r="N380" s="12" t="n">
        <v>2</v>
      </c>
      <c r="O380" s="12" t="n">
        <v>3910.61</v>
      </c>
      <c r="P380" s="12" t="n">
        <v>0</v>
      </c>
      <c r="Q380" s="12" t="n">
        <v>7821.22</v>
      </c>
      <c r="R380" s="12" t="n">
        <v>4994.46</v>
      </c>
      <c r="S380" s="12" t="n">
        <v>2826.76</v>
      </c>
      <c r="T380" s="12" t="inlineStr">
        <is>
          <t>Paid</t>
        </is>
      </c>
      <c r="U380" s="12" t="inlineStr">
        <is>
          <t>Completed</t>
        </is>
      </c>
      <c r="V380">
        <f>IF(OR(P380="",P380&lt;0,P380&gt;0.5),0,P380)</f>
        <v/>
      </c>
      <c r="W380">
        <f>N380*O380*(1-V380)</f>
        <v/>
      </c>
      <c r="X380">
        <f>W380-R380</f>
        <v/>
      </c>
      <c r="Y380">
        <f>IF(W380=0,0,X380/W380)</f>
        <v/>
      </c>
      <c r="Z380">
        <f>C380-B380</f>
        <v/>
      </c>
      <c r="AA380">
        <f>TEXT(B380,"mmmm")</f>
        <v/>
      </c>
      <c r="AB380">
        <f>YEAR(B380)</f>
        <v/>
      </c>
      <c r="AC380">
        <f>IF(OR(P380&lt;0,P380&gt;0.5,C380&lt;B380),"INVALID","CLEAN")</f>
        <v/>
      </c>
    </row>
    <row r="381">
      <c r="A381" s="12" t="inlineStr">
        <is>
          <t>ORD-2024-10380</t>
        </is>
      </c>
      <c r="B381" s="12" t="inlineStr">
        <is>
          <t>09/19/2024</t>
        </is>
      </c>
      <c r="C381" s="12" t="inlineStr">
        <is>
          <t>23 Sep 2024</t>
        </is>
      </c>
      <c r="D381" s="12" t="inlineStr">
        <is>
          <t>CUST-6405</t>
        </is>
      </c>
      <c r="E381" s="12" t="inlineStr">
        <is>
          <t>Mira Das</t>
        </is>
      </c>
      <c r="F381" s="12" t="inlineStr">
        <is>
          <t>Small Business</t>
        </is>
      </c>
      <c r="G381" s="12" t="inlineStr">
        <is>
          <t>South</t>
        </is>
      </c>
      <c r="H381" s="12" t="inlineStr">
        <is>
          <t>Kerala</t>
        </is>
      </c>
      <c r="I381" s="12" t="inlineStr">
        <is>
          <t>Kochi</t>
        </is>
      </c>
      <c r="J381" s="12" t="inlineStr">
        <is>
          <t>Office Supplies</t>
        </is>
      </c>
      <c r="K381" s="12" t="inlineStr">
        <is>
          <t>Paper</t>
        </is>
      </c>
      <c r="L381" s="12" t="inlineStr">
        <is>
          <t>Max Paper 334</t>
        </is>
      </c>
      <c r="M381" s="12" t="inlineStr">
        <is>
          <t>Standard Class</t>
        </is>
      </c>
      <c r="N381" s="12" t="n">
        <v>7</v>
      </c>
      <c r="O381" s="12" t="n">
        <v>1136.68</v>
      </c>
      <c r="P381" s="12" t="n"/>
      <c r="Q381" s="12" t="n">
        <v>7956.76</v>
      </c>
      <c r="R381" s="12" t="n">
        <v>4799.54</v>
      </c>
      <c r="S381" s="12" t="n">
        <v>3157.22</v>
      </c>
      <c r="T381" s="12" t="inlineStr">
        <is>
          <t>Paid</t>
        </is>
      </c>
      <c r="U381" s="12" t="inlineStr">
        <is>
          <t>Completed</t>
        </is>
      </c>
      <c r="V381">
        <f>IF(OR(P381="",P381&lt;0,P381&gt;0.5),0,P381)</f>
        <v/>
      </c>
      <c r="W381">
        <f>N381*O381*(1-V381)</f>
        <v/>
      </c>
      <c r="X381">
        <f>W381-R381</f>
        <v/>
      </c>
      <c r="Y381">
        <f>IF(W381=0,0,X381/W381)</f>
        <v/>
      </c>
      <c r="Z381">
        <f>C381-B381</f>
        <v/>
      </c>
      <c r="AA381">
        <f>TEXT(B381,"mmmm")</f>
        <v/>
      </c>
      <c r="AB381">
        <f>YEAR(B381)</f>
        <v/>
      </c>
      <c r="AC381">
        <f>IF(OR(P381&lt;0,P381&gt;0.5,C381&lt;B381),"INVALID","CLEAN")</f>
        <v/>
      </c>
    </row>
    <row r="382">
      <c r="A382" s="12" t="inlineStr">
        <is>
          <t>ORD-2024-10381</t>
        </is>
      </c>
      <c r="B382" s="12" t="inlineStr">
        <is>
          <t>07 Apr 2024</t>
        </is>
      </c>
      <c r="C382" s="12" t="inlineStr">
        <is>
          <t>14-04-2024</t>
        </is>
      </c>
      <c r="D382" s="12" t="inlineStr">
        <is>
          <t>CUST-5779</t>
        </is>
      </c>
      <c r="E382" s="12" t="inlineStr">
        <is>
          <t>Vikram Iyer</t>
        </is>
      </c>
      <c r="F382" s="12" t="inlineStr">
        <is>
          <t>Consumer</t>
        </is>
      </c>
      <c r="G382" s="12" t="inlineStr">
        <is>
          <t>West</t>
        </is>
      </c>
      <c r="H382" s="12" t="inlineStr">
        <is>
          <t>Maharashtra</t>
        </is>
      </c>
      <c r="I382" s="12" t="inlineStr">
        <is>
          <t>Mumbai</t>
        </is>
      </c>
      <c r="J382" s="12" t="inlineStr">
        <is>
          <t>Furniture</t>
        </is>
      </c>
      <c r="K382" s="12" t="inlineStr">
        <is>
          <t>Bookcases</t>
        </is>
      </c>
      <c r="L382" s="12" t="inlineStr">
        <is>
          <t>Prime Bookcases 952</t>
        </is>
      </c>
      <c r="M382" s="12" t="inlineStr">
        <is>
          <t>Same Day</t>
        </is>
      </c>
      <c r="N382" s="12" t="n">
        <v>5</v>
      </c>
      <c r="O382" s="12" t="n">
        <v>2235.85</v>
      </c>
      <c r="P382" s="12" t="n">
        <v>0.25</v>
      </c>
      <c r="Q382" s="12" t="n">
        <v>8384.440000000001</v>
      </c>
      <c r="R382" s="12" t="n">
        <v>4765.96</v>
      </c>
      <c r="S382" s="12" t="n">
        <v>3618.48</v>
      </c>
      <c r="T382" s="12" t="inlineStr">
        <is>
          <t>Paid</t>
        </is>
      </c>
      <c r="U382" s="12" t="inlineStr">
        <is>
          <t>Returned</t>
        </is>
      </c>
      <c r="V382">
        <f>IF(OR(P382="",P382&lt;0,P382&gt;0.5),0,P382)</f>
        <v/>
      </c>
      <c r="W382">
        <f>N382*O382*(1-V382)</f>
        <v/>
      </c>
      <c r="X382">
        <f>W382-R382</f>
        <v/>
      </c>
      <c r="Y382">
        <f>IF(W382=0,0,X382/W382)</f>
        <v/>
      </c>
      <c r="Z382">
        <f>C382-B382</f>
        <v/>
      </c>
      <c r="AA382">
        <f>TEXT(B382,"mmmm")</f>
        <v/>
      </c>
      <c r="AB382">
        <f>YEAR(B382)</f>
        <v/>
      </c>
      <c r="AC382">
        <f>IF(OR(P382&lt;0,P382&gt;0.5,C382&lt;B382),"INVALID","CLEAN")</f>
        <v/>
      </c>
    </row>
    <row r="383">
      <c r="A383" s="12" t="inlineStr">
        <is>
          <t>ORD-2025-10382</t>
        </is>
      </c>
      <c r="B383" s="12" t="inlineStr">
        <is>
          <t>2025-09-19</t>
        </is>
      </c>
      <c r="C383" s="12" t="inlineStr">
        <is>
          <t>23-09-2025</t>
        </is>
      </c>
      <c r="D383" s="12" t="inlineStr">
        <is>
          <t>CUST-9943</t>
        </is>
      </c>
      <c r="E383" s="12" t="inlineStr">
        <is>
          <t>Arjun Bose</t>
        </is>
      </c>
      <c r="F383" s="12" t="inlineStr">
        <is>
          <t>HOME OFFICE</t>
        </is>
      </c>
      <c r="G383" s="12" t="inlineStr">
        <is>
          <t>North</t>
        </is>
      </c>
      <c r="H383" s="12" t="inlineStr">
        <is>
          <t>Delhi</t>
        </is>
      </c>
      <c r="I383" s="12" t="inlineStr">
        <is>
          <t>New Delhi</t>
        </is>
      </c>
      <c r="J383" s="12" t="inlineStr">
        <is>
          <t>Office Supplies</t>
        </is>
      </c>
      <c r="K383" s="12" t="inlineStr">
        <is>
          <t>Binders</t>
        </is>
      </c>
      <c r="L383" s="12" t="inlineStr">
        <is>
          <t>Prime Binders 523</t>
        </is>
      </c>
      <c r="M383" s="12" t="inlineStr">
        <is>
          <t>Standard Class</t>
        </is>
      </c>
      <c r="N383" s="12" t="n">
        <v>4</v>
      </c>
      <c r="O383" s="12" t="n">
        <v>4387.15</v>
      </c>
      <c r="P383" s="12" t="n">
        <v>0.05</v>
      </c>
      <c r="Q383" s="12" t="n">
        <v>16671.17</v>
      </c>
      <c r="R383" s="12" t="n">
        <v>10833.19</v>
      </c>
      <c r="S383" s="12" t="n">
        <v>5837.98</v>
      </c>
      <c r="T383" s="12" t="inlineStr">
        <is>
          <t>Failed</t>
        </is>
      </c>
      <c r="U383" s="12" t="inlineStr">
        <is>
          <t>Cancelled</t>
        </is>
      </c>
      <c r="V383">
        <f>IF(OR(P383="",P383&lt;0,P383&gt;0.5),0,P383)</f>
        <v/>
      </c>
      <c r="W383">
        <f>N383*O383*(1-V383)</f>
        <v/>
      </c>
      <c r="X383">
        <f>W383-R383</f>
        <v/>
      </c>
      <c r="Y383">
        <f>IF(W383=0,0,X383/W383)</f>
        <v/>
      </c>
      <c r="Z383">
        <f>C383-B383</f>
        <v/>
      </c>
      <c r="AA383">
        <f>TEXT(B383,"mmmm")</f>
        <v/>
      </c>
      <c r="AB383">
        <f>YEAR(B383)</f>
        <v/>
      </c>
      <c r="AC383">
        <f>IF(OR(P383&lt;0,P383&gt;0.5,C383&lt;B383),"INVALID","CLEAN")</f>
        <v/>
      </c>
    </row>
    <row r="384">
      <c r="A384" s="12" t="inlineStr">
        <is>
          <t>ORD-2025-10383</t>
        </is>
      </c>
      <c r="B384" s="12" t="inlineStr">
        <is>
          <t>04 Mar 2025</t>
        </is>
      </c>
      <c r="C384" s="12" t="inlineStr">
        <is>
          <t>03/08/2025</t>
        </is>
      </c>
      <c r="D384" s="12" t="inlineStr">
        <is>
          <t>CUST-7098</t>
        </is>
      </c>
      <c r="E384" s="12" t="inlineStr">
        <is>
          <t>Arjun Bose</t>
        </is>
      </c>
      <c r="F384" s="12" t="inlineStr">
        <is>
          <t>Small Business</t>
        </is>
      </c>
      <c r="G384" s="12" t="inlineStr">
        <is>
          <t>East</t>
        </is>
      </c>
      <c r="H384" s="12" t="inlineStr">
        <is>
          <t>Bihar</t>
        </is>
      </c>
      <c r="I384" s="12" t="inlineStr">
        <is>
          <t>Patna</t>
        </is>
      </c>
      <c r="J384" s="12" t="inlineStr">
        <is>
          <t>TECHNOLOGY</t>
        </is>
      </c>
      <c r="K384" s="12" t="inlineStr">
        <is>
          <t>Phones</t>
        </is>
      </c>
      <c r="L384" s="12" t="inlineStr">
        <is>
          <t>Pro Phones 538</t>
        </is>
      </c>
      <c r="M384" s="12" t="inlineStr">
        <is>
          <t>First Class</t>
        </is>
      </c>
      <c r="N384" s="12" t="n">
        <v>3</v>
      </c>
      <c r="O384" s="12" t="n">
        <v>4361.85</v>
      </c>
      <c r="P384" s="12" t="n">
        <v>0.2</v>
      </c>
      <c r="Q384" s="12" t="n">
        <v>10468.44</v>
      </c>
      <c r="R384" s="12" t="n">
        <v>8399.870000000001</v>
      </c>
      <c r="S384" s="12" t="n">
        <v>2068.57</v>
      </c>
      <c r="T384" s="12" t="inlineStr">
        <is>
          <t>Paid</t>
        </is>
      </c>
      <c r="U384" s="12" t="inlineStr">
        <is>
          <t>Completed</t>
        </is>
      </c>
      <c r="V384">
        <f>IF(OR(P384="",P384&lt;0,P384&gt;0.5),0,P384)</f>
        <v/>
      </c>
      <c r="W384">
        <f>N384*O384*(1-V384)</f>
        <v/>
      </c>
      <c r="X384">
        <f>W384-R384</f>
        <v/>
      </c>
      <c r="Y384">
        <f>IF(W384=0,0,X384/W384)</f>
        <v/>
      </c>
      <c r="Z384">
        <f>C384-B384</f>
        <v/>
      </c>
      <c r="AA384">
        <f>TEXT(B384,"mmmm")</f>
        <v/>
      </c>
      <c r="AB384">
        <f>YEAR(B384)</f>
        <v/>
      </c>
      <c r="AC384">
        <f>IF(OR(P384&lt;0,P384&gt;0.5,C384&lt;B384),"INVALID","CLEAN")</f>
        <v/>
      </c>
    </row>
    <row r="385">
      <c r="A385" s="12" t="inlineStr">
        <is>
          <t>ORD-2025-10384</t>
        </is>
      </c>
      <c r="B385" s="12" t="inlineStr">
        <is>
          <t>28 Jun 2025</t>
        </is>
      </c>
      <c r="C385" s="12" t="inlineStr">
        <is>
          <t>05 Jul 2025</t>
        </is>
      </c>
      <c r="D385" s="12" t="inlineStr">
        <is>
          <t>CUST-7438</t>
        </is>
      </c>
      <c r="E385" s="12" t="inlineStr">
        <is>
          <t>Vikram Iyer</t>
        </is>
      </c>
      <c r="F385" s="12" t="inlineStr">
        <is>
          <t>Corporate</t>
        </is>
      </c>
      <c r="G385" s="12" t="inlineStr">
        <is>
          <t>East</t>
        </is>
      </c>
      <c r="H385" s="12" t="inlineStr">
        <is>
          <t>West Bengal</t>
        </is>
      </c>
      <c r="I385" s="12" t="inlineStr">
        <is>
          <t>Kolkata</t>
        </is>
      </c>
      <c r="J385" s="12" t="inlineStr">
        <is>
          <t>Office Supplies</t>
        </is>
      </c>
      <c r="K385" s="12" t="inlineStr">
        <is>
          <t>Art</t>
        </is>
      </c>
      <c r="L385" s="12" t="inlineStr">
        <is>
          <t>Basic Art 608</t>
        </is>
      </c>
      <c r="M385" s="12" t="inlineStr">
        <is>
          <t>First Class</t>
        </is>
      </c>
      <c r="N385" s="12" t="n">
        <v>2</v>
      </c>
      <c r="O385" s="12" t="n">
        <v>2242.75</v>
      </c>
      <c r="P385" s="12" t="n">
        <v>0</v>
      </c>
      <c r="Q385" s="12" t="n">
        <v>4485.5</v>
      </c>
      <c r="R385" s="12" t="n">
        <v>3131.86</v>
      </c>
      <c r="S385" s="12" t="n">
        <v>1353.64</v>
      </c>
      <c r="T385" s="12" t="inlineStr">
        <is>
          <t>Paid</t>
        </is>
      </c>
      <c r="U385" s="12" t="inlineStr">
        <is>
          <t>Cancelled</t>
        </is>
      </c>
      <c r="V385">
        <f>IF(OR(P385="",P385&lt;0,P385&gt;0.5),0,P385)</f>
        <v/>
      </c>
      <c r="W385">
        <f>N385*O385*(1-V385)</f>
        <v/>
      </c>
      <c r="X385">
        <f>W385-R385</f>
        <v/>
      </c>
      <c r="Y385">
        <f>IF(W385=0,0,X385/W385)</f>
        <v/>
      </c>
      <c r="Z385">
        <f>C385-B385</f>
        <v/>
      </c>
      <c r="AA385">
        <f>TEXT(B385,"mmmm")</f>
        <v/>
      </c>
      <c r="AB385">
        <f>YEAR(B385)</f>
        <v/>
      </c>
      <c r="AC385">
        <f>IF(OR(P385&lt;0,P385&gt;0.5,C385&lt;B385),"INVALID","CLEAN")</f>
        <v/>
      </c>
    </row>
    <row r="386">
      <c r="A386" s="12" t="inlineStr">
        <is>
          <t>ORD-2024-10385</t>
        </is>
      </c>
      <c r="B386" s="12" t="inlineStr">
        <is>
          <t>15-03-2024</t>
        </is>
      </c>
      <c r="C386" s="12" t="inlineStr">
        <is>
          <t>2024-03-20</t>
        </is>
      </c>
      <c r="D386" s="12" t="inlineStr">
        <is>
          <t>CUST-8432</t>
        </is>
      </c>
      <c r="E386" s="12" t="inlineStr">
        <is>
          <t>Rohan Mehta</t>
        </is>
      </c>
      <c r="F386" s="12" t="inlineStr">
        <is>
          <t>Consumer</t>
        </is>
      </c>
      <c r="G386" s="12" t="inlineStr">
        <is>
          <t>East</t>
        </is>
      </c>
      <c r="H386" s="12" t="inlineStr">
        <is>
          <t>Jharkhand</t>
        </is>
      </c>
      <c r="I386" s="12" t="inlineStr">
        <is>
          <t>Ranchi</t>
        </is>
      </c>
      <c r="J386" s="12" t="inlineStr">
        <is>
          <t>Technology</t>
        </is>
      </c>
      <c r="K386" s="12" t="inlineStr">
        <is>
          <t>Copiers</t>
        </is>
      </c>
      <c r="L386" s="12" t="inlineStr">
        <is>
          <t>Prime Copiers 820</t>
        </is>
      </c>
      <c r="M386" s="12" t="inlineStr">
        <is>
          <t>Standard Class</t>
        </is>
      </c>
      <c r="N386" s="12" t="n">
        <v>2</v>
      </c>
      <c r="O386" s="12" t="n">
        <v>1881.4</v>
      </c>
      <c r="P386" s="12" t="n">
        <v>0.25</v>
      </c>
      <c r="Q386" s="12" t="n">
        <v>2822.1</v>
      </c>
      <c r="R386" s="12" t="n">
        <v>1624.57</v>
      </c>
      <c r="S386" s="12" t="n">
        <v>1197.53</v>
      </c>
      <c r="T386" s="12" t="inlineStr">
        <is>
          <t>Paid</t>
        </is>
      </c>
      <c r="U386" s="12" t="inlineStr">
        <is>
          <t>Returned</t>
        </is>
      </c>
      <c r="V386">
        <f>IF(OR(P386="",P386&lt;0,P386&gt;0.5),0,P386)</f>
        <v/>
      </c>
      <c r="W386">
        <f>N386*O386*(1-V386)</f>
        <v/>
      </c>
      <c r="X386">
        <f>W386-R386</f>
        <v/>
      </c>
      <c r="Y386">
        <f>IF(W386=0,0,X386/W386)</f>
        <v/>
      </c>
      <c r="Z386">
        <f>C386-B386</f>
        <v/>
      </c>
      <c r="AA386">
        <f>TEXT(B386,"mmmm")</f>
        <v/>
      </c>
      <c r="AB386">
        <f>YEAR(B386)</f>
        <v/>
      </c>
      <c r="AC386">
        <f>IF(OR(P386&lt;0,P386&gt;0.5,C386&lt;B386),"INVALID","CLEAN")</f>
        <v/>
      </c>
    </row>
    <row r="387">
      <c r="A387" s="12" t="inlineStr">
        <is>
          <t>ORD-2025-10386</t>
        </is>
      </c>
      <c r="B387" s="12" t="inlineStr">
        <is>
          <t>2025-06-24</t>
        </is>
      </c>
      <c r="C387" s="12" t="inlineStr">
        <is>
          <t>30 Jun 2025</t>
        </is>
      </c>
      <c r="D387" s="12" t="inlineStr">
        <is>
          <t>CUST-2834</t>
        </is>
      </c>
      <c r="E387" s="12" t="inlineStr">
        <is>
          <t>Arjun Bose</t>
        </is>
      </c>
      <c r="F387" s="12" t="inlineStr">
        <is>
          <t>Consumer</t>
        </is>
      </c>
      <c r="G387" s="12" t="inlineStr">
        <is>
          <t>North</t>
        </is>
      </c>
      <c r="H387" s="12" t="inlineStr">
        <is>
          <t>Haryana</t>
        </is>
      </c>
      <c r="I387" s="12" t="inlineStr">
        <is>
          <t>Gurugram</t>
        </is>
      </c>
      <c r="J387" s="12" t="inlineStr">
        <is>
          <t>Office Supplies</t>
        </is>
      </c>
      <c r="K387" s="12" t="inlineStr">
        <is>
          <t>Labels</t>
        </is>
      </c>
      <c r="L387" s="12" t="inlineStr">
        <is>
          <t>Classic Labels 670</t>
        </is>
      </c>
      <c r="M387" s="12" t="inlineStr">
        <is>
          <t>Standard Class</t>
        </is>
      </c>
      <c r="N387" s="12" t="n">
        <v>6</v>
      </c>
      <c r="O387" s="12" t="n">
        <v>365.76</v>
      </c>
      <c r="P387" s="12" t="n">
        <v>0.1</v>
      </c>
      <c r="Q387" s="12" t="n">
        <v>1975.1</v>
      </c>
      <c r="R387" s="12" t="n">
        <v>1115.35</v>
      </c>
      <c r="S387" s="12" t="n">
        <v>859.75</v>
      </c>
      <c r="T387" s="12" t="inlineStr">
        <is>
          <t>Paid</t>
        </is>
      </c>
      <c r="U387" s="12" t="inlineStr">
        <is>
          <t>Completed</t>
        </is>
      </c>
      <c r="V387">
        <f>IF(OR(P387="",P387&lt;0,P387&gt;0.5),0,P387)</f>
        <v/>
      </c>
      <c r="W387">
        <f>N387*O387*(1-V387)</f>
        <v/>
      </c>
      <c r="X387">
        <f>W387-R387</f>
        <v/>
      </c>
      <c r="Y387">
        <f>IF(W387=0,0,X387/W387)</f>
        <v/>
      </c>
      <c r="Z387">
        <f>C387-B387</f>
        <v/>
      </c>
      <c r="AA387">
        <f>TEXT(B387,"mmmm")</f>
        <v/>
      </c>
      <c r="AB387">
        <f>YEAR(B387)</f>
        <v/>
      </c>
      <c r="AC387">
        <f>IF(OR(P387&lt;0,P387&gt;0.5,C387&lt;B387),"INVALID","CLEAN")</f>
        <v/>
      </c>
    </row>
    <row r="388">
      <c r="A388" s="12" t="inlineStr">
        <is>
          <t>ORD-2025-10387</t>
        </is>
      </c>
      <c r="B388" s="12" t="inlineStr">
        <is>
          <t>02/12/2025</t>
        </is>
      </c>
      <c r="C388" s="12" t="inlineStr">
        <is>
          <t>14-02-2025</t>
        </is>
      </c>
      <c r="D388" s="12" t="inlineStr">
        <is>
          <t>CUST-4222</t>
        </is>
      </c>
      <c r="E388" s="12" t="inlineStr">
        <is>
          <t>Sneha Kapoor</t>
        </is>
      </c>
      <c r="F388" s="12" t="inlineStr">
        <is>
          <t>Consumer</t>
        </is>
      </c>
      <c r="G388" s="12" t="inlineStr">
        <is>
          <t>West</t>
        </is>
      </c>
      <c r="H388" s="12" t="inlineStr">
        <is>
          <t>Maharashtra</t>
        </is>
      </c>
      <c r="I388" s="12" t="inlineStr">
        <is>
          <t>Mumbai</t>
        </is>
      </c>
      <c r="J388" s="12" t="inlineStr">
        <is>
          <t>Furniture</t>
        </is>
      </c>
      <c r="K388" s="12" t="inlineStr">
        <is>
          <t>Furnishings</t>
        </is>
      </c>
      <c r="L388" s="12" t="inlineStr">
        <is>
          <t>Prime Furnishings 597</t>
        </is>
      </c>
      <c r="M388" s="12" t="inlineStr">
        <is>
          <t>Second Class</t>
        </is>
      </c>
      <c r="N388" s="12" t="n">
        <v>8</v>
      </c>
      <c r="O388" s="12" t="n">
        <v>2786.66</v>
      </c>
      <c r="P388" s="12" t="n">
        <v>0.1</v>
      </c>
      <c r="Q388" s="12" t="n">
        <v>20063.95</v>
      </c>
      <c r="R388" s="12" t="n">
        <v>14363.38</v>
      </c>
      <c r="S388" s="12" t="n">
        <v>5700.57</v>
      </c>
      <c r="T388" s="12" t="inlineStr">
        <is>
          <t>Paid</t>
        </is>
      </c>
      <c r="U388" s="12" t="inlineStr">
        <is>
          <t>Completed</t>
        </is>
      </c>
      <c r="V388">
        <f>IF(OR(P388="",P388&lt;0,P388&gt;0.5),0,P388)</f>
        <v/>
      </c>
      <c r="W388">
        <f>N388*O388*(1-V388)</f>
        <v/>
      </c>
      <c r="X388">
        <f>W388-R388</f>
        <v/>
      </c>
      <c r="Y388">
        <f>IF(W388=0,0,X388/W388)</f>
        <v/>
      </c>
      <c r="Z388">
        <f>C388-B388</f>
        <v/>
      </c>
      <c r="AA388">
        <f>TEXT(B388,"mmmm")</f>
        <v/>
      </c>
      <c r="AB388">
        <f>YEAR(B388)</f>
        <v/>
      </c>
      <c r="AC388">
        <f>IF(OR(P388&lt;0,P388&gt;0.5,C388&lt;B388),"INVALID","CLEAN")</f>
        <v/>
      </c>
    </row>
    <row r="389">
      <c r="A389" s="12" t="inlineStr">
        <is>
          <t>ORD-2025-10388</t>
        </is>
      </c>
      <c r="B389" s="12" t="inlineStr">
        <is>
          <t>10-08-2025</t>
        </is>
      </c>
      <c r="C389" s="12" t="inlineStr">
        <is>
          <t>08/13/2025</t>
        </is>
      </c>
      <c r="D389" s="12" t="inlineStr">
        <is>
          <t>CUST-1053</t>
        </is>
      </c>
      <c r="E389" s="12" t="inlineStr">
        <is>
          <t>Priya Menon</t>
        </is>
      </c>
      <c r="F389" s="12" t="inlineStr">
        <is>
          <t>Small Business</t>
        </is>
      </c>
      <c r="G389" s="12" t="inlineStr">
        <is>
          <t>West</t>
        </is>
      </c>
      <c r="H389" s="12" t="inlineStr">
        <is>
          <t>Madhya Pradesh</t>
        </is>
      </c>
      <c r="I389" s="12" t="inlineStr">
        <is>
          <t>Indore</t>
        </is>
      </c>
      <c r="J389" s="12" t="inlineStr">
        <is>
          <t>Furniture</t>
        </is>
      </c>
      <c r="K389" s="12" t="inlineStr">
        <is>
          <t>Chairs</t>
        </is>
      </c>
      <c r="L389" s="12" t="inlineStr">
        <is>
          <t>Prime Chairs 196</t>
        </is>
      </c>
      <c r="M389" s="12" t="inlineStr">
        <is>
          <t>Standard Class</t>
        </is>
      </c>
      <c r="N389" s="12" t="n">
        <v>5</v>
      </c>
      <c r="O389" s="12" t="n">
        <v>352.86</v>
      </c>
      <c r="P389" s="12" t="n">
        <v>0</v>
      </c>
      <c r="Q389" s="12" t="n">
        <v>1764.3</v>
      </c>
      <c r="R389" s="12" t="n">
        <v>1332.49</v>
      </c>
      <c r="S389" s="12" t="n">
        <v>431.81</v>
      </c>
      <c r="T389" s="12" t="inlineStr">
        <is>
          <t>Pending</t>
        </is>
      </c>
      <c r="U389" s="12" t="inlineStr">
        <is>
          <t>Cancelled</t>
        </is>
      </c>
      <c r="V389">
        <f>IF(OR(P389="",P389&lt;0,P389&gt;0.5),0,P389)</f>
        <v/>
      </c>
      <c r="W389">
        <f>N389*O389*(1-V389)</f>
        <v/>
      </c>
      <c r="X389">
        <f>W389-R389</f>
        <v/>
      </c>
      <c r="Y389">
        <f>IF(W389=0,0,X389/W389)</f>
        <v/>
      </c>
      <c r="Z389">
        <f>C389-B389</f>
        <v/>
      </c>
      <c r="AA389">
        <f>TEXT(B389,"mmmm")</f>
        <v/>
      </c>
      <c r="AB389">
        <f>YEAR(B389)</f>
        <v/>
      </c>
      <c r="AC389">
        <f>IF(OR(P389&lt;0,P389&gt;0.5,C389&lt;B389),"INVALID","CLEAN")</f>
        <v/>
      </c>
    </row>
    <row r="390">
      <c r="A390" s="12" t="inlineStr">
        <is>
          <t>ORD-2024-10389</t>
        </is>
      </c>
      <c r="B390" s="12" t="inlineStr">
        <is>
          <t>2024-05-13</t>
        </is>
      </c>
      <c r="C390" s="12" t="inlineStr">
        <is>
          <t>18 May 2024</t>
        </is>
      </c>
      <c r="D390" s="12" t="inlineStr">
        <is>
          <t>CUST-1457</t>
        </is>
      </c>
      <c r="E390" s="12" t="inlineStr">
        <is>
          <t>Isha Nair</t>
        </is>
      </c>
      <c r="F390" s="12" t="inlineStr">
        <is>
          <t>Small Business</t>
        </is>
      </c>
      <c r="G390" s="12" t="inlineStr">
        <is>
          <t>West</t>
        </is>
      </c>
      <c r="H390" s="12" t="inlineStr">
        <is>
          <t>Gujarat</t>
        </is>
      </c>
      <c r="I390" s="12" t="inlineStr">
        <is>
          <t>Ahmedabad</t>
        </is>
      </c>
      <c r="J390" s="12" t="inlineStr">
        <is>
          <t>Furniture</t>
        </is>
      </c>
      <c r="K390" s="12" t="inlineStr">
        <is>
          <t>Chairs</t>
        </is>
      </c>
      <c r="L390" s="12" t="inlineStr">
        <is>
          <t>Elite Chairs 639</t>
        </is>
      </c>
      <c r="M390" s="12" t="inlineStr">
        <is>
          <t>Standard Class</t>
        </is>
      </c>
      <c r="N390" s="12" t="n">
        <v>3</v>
      </c>
      <c r="O390" s="12" t="n">
        <v>3128.59</v>
      </c>
      <c r="P390" s="12" t="n">
        <v>0</v>
      </c>
      <c r="Q390" s="12" t="n">
        <v>9385.77</v>
      </c>
      <c r="R390" s="12" t="n">
        <v>6872.44</v>
      </c>
      <c r="S390" s="12" t="n">
        <v>2783.66</v>
      </c>
      <c r="T390" s="12" t="inlineStr">
        <is>
          <t>Paid</t>
        </is>
      </c>
      <c r="U390" s="12" t="inlineStr">
        <is>
          <t>Completed</t>
        </is>
      </c>
      <c r="V390">
        <f>IF(OR(P390="",P390&lt;0,P390&gt;0.5),0,P390)</f>
        <v/>
      </c>
      <c r="W390">
        <f>N390*O390*(1-V390)</f>
        <v/>
      </c>
      <c r="X390">
        <f>W390-R390</f>
        <v/>
      </c>
      <c r="Y390">
        <f>IF(W390=0,0,X390/W390)</f>
        <v/>
      </c>
      <c r="Z390">
        <f>C390-B390</f>
        <v/>
      </c>
      <c r="AA390">
        <f>TEXT(B390,"mmmm")</f>
        <v/>
      </c>
      <c r="AB390">
        <f>YEAR(B390)</f>
        <v/>
      </c>
      <c r="AC390">
        <f>IF(OR(P390&lt;0,P390&gt;0.5,C390&lt;B390),"INVALID","CLEAN")</f>
        <v/>
      </c>
    </row>
    <row r="391">
      <c r="A391" s="12" t="inlineStr">
        <is>
          <t>ORD-2024-10390</t>
        </is>
      </c>
      <c r="B391" s="12" t="inlineStr">
        <is>
          <t>05 Apr 2024</t>
        </is>
      </c>
      <c r="C391" s="12" t="inlineStr">
        <is>
          <t>13 Apr 2024</t>
        </is>
      </c>
      <c r="D391" s="12" t="inlineStr">
        <is>
          <t>CUST-3930</t>
        </is>
      </c>
      <c r="E391" s="12" t="inlineStr">
        <is>
          <t>Diya Patel</t>
        </is>
      </c>
      <c r="F391" s="12" t="inlineStr">
        <is>
          <t>Corporate</t>
        </is>
      </c>
      <c r="G391" s="12" t="inlineStr">
        <is>
          <t>West</t>
        </is>
      </c>
      <c r="H391" s="12" t="inlineStr">
        <is>
          <t>Gujarat</t>
        </is>
      </c>
      <c r="I391" s="12" t="inlineStr">
        <is>
          <t>Ahmedabad</t>
        </is>
      </c>
      <c r="J391" s="12" t="inlineStr">
        <is>
          <t>Technology</t>
        </is>
      </c>
      <c r="K391" s="12" t="inlineStr">
        <is>
          <t>Machines</t>
        </is>
      </c>
      <c r="L391" s="12" t="inlineStr">
        <is>
          <t>Elite Machines 563</t>
        </is>
      </c>
      <c r="M391" s="12" t="inlineStr">
        <is>
          <t>Second Class</t>
        </is>
      </c>
      <c r="N391" s="12" t="n">
        <v>5</v>
      </c>
      <c r="O391" s="12" t="n">
        <v>1937.54</v>
      </c>
      <c r="P391" s="12" t="n">
        <v>0.2</v>
      </c>
      <c r="Q391" s="12" t="n">
        <v>7750.16</v>
      </c>
      <c r="R391" s="12" t="n">
        <v>5434.3</v>
      </c>
      <c r="S391" s="12" t="n">
        <v>2315.86</v>
      </c>
      <c r="T391" s="12" t="inlineStr">
        <is>
          <t>Pending</t>
        </is>
      </c>
      <c r="U391" s="12" t="inlineStr">
        <is>
          <t>Cancelled</t>
        </is>
      </c>
      <c r="V391">
        <f>IF(OR(P391="",P391&lt;0,P391&gt;0.5),0,P391)</f>
        <v/>
      </c>
      <c r="W391">
        <f>N391*O391*(1-V391)</f>
        <v/>
      </c>
      <c r="X391">
        <f>W391-R391</f>
        <v/>
      </c>
      <c r="Y391">
        <f>IF(W391=0,0,X391/W391)</f>
        <v/>
      </c>
      <c r="Z391">
        <f>C391-B391</f>
        <v/>
      </c>
      <c r="AA391">
        <f>TEXT(B391,"mmmm")</f>
        <v/>
      </c>
      <c r="AB391">
        <f>YEAR(B391)</f>
        <v/>
      </c>
      <c r="AC391">
        <f>IF(OR(P391&lt;0,P391&gt;0.5,C391&lt;B391),"INVALID","CLEAN")</f>
        <v/>
      </c>
    </row>
    <row r="392">
      <c r="A392" s="12" t="inlineStr">
        <is>
          <t>ORD-2024-10391</t>
        </is>
      </c>
      <c r="B392" s="12" t="inlineStr">
        <is>
          <t>06 Nov 2024</t>
        </is>
      </c>
      <c r="C392" s="12" t="inlineStr">
        <is>
          <t>11-11-2024</t>
        </is>
      </c>
      <c r="D392" s="12" t="inlineStr">
        <is>
          <t>CUST-7853</t>
        </is>
      </c>
      <c r="E392" s="12" t="inlineStr">
        <is>
          <t>Isha Nair</t>
        </is>
      </c>
      <c r="F392" s="12" t="inlineStr">
        <is>
          <t>Consumer</t>
        </is>
      </c>
      <c r="G392" s="12" t="inlineStr">
        <is>
          <t>West</t>
        </is>
      </c>
      <c r="H392" s="12" t="inlineStr">
        <is>
          <t>Gujarat</t>
        </is>
      </c>
      <c r="I392" s="12" t="inlineStr">
        <is>
          <t>Ahmedabad</t>
        </is>
      </c>
      <c r="J392" s="12" t="inlineStr">
        <is>
          <t>Furniture</t>
        </is>
      </c>
      <c r="K392" s="12" t="inlineStr">
        <is>
          <t>Furnishings</t>
        </is>
      </c>
      <c r="L392" s="12" t="inlineStr">
        <is>
          <t>Pro Furnishings 281</t>
        </is>
      </c>
      <c r="M392" s="12" t="inlineStr">
        <is>
          <t>Standard Class</t>
        </is>
      </c>
      <c r="N392" s="12" t="n">
        <v>4</v>
      </c>
      <c r="O392" s="12" t="n">
        <v>1917.26</v>
      </c>
      <c r="P392" s="12" t="n">
        <v>0.2</v>
      </c>
      <c r="Q392" s="12" t="n">
        <v>6135.23</v>
      </c>
      <c r="R392" s="12" t="n">
        <v>3439.79</v>
      </c>
      <c r="S392" s="12" t="n">
        <v>2695.44</v>
      </c>
      <c r="T392" s="12" t="inlineStr">
        <is>
          <t>Paid</t>
        </is>
      </c>
      <c r="U392" s="12" t="inlineStr">
        <is>
          <t>Completed</t>
        </is>
      </c>
      <c r="V392">
        <f>IF(OR(P392="",P392&lt;0,P392&gt;0.5),0,P392)</f>
        <v/>
      </c>
      <c r="W392">
        <f>N392*O392*(1-V392)</f>
        <v/>
      </c>
      <c r="X392">
        <f>W392-R392</f>
        <v/>
      </c>
      <c r="Y392">
        <f>IF(W392=0,0,X392/W392)</f>
        <v/>
      </c>
      <c r="Z392">
        <f>C392-B392</f>
        <v/>
      </c>
      <c r="AA392">
        <f>TEXT(B392,"mmmm")</f>
        <v/>
      </c>
      <c r="AB392">
        <f>YEAR(B392)</f>
        <v/>
      </c>
      <c r="AC392">
        <f>IF(OR(P392&lt;0,P392&gt;0.5,C392&lt;B392),"INVALID","CLEAN")</f>
        <v/>
      </c>
    </row>
    <row r="393">
      <c r="A393" s="12" t="inlineStr">
        <is>
          <t>ORD-2025-10392</t>
        </is>
      </c>
      <c r="B393" s="12" t="inlineStr">
        <is>
          <t>14-02-2025</t>
        </is>
      </c>
      <c r="C393" s="12" t="inlineStr">
        <is>
          <t>14 Feb 2025</t>
        </is>
      </c>
      <c r="D393" s="12" t="inlineStr">
        <is>
          <t>CUST-2267</t>
        </is>
      </c>
      <c r="E393" s="12" t="inlineStr">
        <is>
          <t>Diya Patel</t>
        </is>
      </c>
      <c r="F393" s="12" t="inlineStr">
        <is>
          <t>Consumer</t>
        </is>
      </c>
      <c r="G393" s="12" t="inlineStr">
        <is>
          <t>South</t>
        </is>
      </c>
      <c r="H393" s="12" t="inlineStr">
        <is>
          <t>Karnataka</t>
        </is>
      </c>
      <c r="I393" s="12" t="inlineStr">
        <is>
          <t>Bengaluru</t>
        </is>
      </c>
      <c r="J393" s="12" t="inlineStr">
        <is>
          <t>Office Supplies</t>
        </is>
      </c>
      <c r="K393" s="12" t="inlineStr">
        <is>
          <t>Storage</t>
        </is>
      </c>
      <c r="L393" s="12" t="inlineStr">
        <is>
          <t>Eco Storage 285</t>
        </is>
      </c>
      <c r="M393" s="12" t="inlineStr">
        <is>
          <t>First Class</t>
        </is>
      </c>
      <c r="N393" s="12" t="n">
        <v>1</v>
      </c>
      <c r="O393" s="12" t="n">
        <v>714.4299999999999</v>
      </c>
      <c r="P393" s="12" t="n">
        <v>0</v>
      </c>
      <c r="Q393" s="12" t="n">
        <v>714.4299999999999</v>
      </c>
      <c r="R393" s="12" t="n">
        <v>565.4400000000001</v>
      </c>
      <c r="S393" s="12" t="n">
        <v>148.99</v>
      </c>
      <c r="T393" s="12" t="inlineStr">
        <is>
          <t>Paid</t>
        </is>
      </c>
      <c r="U393" s="12" t="inlineStr">
        <is>
          <t>Completed</t>
        </is>
      </c>
      <c r="V393">
        <f>IF(OR(P393="",P393&lt;0,P393&gt;0.5),0,P393)</f>
        <v/>
      </c>
      <c r="W393">
        <f>N393*O393*(1-V393)</f>
        <v/>
      </c>
      <c r="X393">
        <f>W393-R393</f>
        <v/>
      </c>
      <c r="Y393">
        <f>IF(W393=0,0,X393/W393)</f>
        <v/>
      </c>
      <c r="Z393">
        <f>C393-B393</f>
        <v/>
      </c>
      <c r="AA393">
        <f>TEXT(B393,"mmmm")</f>
        <v/>
      </c>
      <c r="AB393">
        <f>YEAR(B393)</f>
        <v/>
      </c>
      <c r="AC393">
        <f>IF(OR(P393&lt;0,P393&gt;0.5,C393&lt;B393),"INVALID","CLEAN")</f>
        <v/>
      </c>
    </row>
    <row r="394">
      <c r="A394" s="12" t="inlineStr">
        <is>
          <t>ORD-2024-10393</t>
        </is>
      </c>
      <c r="B394" s="12" t="inlineStr">
        <is>
          <t>02/19/2024</t>
        </is>
      </c>
      <c r="C394" s="12" t="inlineStr">
        <is>
          <t>22 Feb 2024</t>
        </is>
      </c>
      <c r="D394" s="12" t="inlineStr">
        <is>
          <t>CUST-6866</t>
        </is>
      </c>
      <c r="E394" s="12" t="inlineStr">
        <is>
          <t>Aditi Sen</t>
        </is>
      </c>
      <c r="F394" s="12" t="inlineStr">
        <is>
          <t>Small Business</t>
        </is>
      </c>
      <c r="G394" s="12" t="inlineStr">
        <is>
          <t>South</t>
        </is>
      </c>
      <c r="H394" s="12" t="inlineStr">
        <is>
          <t>Kerala</t>
        </is>
      </c>
      <c r="I394" s="12" t="inlineStr">
        <is>
          <t>Kochi</t>
        </is>
      </c>
      <c r="J394" s="12" t="inlineStr">
        <is>
          <t>Furniture</t>
        </is>
      </c>
      <c r="K394" s="12" t="inlineStr">
        <is>
          <t>Furnishings</t>
        </is>
      </c>
      <c r="L394" s="12" t="inlineStr">
        <is>
          <t>Classic Furnishings 746</t>
        </is>
      </c>
      <c r="M394" s="12" t="inlineStr">
        <is>
          <t>Same Day</t>
        </is>
      </c>
      <c r="N394" s="12" t="n">
        <v>9</v>
      </c>
      <c r="O394" s="12" t="n">
        <v>4053.01</v>
      </c>
      <c r="P394" s="12" t="n">
        <v>0</v>
      </c>
      <c r="Q394" s="12" t="n">
        <v>36477.09</v>
      </c>
      <c r="R394" s="12" t="n">
        <v>24525.48</v>
      </c>
      <c r="S394" s="12" t="n">
        <v>11951.61</v>
      </c>
      <c r="T394" s="12" t="inlineStr">
        <is>
          <t>Paid</t>
        </is>
      </c>
      <c r="U394" s="12" t="inlineStr">
        <is>
          <t>Completed</t>
        </is>
      </c>
      <c r="V394">
        <f>IF(OR(P394="",P394&lt;0,P394&gt;0.5),0,P394)</f>
        <v/>
      </c>
      <c r="W394">
        <f>N394*O394*(1-V394)</f>
        <v/>
      </c>
      <c r="X394">
        <f>W394-R394</f>
        <v/>
      </c>
      <c r="Y394">
        <f>IF(W394=0,0,X394/W394)</f>
        <v/>
      </c>
      <c r="Z394">
        <f>C394-B394</f>
        <v/>
      </c>
      <c r="AA394">
        <f>TEXT(B394,"mmmm")</f>
        <v/>
      </c>
      <c r="AB394">
        <f>YEAR(B394)</f>
        <v/>
      </c>
      <c r="AC394">
        <f>IF(OR(P394&lt;0,P394&gt;0.5,C394&lt;B394),"INVALID","CLEAN")</f>
        <v/>
      </c>
    </row>
    <row r="395">
      <c r="A395" s="12" t="inlineStr">
        <is>
          <t>ORD-2024-10394</t>
        </is>
      </c>
      <c r="B395" s="12" t="inlineStr">
        <is>
          <t>2024-08-23</t>
        </is>
      </c>
      <c r="C395" s="12" t="inlineStr">
        <is>
          <t>08/29/2024</t>
        </is>
      </c>
      <c r="D395" s="12" t="inlineStr">
        <is>
          <t>CUST-3160</t>
        </is>
      </c>
      <c r="E395" s="12" t="inlineStr">
        <is>
          <t>Mira Das</t>
        </is>
      </c>
      <c r="F395" s="12" t="inlineStr">
        <is>
          <t>Corporate</t>
        </is>
      </c>
      <c r="G395" s="12" t="inlineStr">
        <is>
          <t>North</t>
        </is>
      </c>
      <c r="H395" s="12" t="inlineStr">
        <is>
          <t>Uttar Pradesh</t>
        </is>
      </c>
      <c r="I395" s="12" t="inlineStr">
        <is>
          <t>Noida</t>
        </is>
      </c>
      <c r="J395" s="12" t="inlineStr">
        <is>
          <t>Office Supplies</t>
        </is>
      </c>
      <c r="K395" s="12" t="inlineStr">
        <is>
          <t>Labels</t>
        </is>
      </c>
      <c r="L395" s="12" t="inlineStr">
        <is>
          <t>Eco Labels 815</t>
        </is>
      </c>
      <c r="M395" s="12" t="inlineStr">
        <is>
          <t>Same Day</t>
        </is>
      </c>
      <c r="N395" s="12" t="n">
        <v>2</v>
      </c>
      <c r="O395" s="12" t="n">
        <v>1936.91</v>
      </c>
      <c r="P395" s="12" t="n">
        <v>0.05</v>
      </c>
      <c r="Q395" s="12" t="n">
        <v>3680.13</v>
      </c>
      <c r="R395" s="12" t="n">
        <v>2967.46</v>
      </c>
      <c r="S395" s="12" t="n">
        <v>712.67</v>
      </c>
      <c r="T395" s="12" t="inlineStr">
        <is>
          <t>Paid</t>
        </is>
      </c>
      <c r="U395" s="12" t="inlineStr">
        <is>
          <t>Completed</t>
        </is>
      </c>
      <c r="V395">
        <f>IF(OR(P395="",P395&lt;0,P395&gt;0.5),0,P395)</f>
        <v/>
      </c>
      <c r="W395">
        <f>N395*O395*(1-V395)</f>
        <v/>
      </c>
      <c r="X395">
        <f>W395-R395</f>
        <v/>
      </c>
      <c r="Y395">
        <f>IF(W395=0,0,X395/W395)</f>
        <v/>
      </c>
      <c r="Z395">
        <f>C395-B395</f>
        <v/>
      </c>
      <c r="AA395">
        <f>TEXT(B395,"mmmm")</f>
        <v/>
      </c>
      <c r="AB395">
        <f>YEAR(B395)</f>
        <v/>
      </c>
      <c r="AC395">
        <f>IF(OR(P395&lt;0,P395&gt;0.5,C395&lt;B395),"INVALID","CLEAN")</f>
        <v/>
      </c>
    </row>
    <row r="396">
      <c r="A396" s="12" t="inlineStr">
        <is>
          <t>ORD-2024-10395</t>
        </is>
      </c>
      <c r="B396" s="12" t="inlineStr">
        <is>
          <t>03-04-2024</t>
        </is>
      </c>
      <c r="C396" s="12" t="inlineStr">
        <is>
          <t>04 Apr 2024</t>
        </is>
      </c>
      <c r="D396" s="12" t="inlineStr">
        <is>
          <t>CUST-8444</t>
        </is>
      </c>
      <c r="E396" s="12" t="inlineStr">
        <is>
          <t>Kabir Singh</t>
        </is>
      </c>
      <c r="F396" s="12" t="inlineStr">
        <is>
          <t>Consumer</t>
        </is>
      </c>
      <c r="G396" s="12" t="inlineStr">
        <is>
          <t>West</t>
        </is>
      </c>
      <c r="H396" s="12" t="inlineStr">
        <is>
          <t>Maharashtra</t>
        </is>
      </c>
      <c r="I396" s="12" t="inlineStr">
        <is>
          <t>Mumbai</t>
        </is>
      </c>
      <c r="J396" s="12" t="inlineStr">
        <is>
          <t>Furniture</t>
        </is>
      </c>
      <c r="K396" s="12" t="inlineStr">
        <is>
          <t>Furnishings</t>
        </is>
      </c>
      <c r="L396" s="12" t="inlineStr">
        <is>
          <t>Prime Furnishings 879</t>
        </is>
      </c>
      <c r="M396" s="12" t="inlineStr">
        <is>
          <t>First Class</t>
        </is>
      </c>
      <c r="N396" s="12" t="n">
        <v>7</v>
      </c>
      <c r="O396" s="12" t="n">
        <v>3945.21</v>
      </c>
      <c r="P396" s="12" t="n">
        <v>0</v>
      </c>
      <c r="Q396" s="12" t="n">
        <v>27616.47</v>
      </c>
      <c r="R396" s="12" t="n">
        <v>21225.26</v>
      </c>
      <c r="S396" s="12" t="n">
        <v>6391.21</v>
      </c>
      <c r="T396" s="12" t="inlineStr">
        <is>
          <t>Paid</t>
        </is>
      </c>
      <c r="U396" s="12" t="inlineStr">
        <is>
          <t>Completed</t>
        </is>
      </c>
      <c r="V396">
        <f>IF(OR(P396="",P396&lt;0,P396&gt;0.5),0,P396)</f>
        <v/>
      </c>
      <c r="W396">
        <f>N396*O396*(1-V396)</f>
        <v/>
      </c>
      <c r="X396">
        <f>W396-R396</f>
        <v/>
      </c>
      <c r="Y396">
        <f>IF(W396=0,0,X396/W396)</f>
        <v/>
      </c>
      <c r="Z396">
        <f>C396-B396</f>
        <v/>
      </c>
      <c r="AA396">
        <f>TEXT(B396,"mmmm")</f>
        <v/>
      </c>
      <c r="AB396">
        <f>YEAR(B396)</f>
        <v/>
      </c>
      <c r="AC396">
        <f>IF(OR(P396&lt;0,P396&gt;0.5,C396&lt;B396),"INVALID","CLEAN")</f>
        <v/>
      </c>
    </row>
    <row r="397">
      <c r="A397" s="12" t="inlineStr">
        <is>
          <t>ORD-2024-10396</t>
        </is>
      </c>
      <c r="B397" s="12" t="inlineStr">
        <is>
          <t>06/06/2024</t>
        </is>
      </c>
      <c r="C397" s="12" t="inlineStr">
        <is>
          <t>06/07/2024</t>
        </is>
      </c>
      <c r="D397" s="12" t="inlineStr">
        <is>
          <t>CUST-4765</t>
        </is>
      </c>
      <c r="E397" s="12" t="inlineStr">
        <is>
          <t>Rahul Verma</t>
        </is>
      </c>
      <c r="F397" s="12" t="inlineStr">
        <is>
          <t>Home Office</t>
        </is>
      </c>
      <c r="G397" s="12" t="inlineStr">
        <is>
          <t>South</t>
        </is>
      </c>
      <c r="H397" s="12" t="inlineStr">
        <is>
          <t>Tamil Nadu</t>
        </is>
      </c>
      <c r="I397" s="12" t="inlineStr">
        <is>
          <t>Chennai</t>
        </is>
      </c>
      <c r="J397" s="12" t="inlineStr">
        <is>
          <t>Furniture</t>
        </is>
      </c>
      <c r="K397" s="12" t="inlineStr">
        <is>
          <t>Tables</t>
        </is>
      </c>
      <c r="L397" s="12" t="inlineStr">
        <is>
          <t>Pro Tables 142</t>
        </is>
      </c>
      <c r="M397" s="12" t="inlineStr">
        <is>
          <t>Same Day</t>
        </is>
      </c>
      <c r="N397" s="12" t="n">
        <v>7</v>
      </c>
      <c r="O397" s="12" t="n">
        <v>861.91</v>
      </c>
      <c r="P397" s="12" t="n">
        <v>0.05</v>
      </c>
      <c r="Q397" s="12" t="n">
        <v>5731.7</v>
      </c>
      <c r="R397" s="12" t="n">
        <v>4115.56</v>
      </c>
      <c r="S397" s="12" t="n">
        <v>1616.14</v>
      </c>
      <c r="T397" s="12" t="inlineStr">
        <is>
          <t>Paid</t>
        </is>
      </c>
      <c r="U397" s="12" t="inlineStr">
        <is>
          <t>Completed</t>
        </is>
      </c>
      <c r="V397">
        <f>IF(OR(P397="",P397&lt;0,P397&gt;0.5),0,P397)</f>
        <v/>
      </c>
      <c r="W397">
        <f>N397*O397*(1-V397)</f>
        <v/>
      </c>
      <c r="X397">
        <f>W397-R397</f>
        <v/>
      </c>
      <c r="Y397">
        <f>IF(W397=0,0,X397/W397)</f>
        <v/>
      </c>
      <c r="Z397">
        <f>C397-B397</f>
        <v/>
      </c>
      <c r="AA397">
        <f>TEXT(B397,"mmmm")</f>
        <v/>
      </c>
      <c r="AB397">
        <f>YEAR(B397)</f>
        <v/>
      </c>
      <c r="AC397">
        <f>IF(OR(P397&lt;0,P397&gt;0.5,C397&lt;B397),"INVALID","CLEAN")</f>
        <v/>
      </c>
    </row>
    <row r="398">
      <c r="A398" s="12" t="inlineStr">
        <is>
          <t>ORD-2025-10397</t>
        </is>
      </c>
      <c r="B398" s="12" t="inlineStr">
        <is>
          <t>2025-04-14</t>
        </is>
      </c>
      <c r="C398" s="12" t="inlineStr">
        <is>
          <t>22 Apr 2025</t>
        </is>
      </c>
      <c r="D398" s="12" t="inlineStr">
        <is>
          <t>CUST-2280</t>
        </is>
      </c>
      <c r="E398" s="12" t="inlineStr">
        <is>
          <t>Aditi Sen</t>
        </is>
      </c>
      <c r="F398" s="12" t="inlineStr">
        <is>
          <t>Small Business</t>
        </is>
      </c>
      <c r="G398" s="12" t="inlineStr">
        <is>
          <t>South</t>
        </is>
      </c>
      <c r="H398" s="12" t="inlineStr">
        <is>
          <t>Karnataka</t>
        </is>
      </c>
      <c r="I398" s="12" t="inlineStr">
        <is>
          <t>Bengaluru</t>
        </is>
      </c>
      <c r="J398" s="12" t="inlineStr">
        <is>
          <t>Technology</t>
        </is>
      </c>
      <c r="K398" s="12" t="inlineStr">
        <is>
          <t>Machines</t>
        </is>
      </c>
      <c r="L398" s="12" t="inlineStr">
        <is>
          <t>Prime Machines 267</t>
        </is>
      </c>
      <c r="M398" s="12" t="inlineStr">
        <is>
          <t>Standard Class</t>
        </is>
      </c>
      <c r="N398" s="12" t="n">
        <v>2</v>
      </c>
      <c r="O398" s="12" t="n">
        <v>638.73</v>
      </c>
      <c r="P398" s="12" t="n">
        <v>0.05</v>
      </c>
      <c r="Q398" s="12" t="n">
        <v>1213.59</v>
      </c>
      <c r="R398" s="12" t="n">
        <v>956.22</v>
      </c>
      <c r="S398" s="12" t="n">
        <v>257.37</v>
      </c>
      <c r="T398" s="12" t="inlineStr">
        <is>
          <t>Paid</t>
        </is>
      </c>
      <c r="U398" s="12" t="inlineStr">
        <is>
          <t>Completed</t>
        </is>
      </c>
      <c r="V398">
        <f>IF(OR(P398="",P398&lt;0,P398&gt;0.5),0,P398)</f>
        <v/>
      </c>
      <c r="W398">
        <f>N398*O398*(1-V398)</f>
        <v/>
      </c>
      <c r="X398">
        <f>W398-R398</f>
        <v/>
      </c>
      <c r="Y398">
        <f>IF(W398=0,0,X398/W398)</f>
        <v/>
      </c>
      <c r="Z398">
        <f>C398-B398</f>
        <v/>
      </c>
      <c r="AA398">
        <f>TEXT(B398,"mmmm")</f>
        <v/>
      </c>
      <c r="AB398">
        <f>YEAR(B398)</f>
        <v/>
      </c>
      <c r="AC398">
        <f>IF(OR(P398&lt;0,P398&gt;0.5,C398&lt;B398),"INVALID","CLEAN")</f>
        <v/>
      </c>
    </row>
    <row r="399">
      <c r="A399" s="12" t="inlineStr">
        <is>
          <t>ORD-2025-10398</t>
        </is>
      </c>
      <c r="B399" s="12" t="inlineStr">
        <is>
          <t>09 Jun 2025</t>
        </is>
      </c>
      <c r="C399" s="12" t="inlineStr">
        <is>
          <t>10 Jun 2025</t>
        </is>
      </c>
      <c r="D399" s="12" t="inlineStr">
        <is>
          <t>CUST-3177</t>
        </is>
      </c>
      <c r="E399" s="12" t="inlineStr">
        <is>
          <t>Sneha Kapoor</t>
        </is>
      </c>
      <c r="F399" s="12" t="inlineStr">
        <is>
          <t>Small Business</t>
        </is>
      </c>
      <c r="G399" s="12" t="inlineStr">
        <is>
          <t>North</t>
        </is>
      </c>
      <c r="H399" s="12" t="inlineStr">
        <is>
          <t>Uttar Pradesh</t>
        </is>
      </c>
      <c r="I399" s="12" t="inlineStr">
        <is>
          <t>Noida</t>
        </is>
      </c>
      <c r="J399" s="12" t="inlineStr">
        <is>
          <t>Furniture</t>
        </is>
      </c>
      <c r="K399" s="12" t="inlineStr">
        <is>
          <t>Tables</t>
        </is>
      </c>
      <c r="L399" s="12" t="inlineStr">
        <is>
          <t>Eco Tables 378</t>
        </is>
      </c>
      <c r="M399" s="12" t="inlineStr">
        <is>
          <t>Second Class</t>
        </is>
      </c>
      <c r="N399" s="12" t="n">
        <v>2</v>
      </c>
      <c r="O399" s="12" t="n">
        <v>1731.88</v>
      </c>
      <c r="P399" s="12" t="n">
        <v>0</v>
      </c>
      <c r="Q399" s="12" t="n">
        <v>3463.76</v>
      </c>
      <c r="R399" s="12" t="n">
        <v>2143.74</v>
      </c>
      <c r="S399" s="12" t="n">
        <v>1320.02</v>
      </c>
      <c r="T399" s="12" t="inlineStr">
        <is>
          <t>Paid</t>
        </is>
      </c>
      <c r="U399" s="12" t="inlineStr">
        <is>
          <t>Completed</t>
        </is>
      </c>
      <c r="V399">
        <f>IF(OR(P399="",P399&lt;0,P399&gt;0.5),0,P399)</f>
        <v/>
      </c>
      <c r="W399">
        <f>N399*O399*(1-V399)</f>
        <v/>
      </c>
      <c r="X399">
        <f>W399-R399</f>
        <v/>
      </c>
      <c r="Y399">
        <f>IF(W399=0,0,X399/W399)</f>
        <v/>
      </c>
      <c r="Z399">
        <f>C399-B399</f>
        <v/>
      </c>
      <c r="AA399">
        <f>TEXT(B399,"mmmm")</f>
        <v/>
      </c>
      <c r="AB399">
        <f>YEAR(B399)</f>
        <v/>
      </c>
      <c r="AC399">
        <f>IF(OR(P399&lt;0,P399&gt;0.5,C399&lt;B399),"INVALID","CLEAN")</f>
        <v/>
      </c>
    </row>
    <row r="400">
      <c r="A400" s="12" t="inlineStr">
        <is>
          <t>ORD-2024-10399</t>
        </is>
      </c>
      <c r="B400" s="12" t="inlineStr">
        <is>
          <t>19 Jul 2024</t>
        </is>
      </c>
      <c r="C400" s="12" t="inlineStr">
        <is>
          <t>2024-07-26</t>
        </is>
      </c>
      <c r="D400" s="12" t="inlineStr">
        <is>
          <t>CUST-4718</t>
        </is>
      </c>
      <c r="E400" s="12" t="inlineStr">
        <is>
          <t>Vikram Iyer</t>
        </is>
      </c>
      <c r="F400" s="12" t="inlineStr">
        <is>
          <t xml:space="preserve">  Corporate </t>
        </is>
      </c>
      <c r="G400" s="12" t="inlineStr">
        <is>
          <t>North</t>
        </is>
      </c>
      <c r="H400" s="12" t="inlineStr">
        <is>
          <t>Punjab</t>
        </is>
      </c>
      <c r="I400" s="12" t="inlineStr">
        <is>
          <t>Ludhiana</t>
        </is>
      </c>
      <c r="J400" s="12" t="inlineStr">
        <is>
          <t>Technology</t>
        </is>
      </c>
      <c r="K400" s="12" t="inlineStr">
        <is>
          <t>Machines</t>
        </is>
      </c>
      <c r="L400" s="12" t="inlineStr">
        <is>
          <t>Elite Machines 523</t>
        </is>
      </c>
      <c r="M400" s="12" t="inlineStr">
        <is>
          <t>Same Day</t>
        </is>
      </c>
      <c r="N400" s="12" t="n">
        <v>2</v>
      </c>
      <c r="O400" s="12" t="n">
        <v>1263.65</v>
      </c>
      <c r="P400" s="12" t="n">
        <v>0.2</v>
      </c>
      <c r="Q400" s="12" t="n">
        <v>2021.84</v>
      </c>
      <c r="R400" s="12" t="n">
        <v>1355.22</v>
      </c>
      <c r="S400" s="12" t="n">
        <v>666.62</v>
      </c>
      <c r="T400" s="12" t="inlineStr">
        <is>
          <t>Paid</t>
        </is>
      </c>
      <c r="U400" s="12" t="inlineStr">
        <is>
          <t>Completed</t>
        </is>
      </c>
      <c r="V400">
        <f>IF(OR(P400="",P400&lt;0,P400&gt;0.5),0,P400)</f>
        <v/>
      </c>
      <c r="W400">
        <f>N400*O400*(1-V400)</f>
        <v/>
      </c>
      <c r="X400">
        <f>W400-R400</f>
        <v/>
      </c>
      <c r="Y400">
        <f>IF(W400=0,0,X400/W400)</f>
        <v/>
      </c>
      <c r="Z400">
        <f>C400-B400</f>
        <v/>
      </c>
      <c r="AA400">
        <f>TEXT(B400,"mmmm")</f>
        <v/>
      </c>
      <c r="AB400">
        <f>YEAR(B400)</f>
        <v/>
      </c>
      <c r="AC400">
        <f>IF(OR(P400&lt;0,P400&gt;0.5,C400&lt;B400),"INVALID","CLEAN")</f>
        <v/>
      </c>
    </row>
    <row r="401">
      <c r="A401" s="12" t="inlineStr">
        <is>
          <t>ORD-2025-10400</t>
        </is>
      </c>
      <c r="B401" s="12" t="inlineStr">
        <is>
          <t>04/24/2025</t>
        </is>
      </c>
      <c r="C401" s="12" t="inlineStr">
        <is>
          <t>2025-04-29</t>
        </is>
      </c>
      <c r="D401" s="12" t="inlineStr">
        <is>
          <t>CUST-5647</t>
        </is>
      </c>
      <c r="E401" s="12" t="inlineStr">
        <is>
          <t>Diya Patel</t>
        </is>
      </c>
      <c r="F401" s="12" t="inlineStr">
        <is>
          <t>Small Business</t>
        </is>
      </c>
      <c r="G401" s="12" t="inlineStr">
        <is>
          <t>South</t>
        </is>
      </c>
      <c r="H401" s="12" t="inlineStr">
        <is>
          <t>Andhra Pradesh</t>
        </is>
      </c>
      <c r="I401" s="12" t="inlineStr">
        <is>
          <t>Vijayawada</t>
        </is>
      </c>
      <c r="J401" s="12" t="inlineStr">
        <is>
          <t>Office Supplies</t>
        </is>
      </c>
      <c r="K401" s="12" t="inlineStr">
        <is>
          <t>Paper</t>
        </is>
      </c>
      <c r="L401" s="12" t="inlineStr">
        <is>
          <t>Elite Paper 308</t>
        </is>
      </c>
      <c r="M401" s="12" t="inlineStr">
        <is>
          <t>Same Day</t>
        </is>
      </c>
      <c r="N401" s="12" t="n">
        <v>1</v>
      </c>
      <c r="O401" s="12" t="n">
        <v>4358.5</v>
      </c>
      <c r="P401" s="12" t="n">
        <v>0.25</v>
      </c>
      <c r="Q401" s="12" t="n">
        <v>3268.88</v>
      </c>
      <c r="R401" s="12" t="n">
        <v>1993.74</v>
      </c>
      <c r="S401" s="12" t="n">
        <v>1275.14</v>
      </c>
      <c r="T401" s="12" t="inlineStr">
        <is>
          <t>Paid</t>
        </is>
      </c>
      <c r="U401" s="12" t="inlineStr">
        <is>
          <t>Completed</t>
        </is>
      </c>
      <c r="V401">
        <f>IF(OR(P401="",P401&lt;0,P401&gt;0.5),0,P401)</f>
        <v/>
      </c>
      <c r="W401">
        <f>N401*O401*(1-V401)</f>
        <v/>
      </c>
      <c r="X401">
        <f>W401-R401</f>
        <v/>
      </c>
      <c r="Y401">
        <f>IF(W401=0,0,X401/W401)</f>
        <v/>
      </c>
      <c r="Z401">
        <f>C401-B401</f>
        <v/>
      </c>
      <c r="AA401">
        <f>TEXT(B401,"mmmm")</f>
        <v/>
      </c>
      <c r="AB401">
        <f>YEAR(B401)</f>
        <v/>
      </c>
      <c r="AC401">
        <f>IF(OR(P401&lt;0,P401&gt;0.5,C401&lt;B401),"INVALID","CLEAN")</f>
        <v/>
      </c>
    </row>
    <row r="402">
      <c r="A402" s="12" t="inlineStr">
        <is>
          <t>ORD-2025-10401</t>
        </is>
      </c>
      <c r="B402" s="12" t="inlineStr">
        <is>
          <t>06-06-2025</t>
        </is>
      </c>
      <c r="C402" s="12" t="inlineStr">
        <is>
          <t>2025-06-11</t>
        </is>
      </c>
      <c r="D402" s="12" t="inlineStr">
        <is>
          <t>CUST-7150</t>
        </is>
      </c>
      <c r="E402" s="12" t="inlineStr">
        <is>
          <t>Sneha Kapoor</t>
        </is>
      </c>
      <c r="F402" s="12" t="inlineStr">
        <is>
          <t>Small Business</t>
        </is>
      </c>
      <c r="G402" s="12" t="inlineStr">
        <is>
          <t>North</t>
        </is>
      </c>
      <c r="H402" s="12" t="inlineStr">
        <is>
          <t>Uttar Pradesh</t>
        </is>
      </c>
      <c r="I402" s="12" t="inlineStr">
        <is>
          <t>Noida</t>
        </is>
      </c>
      <c r="J402" s="12" t="inlineStr">
        <is>
          <t>Office Supplies</t>
        </is>
      </c>
      <c r="K402" s="12" t="inlineStr">
        <is>
          <t>Paper</t>
        </is>
      </c>
      <c r="L402" s="12" t="inlineStr">
        <is>
          <t>Prime Paper 851</t>
        </is>
      </c>
      <c r="M402" s="12" t="inlineStr">
        <is>
          <t>Same Day</t>
        </is>
      </c>
      <c r="N402" s="12" t="n">
        <v>7</v>
      </c>
      <c r="O402" s="12" t="n">
        <v>878.09</v>
      </c>
      <c r="P402" s="12" t="n">
        <v>-0.1</v>
      </c>
      <c r="Q402" s="12" t="n">
        <v>5839.3</v>
      </c>
      <c r="R402" s="12" t="n">
        <v>4877.38</v>
      </c>
      <c r="S402" s="12" t="n">
        <v>961.92</v>
      </c>
      <c r="T402" s="12" t="inlineStr">
        <is>
          <t>Paid</t>
        </is>
      </c>
      <c r="U402" s="12" t="inlineStr">
        <is>
          <t>Completed</t>
        </is>
      </c>
      <c r="V402">
        <f>IF(OR(P402="",P402&lt;0,P402&gt;0.5),0,P402)</f>
        <v/>
      </c>
      <c r="W402">
        <f>N402*O402*(1-V402)</f>
        <v/>
      </c>
      <c r="X402">
        <f>W402-R402</f>
        <v/>
      </c>
      <c r="Y402">
        <f>IF(W402=0,0,X402/W402)</f>
        <v/>
      </c>
      <c r="Z402">
        <f>C402-B402</f>
        <v/>
      </c>
      <c r="AA402">
        <f>TEXT(B402,"mmmm")</f>
        <v/>
      </c>
      <c r="AB402">
        <f>YEAR(B402)</f>
        <v/>
      </c>
      <c r="AC402">
        <f>IF(OR(P402&lt;0,P402&gt;0.5,C402&lt;B402),"INVALID","CLEAN")</f>
        <v/>
      </c>
    </row>
    <row r="403">
      <c r="A403" s="12" t="inlineStr">
        <is>
          <t>ORD-2025-10402</t>
        </is>
      </c>
      <c r="B403" s="12" t="inlineStr">
        <is>
          <t>09 Mar 2025</t>
        </is>
      </c>
      <c r="C403" s="12" t="inlineStr">
        <is>
          <t>16-03-2025</t>
        </is>
      </c>
      <c r="D403" s="12" t="inlineStr">
        <is>
          <t>CUST-6694</t>
        </is>
      </c>
      <c r="E403" s="12" t="inlineStr">
        <is>
          <t>Arjun Bose</t>
        </is>
      </c>
      <c r="F403" s="12" t="inlineStr">
        <is>
          <t>Small Business</t>
        </is>
      </c>
      <c r="G403" s="12" t="inlineStr">
        <is>
          <t>East</t>
        </is>
      </c>
      <c r="H403" s="12" t="inlineStr">
        <is>
          <t>Jharkhand</t>
        </is>
      </c>
      <c r="I403" s="12" t="inlineStr">
        <is>
          <t>Ranchi</t>
        </is>
      </c>
      <c r="J403" s="12" t="inlineStr">
        <is>
          <t>Furniture</t>
        </is>
      </c>
      <c r="K403" s="12" t="inlineStr">
        <is>
          <t>Tables</t>
        </is>
      </c>
      <c r="L403" s="12" t="inlineStr">
        <is>
          <t>Classic Tables 151</t>
        </is>
      </c>
      <c r="M403" s="12" t="inlineStr">
        <is>
          <t>Same Day</t>
        </is>
      </c>
      <c r="N403" s="12" t="n">
        <v>3</v>
      </c>
      <c r="O403" s="12" t="n">
        <v>2625.85</v>
      </c>
      <c r="P403" s="12" t="n">
        <v>0</v>
      </c>
      <c r="Q403" s="12" t="n">
        <v>7877.55</v>
      </c>
      <c r="R403" s="12" t="n">
        <v>5562.77</v>
      </c>
      <c r="S403" s="12" t="n">
        <v>2314.78</v>
      </c>
      <c r="T403" s="12" t="inlineStr">
        <is>
          <t>Paid</t>
        </is>
      </c>
      <c r="U403" s="12" t="inlineStr">
        <is>
          <t>Completed</t>
        </is>
      </c>
      <c r="V403">
        <f>IF(OR(P403="",P403&lt;0,P403&gt;0.5),0,P403)</f>
        <v/>
      </c>
      <c r="W403">
        <f>N403*O403*(1-V403)</f>
        <v/>
      </c>
      <c r="X403">
        <f>W403-R403</f>
        <v/>
      </c>
      <c r="Y403">
        <f>IF(W403=0,0,X403/W403)</f>
        <v/>
      </c>
      <c r="Z403">
        <f>C403-B403</f>
        <v/>
      </c>
      <c r="AA403">
        <f>TEXT(B403,"mmmm")</f>
        <v/>
      </c>
      <c r="AB403">
        <f>YEAR(B403)</f>
        <v/>
      </c>
      <c r="AC403">
        <f>IF(OR(P403&lt;0,P403&gt;0.5,C403&lt;B403),"INVALID","CLEAN")</f>
        <v/>
      </c>
    </row>
    <row r="404">
      <c r="A404" s="12" t="inlineStr">
        <is>
          <t>ORD-2024-10403</t>
        </is>
      </c>
      <c r="B404" s="12" t="inlineStr">
        <is>
          <t>22 Mar 2024</t>
        </is>
      </c>
      <c r="C404" s="12" t="inlineStr">
        <is>
          <t>03/22/2024</t>
        </is>
      </c>
      <c r="D404" s="12" t="inlineStr">
        <is>
          <t>CUST-7680</t>
        </is>
      </c>
      <c r="E404" s="12" t="inlineStr">
        <is>
          <t>Priya Menon</t>
        </is>
      </c>
      <c r="F404" s="12" t="inlineStr">
        <is>
          <t>Small Business</t>
        </is>
      </c>
      <c r="G404" s="12" t="inlineStr">
        <is>
          <t>South</t>
        </is>
      </c>
      <c r="H404" s="12" t="inlineStr">
        <is>
          <t>Karnataka</t>
        </is>
      </c>
      <c r="I404" s="12" t="inlineStr">
        <is>
          <t>Bengaluru</t>
        </is>
      </c>
      <c r="J404" s="12" t="inlineStr">
        <is>
          <t>Furniture</t>
        </is>
      </c>
      <c r="K404" s="12" t="inlineStr">
        <is>
          <t>Tables</t>
        </is>
      </c>
      <c r="L404" s="12" t="inlineStr">
        <is>
          <t>Smart Tables 829</t>
        </is>
      </c>
      <c r="M404" s="12" t="n"/>
      <c r="N404" s="12" t="n">
        <v>3</v>
      </c>
      <c r="O404" s="12" t="n">
        <v>1365.26</v>
      </c>
      <c r="P404" s="12" t="n">
        <v>0</v>
      </c>
      <c r="Q404" s="12" t="n">
        <v>4095.78</v>
      </c>
      <c r="R404" s="12" t="n">
        <v>2807.77</v>
      </c>
      <c r="S404" s="12" t="n">
        <v>1288.01</v>
      </c>
      <c r="T404" s="12" t="inlineStr">
        <is>
          <t>Paid</t>
        </is>
      </c>
      <c r="U404" s="12" t="inlineStr">
        <is>
          <t>Completed</t>
        </is>
      </c>
      <c r="V404">
        <f>IF(OR(P404="",P404&lt;0,P404&gt;0.5),0,P404)</f>
        <v/>
      </c>
      <c r="W404">
        <f>N404*O404*(1-V404)</f>
        <v/>
      </c>
      <c r="X404">
        <f>W404-R404</f>
        <v/>
      </c>
      <c r="Y404">
        <f>IF(W404=0,0,X404/W404)</f>
        <v/>
      </c>
      <c r="Z404">
        <f>C404-B404</f>
        <v/>
      </c>
      <c r="AA404">
        <f>TEXT(B404,"mmmm")</f>
        <v/>
      </c>
      <c r="AB404">
        <f>YEAR(B404)</f>
        <v/>
      </c>
      <c r="AC404">
        <f>IF(OR(P404&lt;0,P404&gt;0.5,C404&lt;B404),"INVALID","CLEAN")</f>
        <v/>
      </c>
    </row>
    <row r="405">
      <c r="A405" s="12" t="inlineStr">
        <is>
          <t>ORD-2024-10404</t>
        </is>
      </c>
      <c r="B405" s="12" t="inlineStr">
        <is>
          <t>09/30/2024</t>
        </is>
      </c>
      <c r="C405" s="12" t="inlineStr">
        <is>
          <t>04-10-2024</t>
        </is>
      </c>
      <c r="D405" s="12" t="inlineStr">
        <is>
          <t>CUST-2700</t>
        </is>
      </c>
      <c r="E405" s="12" t="inlineStr">
        <is>
          <t>Arjun Bose</t>
        </is>
      </c>
      <c r="F405" s="12" t="inlineStr">
        <is>
          <t>Small Business</t>
        </is>
      </c>
      <c r="G405" s="12" t="inlineStr">
        <is>
          <t>South</t>
        </is>
      </c>
      <c r="H405" s="12" t="inlineStr">
        <is>
          <t>Kerala</t>
        </is>
      </c>
      <c r="I405" s="12" t="inlineStr">
        <is>
          <t>Kochi</t>
        </is>
      </c>
      <c r="J405" s="12" t="inlineStr">
        <is>
          <t>Office Supplies</t>
        </is>
      </c>
      <c r="K405" s="12" t="inlineStr">
        <is>
          <t>PAPER</t>
        </is>
      </c>
      <c r="L405" s="12" t="inlineStr">
        <is>
          <t>Classic Paper 237</t>
        </is>
      </c>
      <c r="M405" s="12" t="inlineStr">
        <is>
          <t>Same Day</t>
        </is>
      </c>
      <c r="N405" s="12" t="n">
        <v>5</v>
      </c>
      <c r="O405" s="12" t="n">
        <v>3512.25</v>
      </c>
      <c r="P405" s="12" t="n">
        <v>0.05</v>
      </c>
      <c r="Q405" s="12" t="n">
        <v>16683.19</v>
      </c>
      <c r="R405" s="12" t="n">
        <v>10301.16</v>
      </c>
      <c r="S405" s="12" t="n">
        <v>6382.03</v>
      </c>
      <c r="T405" s="12" t="inlineStr">
        <is>
          <t>Paid</t>
        </is>
      </c>
      <c r="U405" s="12" t="inlineStr">
        <is>
          <t>Returned</t>
        </is>
      </c>
      <c r="V405">
        <f>IF(OR(P405="",P405&lt;0,P405&gt;0.5),0,P405)</f>
        <v/>
      </c>
      <c r="W405">
        <f>N405*O405*(1-V405)</f>
        <v/>
      </c>
      <c r="X405">
        <f>W405-R405</f>
        <v/>
      </c>
      <c r="Y405">
        <f>IF(W405=0,0,X405/W405)</f>
        <v/>
      </c>
      <c r="Z405">
        <f>C405-B405</f>
        <v/>
      </c>
      <c r="AA405">
        <f>TEXT(B405,"mmmm")</f>
        <v/>
      </c>
      <c r="AB405">
        <f>YEAR(B405)</f>
        <v/>
      </c>
      <c r="AC405">
        <f>IF(OR(P405&lt;0,P405&gt;0.5,C405&lt;B405),"INVALID","CLEAN")</f>
        <v/>
      </c>
    </row>
    <row r="406">
      <c r="A406" s="12" t="inlineStr">
        <is>
          <t>ORD-2024-10405</t>
        </is>
      </c>
      <c r="B406" s="12" t="inlineStr">
        <is>
          <t>27 Jan 2024</t>
        </is>
      </c>
      <c r="C406" s="12" t="inlineStr">
        <is>
          <t>02/03/2024</t>
        </is>
      </c>
      <c r="D406" s="12" t="inlineStr">
        <is>
          <t>CUST-2904</t>
        </is>
      </c>
      <c r="E406" s="12" t="inlineStr">
        <is>
          <t>Aditi Sen</t>
        </is>
      </c>
      <c r="F406" s="12" t="inlineStr">
        <is>
          <t>Corporate</t>
        </is>
      </c>
      <c r="G406" s="12" t="inlineStr">
        <is>
          <t>West</t>
        </is>
      </c>
      <c r="H406" s="12" t="inlineStr">
        <is>
          <t>Rajasthan</t>
        </is>
      </c>
      <c r="I406" s="12" t="inlineStr">
        <is>
          <t>Udaipur</t>
        </is>
      </c>
      <c r="J406" s="12" t="inlineStr">
        <is>
          <t>Furniture</t>
        </is>
      </c>
      <c r="K406" s="12" t="inlineStr">
        <is>
          <t>Chairs</t>
        </is>
      </c>
      <c r="L406" s="12" t="inlineStr">
        <is>
          <t>Prime Chairs 891</t>
        </is>
      </c>
      <c r="M406" s="12" t="inlineStr">
        <is>
          <t>Same Day</t>
        </is>
      </c>
      <c r="N406" s="12" t="n">
        <v>3</v>
      </c>
      <c r="O406" s="12" t="n">
        <v>359.61</v>
      </c>
      <c r="P406" s="12" t="n">
        <v>0</v>
      </c>
      <c r="Q406" s="12" t="n">
        <v>1078.83</v>
      </c>
      <c r="R406" s="12" t="n">
        <v>926.35</v>
      </c>
      <c r="S406" s="12" t="n">
        <v>152.48</v>
      </c>
      <c r="T406" s="12" t="inlineStr">
        <is>
          <t>Paid</t>
        </is>
      </c>
      <c r="U406" s="12" t="inlineStr">
        <is>
          <t xml:space="preserve">  Completed </t>
        </is>
      </c>
      <c r="V406">
        <f>IF(OR(P406="",P406&lt;0,P406&gt;0.5),0,P406)</f>
        <v/>
      </c>
      <c r="W406">
        <f>N406*O406*(1-V406)</f>
        <v/>
      </c>
      <c r="X406">
        <f>W406-R406</f>
        <v/>
      </c>
      <c r="Y406">
        <f>IF(W406=0,0,X406/W406)</f>
        <v/>
      </c>
      <c r="Z406">
        <f>C406-B406</f>
        <v/>
      </c>
      <c r="AA406">
        <f>TEXT(B406,"mmmm")</f>
        <v/>
      </c>
      <c r="AB406">
        <f>YEAR(B406)</f>
        <v/>
      </c>
      <c r="AC406">
        <f>IF(OR(P406&lt;0,P406&gt;0.5,C406&lt;B406),"INVALID","CLEAN")</f>
        <v/>
      </c>
    </row>
    <row r="407">
      <c r="A407" s="12" t="inlineStr">
        <is>
          <t>ORD-2024-10406</t>
        </is>
      </c>
      <c r="B407" s="12" t="inlineStr">
        <is>
          <t>09/23/2024</t>
        </is>
      </c>
      <c r="C407" s="12" t="inlineStr">
        <is>
          <t>24 Sep 2024</t>
        </is>
      </c>
      <c r="D407" s="12" t="inlineStr">
        <is>
          <t>CUST-9961</t>
        </is>
      </c>
      <c r="E407" s="12" t="inlineStr">
        <is>
          <t>Aditi Sen</t>
        </is>
      </c>
      <c r="F407" s="12" t="inlineStr">
        <is>
          <t>Home Office</t>
        </is>
      </c>
      <c r="G407" s="12" t="inlineStr">
        <is>
          <t>West</t>
        </is>
      </c>
      <c r="H407" s="12" t="inlineStr">
        <is>
          <t>Gujarat</t>
        </is>
      </c>
      <c r="I407" s="12" t="inlineStr">
        <is>
          <t>Ahmedabad</t>
        </is>
      </c>
      <c r="J407" s="12" t="inlineStr">
        <is>
          <t>Furniture</t>
        </is>
      </c>
      <c r="K407" s="12" t="inlineStr">
        <is>
          <t>Bookcases</t>
        </is>
      </c>
      <c r="L407" s="12" t="inlineStr">
        <is>
          <t>Max Bookcases 812</t>
        </is>
      </c>
      <c r="M407" s="12" t="n"/>
      <c r="N407" s="12" t="n">
        <v>7</v>
      </c>
      <c r="O407" s="12" t="n">
        <v>3878.01</v>
      </c>
      <c r="P407" s="12" t="n">
        <v>0.1</v>
      </c>
      <c r="Q407" s="12" t="n">
        <v>24431.46</v>
      </c>
      <c r="R407" s="12" t="n">
        <v>18202.36</v>
      </c>
      <c r="S407" s="12" t="n">
        <v>6229.1</v>
      </c>
      <c r="T407" s="12" t="inlineStr">
        <is>
          <t>Paid</t>
        </is>
      </c>
      <c r="U407" s="12" t="inlineStr">
        <is>
          <t>Completed</t>
        </is>
      </c>
      <c r="V407">
        <f>IF(OR(P407="",P407&lt;0,P407&gt;0.5),0,P407)</f>
        <v/>
      </c>
      <c r="W407">
        <f>N407*O407*(1-V407)</f>
        <v/>
      </c>
      <c r="X407">
        <f>W407-R407</f>
        <v/>
      </c>
      <c r="Y407">
        <f>IF(W407=0,0,X407/W407)</f>
        <v/>
      </c>
      <c r="Z407">
        <f>C407-B407</f>
        <v/>
      </c>
      <c r="AA407">
        <f>TEXT(B407,"mmmm")</f>
        <v/>
      </c>
      <c r="AB407">
        <f>YEAR(B407)</f>
        <v/>
      </c>
      <c r="AC407">
        <f>IF(OR(P407&lt;0,P407&gt;0.5,C407&lt;B407),"INVALID","CLEAN")</f>
        <v/>
      </c>
    </row>
    <row r="408">
      <c r="A408" s="12" t="inlineStr">
        <is>
          <t>ORD-2025-10407</t>
        </is>
      </c>
      <c r="B408" s="12" t="inlineStr">
        <is>
          <t>25 Feb 2025</t>
        </is>
      </c>
      <c r="C408" s="12" t="inlineStr">
        <is>
          <t>25 Feb 2025</t>
        </is>
      </c>
      <c r="D408" s="12" t="inlineStr">
        <is>
          <t>CUST-9909</t>
        </is>
      </c>
      <c r="E408" s="12" t="inlineStr">
        <is>
          <t>Kabir Singh</t>
        </is>
      </c>
      <c r="F408" s="12" t="inlineStr">
        <is>
          <t>Small Business</t>
        </is>
      </c>
      <c r="G408" s="12" t="inlineStr">
        <is>
          <t>West</t>
        </is>
      </c>
      <c r="H408" s="12" t="inlineStr">
        <is>
          <t>Goa</t>
        </is>
      </c>
      <c r="I408" s="12" t="inlineStr">
        <is>
          <t>Panaji</t>
        </is>
      </c>
      <c r="J408" s="12" t="inlineStr">
        <is>
          <t>Furniture</t>
        </is>
      </c>
      <c r="K408" s="12" t="inlineStr">
        <is>
          <t>Furnishings</t>
        </is>
      </c>
      <c r="L408" s="12" t="inlineStr">
        <is>
          <t>Basic Furnishings 164</t>
        </is>
      </c>
      <c r="M408" s="12" t="inlineStr">
        <is>
          <t>Standard Class</t>
        </is>
      </c>
      <c r="N408" s="12" t="n">
        <v>2</v>
      </c>
      <c r="O408" s="12" t="n">
        <v>3924.2</v>
      </c>
      <c r="P408" s="12" t="n">
        <v>0.25</v>
      </c>
      <c r="Q408" s="12" t="n">
        <v>5886.3</v>
      </c>
      <c r="R408" s="12" t="n">
        <v>3621.76</v>
      </c>
      <c r="S408" s="12" t="n">
        <v>2264.54</v>
      </c>
      <c r="T408" s="12" t="inlineStr">
        <is>
          <t>Pending</t>
        </is>
      </c>
      <c r="U408" s="12" t="inlineStr">
        <is>
          <t>Returned</t>
        </is>
      </c>
      <c r="V408">
        <f>IF(OR(P408="",P408&lt;0,P408&gt;0.5),0,P408)</f>
        <v/>
      </c>
      <c r="W408">
        <f>N408*O408*(1-V408)</f>
        <v/>
      </c>
      <c r="X408">
        <f>W408-R408</f>
        <v/>
      </c>
      <c r="Y408">
        <f>IF(W408=0,0,X408/W408)</f>
        <v/>
      </c>
      <c r="Z408">
        <f>C408-B408</f>
        <v/>
      </c>
      <c r="AA408">
        <f>TEXT(B408,"mmmm")</f>
        <v/>
      </c>
      <c r="AB408">
        <f>YEAR(B408)</f>
        <v/>
      </c>
      <c r="AC408">
        <f>IF(OR(P408&lt;0,P408&gt;0.5,C408&lt;B408),"INVALID","CLEAN")</f>
        <v/>
      </c>
    </row>
    <row r="409">
      <c r="A409" s="12" t="inlineStr">
        <is>
          <t>ORD-2024-10408</t>
        </is>
      </c>
      <c r="B409" s="12" t="inlineStr">
        <is>
          <t>12 May 2024</t>
        </is>
      </c>
      <c r="C409" s="12" t="inlineStr">
        <is>
          <t>13 May 2024</t>
        </is>
      </c>
      <c r="D409" s="12" t="inlineStr">
        <is>
          <t>CUST-8520</t>
        </is>
      </c>
      <c r="E409" s="12" t="inlineStr">
        <is>
          <t>Rahul Verma</t>
        </is>
      </c>
      <c r="F409" s="12" t="inlineStr">
        <is>
          <t>Corporate</t>
        </is>
      </c>
      <c r="G409" s="12" t="inlineStr">
        <is>
          <t>West</t>
        </is>
      </c>
      <c r="H409" s="12" t="inlineStr">
        <is>
          <t>Goa</t>
        </is>
      </c>
      <c r="I409" s="12" t="inlineStr">
        <is>
          <t>Panaji</t>
        </is>
      </c>
      <c r="J409" s="12" t="inlineStr">
        <is>
          <t>Office Supplies</t>
        </is>
      </c>
      <c r="K409" s="12" t="inlineStr">
        <is>
          <t>Labels</t>
        </is>
      </c>
      <c r="L409" s="12" t="inlineStr">
        <is>
          <t>Smart Labels 261</t>
        </is>
      </c>
      <c r="M409" s="12" t="inlineStr">
        <is>
          <t>Second Class</t>
        </is>
      </c>
      <c r="N409" s="12" t="n">
        <v>3</v>
      </c>
      <c r="O409" s="12" t="n">
        <v>2644.55</v>
      </c>
      <c r="P409" s="12" t="n">
        <v>0</v>
      </c>
      <c r="Q409" s="12" t="n">
        <v>7933.65</v>
      </c>
      <c r="R409" s="12" t="n">
        <v>5698.42</v>
      </c>
      <c r="S409" s="12" t="n">
        <v>2235.23</v>
      </c>
      <c r="T409" s="12" t="inlineStr">
        <is>
          <t>Paid</t>
        </is>
      </c>
      <c r="U409" s="12" t="inlineStr">
        <is>
          <t>Completed</t>
        </is>
      </c>
      <c r="V409">
        <f>IF(OR(P409="",P409&lt;0,P409&gt;0.5),0,P409)</f>
        <v/>
      </c>
      <c r="W409">
        <f>N409*O409*(1-V409)</f>
        <v/>
      </c>
      <c r="X409">
        <f>W409-R409</f>
        <v/>
      </c>
      <c r="Y409">
        <f>IF(W409=0,0,X409/W409)</f>
        <v/>
      </c>
      <c r="Z409">
        <f>C409-B409</f>
        <v/>
      </c>
      <c r="AA409">
        <f>TEXT(B409,"mmmm")</f>
        <v/>
      </c>
      <c r="AB409">
        <f>YEAR(B409)</f>
        <v/>
      </c>
      <c r="AC409">
        <f>IF(OR(P409&lt;0,P409&gt;0.5,C409&lt;B409),"INVALID","CLEAN")</f>
        <v/>
      </c>
    </row>
    <row r="410">
      <c r="A410" s="12" t="inlineStr">
        <is>
          <t>ORD-2025-10409</t>
        </is>
      </c>
      <c r="B410" s="12" t="inlineStr">
        <is>
          <t>08/01/2025</t>
        </is>
      </c>
      <c r="C410" s="12" t="inlineStr">
        <is>
          <t>08/03/2025</t>
        </is>
      </c>
      <c r="D410" s="12" t="inlineStr">
        <is>
          <t>CUST-5036</t>
        </is>
      </c>
      <c r="E410" s="12" t="inlineStr">
        <is>
          <t>Sneha Kapoor</t>
        </is>
      </c>
      <c r="F410" s="12" t="inlineStr">
        <is>
          <t>Consumer</t>
        </is>
      </c>
      <c r="G410" s="12" t="inlineStr">
        <is>
          <t>West</t>
        </is>
      </c>
      <c r="H410" s="12" t="inlineStr">
        <is>
          <t>Maharashtra</t>
        </is>
      </c>
      <c r="I410" s="12" t="inlineStr">
        <is>
          <t>Mumbai</t>
        </is>
      </c>
      <c r="J410" s="12" t="inlineStr">
        <is>
          <t>Furniture</t>
        </is>
      </c>
      <c r="K410" s="12" t="inlineStr">
        <is>
          <t>Chairs</t>
        </is>
      </c>
      <c r="L410" s="12" t="inlineStr">
        <is>
          <t>Max Chairs 765</t>
        </is>
      </c>
      <c r="M410" s="12" t="inlineStr">
        <is>
          <t>First Class</t>
        </is>
      </c>
      <c r="N410" s="12" t="n">
        <v>4</v>
      </c>
      <c r="O410" s="12" t="n">
        <v>1773.46</v>
      </c>
      <c r="P410" s="12" t="n">
        <v>0</v>
      </c>
      <c r="Q410" s="12" t="n">
        <v>7093.84</v>
      </c>
      <c r="R410" s="12" t="n">
        <v>4587.49</v>
      </c>
      <c r="S410" s="12" t="n">
        <v>2506.35</v>
      </c>
      <c r="T410" s="12" t="inlineStr">
        <is>
          <t>Failed</t>
        </is>
      </c>
      <c r="U410" s="12" t="inlineStr">
        <is>
          <t>Returned</t>
        </is>
      </c>
      <c r="V410">
        <f>IF(OR(P410="",P410&lt;0,P410&gt;0.5),0,P410)</f>
        <v/>
      </c>
      <c r="W410">
        <f>N410*O410*(1-V410)</f>
        <v/>
      </c>
      <c r="X410">
        <f>W410-R410</f>
        <v/>
      </c>
      <c r="Y410">
        <f>IF(W410=0,0,X410/W410)</f>
        <v/>
      </c>
      <c r="Z410">
        <f>C410-B410</f>
        <v/>
      </c>
      <c r="AA410">
        <f>TEXT(B410,"mmmm")</f>
        <v/>
      </c>
      <c r="AB410">
        <f>YEAR(B410)</f>
        <v/>
      </c>
      <c r="AC410">
        <f>IF(OR(P410&lt;0,P410&gt;0.5,C410&lt;B410),"INVALID","CLEAN")</f>
        <v/>
      </c>
    </row>
    <row r="411">
      <c r="A411" s="12" t="inlineStr">
        <is>
          <t>ORD-2025-10410</t>
        </is>
      </c>
      <c r="B411" s="12" t="inlineStr">
        <is>
          <t>13-02-2025</t>
        </is>
      </c>
      <c r="C411" s="12" t="inlineStr">
        <is>
          <t>15-02-2025</t>
        </is>
      </c>
      <c r="D411" s="12" t="inlineStr">
        <is>
          <t>CUST-7721</t>
        </is>
      </c>
      <c r="E411" s="12" t="inlineStr">
        <is>
          <t>Karan Malhotra</t>
        </is>
      </c>
      <c r="F411" s="12" t="inlineStr">
        <is>
          <t>Consumer</t>
        </is>
      </c>
      <c r="G411" s="12" t="inlineStr">
        <is>
          <t>East</t>
        </is>
      </c>
      <c r="H411" s="12" t="inlineStr">
        <is>
          <t>Assam</t>
        </is>
      </c>
      <c r="I411" s="12" t="inlineStr">
        <is>
          <t>Guwahati</t>
        </is>
      </c>
      <c r="J411" s="12" t="inlineStr">
        <is>
          <t>Technology</t>
        </is>
      </c>
      <c r="K411" s="12" t="inlineStr">
        <is>
          <t>Accessories</t>
        </is>
      </c>
      <c r="L411" s="12" t="inlineStr">
        <is>
          <t>Pro Accessories 686</t>
        </is>
      </c>
      <c r="M411" s="12" t="inlineStr">
        <is>
          <t>Same Day</t>
        </is>
      </c>
      <c r="N411" s="12" t="n">
        <v>1</v>
      </c>
      <c r="O411" s="12" t="n">
        <v>3025.46</v>
      </c>
      <c r="P411" s="12" t="n">
        <v>0.25</v>
      </c>
      <c r="Q411" s="12" t="n">
        <v>2269.1</v>
      </c>
      <c r="R411" s="12" t="n">
        <v>1593.59</v>
      </c>
      <c r="S411" s="12" t="n">
        <v>675.51</v>
      </c>
      <c r="T411" s="12" t="inlineStr">
        <is>
          <t>Refunded</t>
        </is>
      </c>
      <c r="U411" s="12" t="inlineStr">
        <is>
          <t>Returned</t>
        </is>
      </c>
      <c r="V411">
        <f>IF(OR(P411="",P411&lt;0,P411&gt;0.5),0,P411)</f>
        <v/>
      </c>
      <c r="W411">
        <f>N411*O411*(1-V411)</f>
        <v/>
      </c>
      <c r="X411">
        <f>W411-R411</f>
        <v/>
      </c>
      <c r="Y411">
        <f>IF(W411=0,0,X411/W411)</f>
        <v/>
      </c>
      <c r="Z411">
        <f>C411-B411</f>
        <v/>
      </c>
      <c r="AA411">
        <f>TEXT(B411,"mmmm")</f>
        <v/>
      </c>
      <c r="AB411">
        <f>YEAR(B411)</f>
        <v/>
      </c>
      <c r="AC411">
        <f>IF(OR(P411&lt;0,P411&gt;0.5,C411&lt;B411),"INVALID","CLEAN")</f>
        <v/>
      </c>
    </row>
    <row r="412">
      <c r="A412" s="12" t="inlineStr">
        <is>
          <t>ORD-2024-10411</t>
        </is>
      </c>
      <c r="B412" s="12" t="inlineStr">
        <is>
          <t>2024-04-12</t>
        </is>
      </c>
      <c r="C412" s="12" t="inlineStr">
        <is>
          <t>20 Apr 2024</t>
        </is>
      </c>
      <c r="D412" s="12" t="inlineStr">
        <is>
          <t>CUST-9495</t>
        </is>
      </c>
      <c r="E412" s="12" t="inlineStr">
        <is>
          <t>Diya Patel</t>
        </is>
      </c>
      <c r="F412" s="12" t="inlineStr">
        <is>
          <t>Consumer</t>
        </is>
      </c>
      <c r="G412" s="12" t="inlineStr">
        <is>
          <t>West</t>
        </is>
      </c>
      <c r="H412" s="12" t="inlineStr">
        <is>
          <t>Goa</t>
        </is>
      </c>
      <c r="I412" s="12" t="inlineStr">
        <is>
          <t>Panaji</t>
        </is>
      </c>
      <c r="J412" s="12" t="inlineStr">
        <is>
          <t>Furniture</t>
        </is>
      </c>
      <c r="K412" s="12" t="inlineStr">
        <is>
          <t>Tables</t>
        </is>
      </c>
      <c r="L412" s="12" t="inlineStr">
        <is>
          <t>Smart Tables 100</t>
        </is>
      </c>
      <c r="M412" s="12" t="inlineStr">
        <is>
          <t>First Class</t>
        </is>
      </c>
      <c r="N412" s="12" t="n">
        <v>9</v>
      </c>
      <c r="O412" s="12" t="n">
        <v>1302.61</v>
      </c>
      <c r="P412" s="12" t="n">
        <v>0.2</v>
      </c>
      <c r="Q412" s="12" t="n">
        <v>9378.790000000001</v>
      </c>
      <c r="R412" s="12" t="n">
        <v>6774.48</v>
      </c>
      <c r="S412" s="12" t="n">
        <v>2604.31</v>
      </c>
      <c r="T412" s="12" t="inlineStr">
        <is>
          <t>Paid</t>
        </is>
      </c>
      <c r="U412" s="12" t="inlineStr">
        <is>
          <t>Completed</t>
        </is>
      </c>
      <c r="V412">
        <f>IF(OR(P412="",P412&lt;0,P412&gt;0.5),0,P412)</f>
        <v/>
      </c>
      <c r="W412">
        <f>N412*O412*(1-V412)</f>
        <v/>
      </c>
      <c r="X412">
        <f>W412-R412</f>
        <v/>
      </c>
      <c r="Y412">
        <f>IF(W412=0,0,X412/W412)</f>
        <v/>
      </c>
      <c r="Z412">
        <f>C412-B412</f>
        <v/>
      </c>
      <c r="AA412">
        <f>TEXT(B412,"mmmm")</f>
        <v/>
      </c>
      <c r="AB412">
        <f>YEAR(B412)</f>
        <v/>
      </c>
      <c r="AC412">
        <f>IF(OR(P412&lt;0,P412&gt;0.5,C412&lt;B412),"INVALID","CLEAN")</f>
        <v/>
      </c>
    </row>
    <row r="413">
      <c r="A413" s="12" t="inlineStr">
        <is>
          <t>ORD-2025-10412</t>
        </is>
      </c>
      <c r="B413" s="12" t="inlineStr">
        <is>
          <t>2025-08-23</t>
        </is>
      </c>
      <c r="C413" s="12" t="inlineStr">
        <is>
          <t>2025-08-28</t>
        </is>
      </c>
      <c r="D413" s="12" t="inlineStr">
        <is>
          <t>CUST-2855</t>
        </is>
      </c>
      <c r="E413" s="12" t="inlineStr">
        <is>
          <t>Arjun Bose</t>
        </is>
      </c>
      <c r="F413" s="12" t="inlineStr">
        <is>
          <t>Home Office</t>
        </is>
      </c>
      <c r="G413" s="12" t="inlineStr">
        <is>
          <t>West</t>
        </is>
      </c>
      <c r="H413" s="12" t="inlineStr">
        <is>
          <t>Rajasthan</t>
        </is>
      </c>
      <c r="I413" s="12" t="inlineStr">
        <is>
          <t>Udaipur</t>
        </is>
      </c>
      <c r="J413" s="12" t="inlineStr">
        <is>
          <t>Furniture</t>
        </is>
      </c>
      <c r="K413" s="12" t="inlineStr">
        <is>
          <t>Tables</t>
        </is>
      </c>
      <c r="L413" s="12" t="inlineStr">
        <is>
          <t>Basic Tables 615</t>
        </is>
      </c>
      <c r="M413" s="12" t="inlineStr">
        <is>
          <t>First Class</t>
        </is>
      </c>
      <c r="N413" s="12" t="n">
        <v>1</v>
      </c>
      <c r="O413" s="12" t="n">
        <v>4167.81</v>
      </c>
      <c r="P413" s="12" t="n">
        <v>0.2</v>
      </c>
      <c r="Q413" s="12" t="n">
        <v>3334.25</v>
      </c>
      <c r="R413" s="12" t="n">
        <v>2768.77</v>
      </c>
      <c r="S413" s="12" t="n">
        <v>565.48</v>
      </c>
      <c r="T413" s="12" t="inlineStr">
        <is>
          <t>Failed</t>
        </is>
      </c>
      <c r="U413" s="12" t="inlineStr">
        <is>
          <t>Returned</t>
        </is>
      </c>
      <c r="V413">
        <f>IF(OR(P413="",P413&lt;0,P413&gt;0.5),0,P413)</f>
        <v/>
      </c>
      <c r="W413">
        <f>N413*O413*(1-V413)</f>
        <v/>
      </c>
      <c r="X413">
        <f>W413-R413</f>
        <v/>
      </c>
      <c r="Y413">
        <f>IF(W413=0,0,X413/W413)</f>
        <v/>
      </c>
      <c r="Z413">
        <f>C413-B413</f>
        <v/>
      </c>
      <c r="AA413">
        <f>TEXT(B413,"mmmm")</f>
        <v/>
      </c>
      <c r="AB413">
        <f>YEAR(B413)</f>
        <v/>
      </c>
      <c r="AC413">
        <f>IF(OR(P413&lt;0,P413&gt;0.5,C413&lt;B413),"INVALID","CLEAN")</f>
        <v/>
      </c>
    </row>
    <row r="414">
      <c r="A414" s="12" t="inlineStr">
        <is>
          <t>ORD-2024-10413</t>
        </is>
      </c>
      <c r="B414" s="12" t="inlineStr">
        <is>
          <t>2024-01-22</t>
        </is>
      </c>
      <c r="C414" s="12" t="inlineStr">
        <is>
          <t>30-01-2024</t>
        </is>
      </c>
      <c r="D414" s="12" t="inlineStr">
        <is>
          <t>CUST-4329</t>
        </is>
      </c>
      <c r="E414" s="12" t="inlineStr">
        <is>
          <t>Isha Nair</t>
        </is>
      </c>
      <c r="F414" s="12" t="inlineStr">
        <is>
          <t>Corporate</t>
        </is>
      </c>
      <c r="G414" s="12" t="inlineStr">
        <is>
          <t>South</t>
        </is>
      </c>
      <c r="H414" s="12" t="inlineStr">
        <is>
          <t>Karnataka</t>
        </is>
      </c>
      <c r="I414" s="12" t="inlineStr">
        <is>
          <t>Bengaluru</t>
        </is>
      </c>
      <c r="J414" s="12" t="inlineStr">
        <is>
          <t>Furniture</t>
        </is>
      </c>
      <c r="K414" s="12" t="inlineStr">
        <is>
          <t>Chairs</t>
        </is>
      </c>
      <c r="L414" s="12" t="inlineStr">
        <is>
          <t>Basic Chairs 790</t>
        </is>
      </c>
      <c r="M414" s="12" t="inlineStr">
        <is>
          <t>Same Day</t>
        </is>
      </c>
      <c r="N414" s="12" t="n">
        <v>1</v>
      </c>
      <c r="O414" s="12" t="n">
        <v>2111.39</v>
      </c>
      <c r="P414" s="12" t="n">
        <v>0.25</v>
      </c>
      <c r="Q414" s="12" t="n">
        <v>1583.54</v>
      </c>
      <c r="R414" s="12" t="n">
        <v>1014.19</v>
      </c>
      <c r="S414" s="12" t="n">
        <v>569.35</v>
      </c>
      <c r="T414" s="12" t="inlineStr">
        <is>
          <t>Paid</t>
        </is>
      </c>
      <c r="U414" s="12" t="inlineStr">
        <is>
          <t>Completed</t>
        </is>
      </c>
      <c r="V414">
        <f>IF(OR(P414="",P414&lt;0,P414&gt;0.5),0,P414)</f>
        <v/>
      </c>
      <c r="W414">
        <f>N414*O414*(1-V414)</f>
        <v/>
      </c>
      <c r="X414">
        <f>W414-R414</f>
        <v/>
      </c>
      <c r="Y414">
        <f>IF(W414=0,0,X414/W414)</f>
        <v/>
      </c>
      <c r="Z414">
        <f>C414-B414</f>
        <v/>
      </c>
      <c r="AA414">
        <f>TEXT(B414,"mmmm")</f>
        <v/>
      </c>
      <c r="AB414">
        <f>YEAR(B414)</f>
        <v/>
      </c>
      <c r="AC414">
        <f>IF(OR(P414&lt;0,P414&gt;0.5,C414&lt;B414),"INVALID","CLEAN")</f>
        <v/>
      </c>
    </row>
    <row r="415">
      <c r="A415" s="12" t="inlineStr">
        <is>
          <t>ORD-2025-10414</t>
        </is>
      </c>
      <c r="B415" s="12" t="inlineStr">
        <is>
          <t>13-08-2025</t>
        </is>
      </c>
      <c r="C415" s="12" t="inlineStr">
        <is>
          <t>17-08-2025</t>
        </is>
      </c>
      <c r="D415" s="12" t="inlineStr">
        <is>
          <t>CUST-5094</t>
        </is>
      </c>
      <c r="E415" s="12" t="inlineStr">
        <is>
          <t>Neha Gupta</t>
        </is>
      </c>
      <c r="F415" s="12" t="inlineStr">
        <is>
          <t>Home Office</t>
        </is>
      </c>
      <c r="G415" s="12" t="inlineStr">
        <is>
          <t>West</t>
        </is>
      </c>
      <c r="H415" s="12" t="inlineStr">
        <is>
          <t>Madhya Pradesh</t>
        </is>
      </c>
      <c r="I415" s="12" t="inlineStr">
        <is>
          <t>Indore</t>
        </is>
      </c>
      <c r="J415" s="12" t="inlineStr">
        <is>
          <t>Technology</t>
        </is>
      </c>
      <c r="K415" s="12" t="inlineStr">
        <is>
          <t>Accessories</t>
        </is>
      </c>
      <c r="L415" s="12" t="inlineStr">
        <is>
          <t>Smart Accessories 226</t>
        </is>
      </c>
      <c r="M415" s="12" t="inlineStr">
        <is>
          <t>Second Class</t>
        </is>
      </c>
      <c r="N415" s="12" t="n">
        <v>8</v>
      </c>
      <c r="O415" s="12" t="n">
        <v>1918.23</v>
      </c>
      <c r="P415" s="12" t="n">
        <v>0</v>
      </c>
      <c r="Q415" s="12" t="n">
        <v>15345.84</v>
      </c>
      <c r="R415" s="12" t="n">
        <v>10735.33</v>
      </c>
      <c r="S415" s="12" t="n">
        <v>4610.51</v>
      </c>
      <c r="T415" s="12" t="inlineStr">
        <is>
          <t>Pending</t>
        </is>
      </c>
      <c r="U415" s="12" t="inlineStr">
        <is>
          <t>Cancelled</t>
        </is>
      </c>
      <c r="V415">
        <f>IF(OR(P415="",P415&lt;0,P415&gt;0.5),0,P415)</f>
        <v/>
      </c>
      <c r="W415">
        <f>N415*O415*(1-V415)</f>
        <v/>
      </c>
      <c r="X415">
        <f>W415-R415</f>
        <v/>
      </c>
      <c r="Y415">
        <f>IF(W415=0,0,X415/W415)</f>
        <v/>
      </c>
      <c r="Z415">
        <f>C415-B415</f>
        <v/>
      </c>
      <c r="AA415">
        <f>TEXT(B415,"mmmm")</f>
        <v/>
      </c>
      <c r="AB415">
        <f>YEAR(B415)</f>
        <v/>
      </c>
      <c r="AC415">
        <f>IF(OR(P415&lt;0,P415&gt;0.5,C415&lt;B415),"INVALID","CLEAN")</f>
        <v/>
      </c>
    </row>
    <row r="416">
      <c r="A416" s="12" t="inlineStr">
        <is>
          <t>ORD-2024-10415</t>
        </is>
      </c>
      <c r="B416" s="12" t="inlineStr">
        <is>
          <t>2024-08-29</t>
        </is>
      </c>
      <c r="C416" s="12" t="inlineStr">
        <is>
          <t>08/30/2024</t>
        </is>
      </c>
      <c r="D416" s="12" t="inlineStr">
        <is>
          <t>CUST-4194</t>
        </is>
      </c>
      <c r="E416" s="12" t="inlineStr">
        <is>
          <t>Arjun Bose</t>
        </is>
      </c>
      <c r="F416" s="12" t="inlineStr">
        <is>
          <t>Home Office</t>
        </is>
      </c>
      <c r="G416" s="12" t="inlineStr">
        <is>
          <t>East</t>
        </is>
      </c>
      <c r="H416" s="12" t="inlineStr">
        <is>
          <t>Assam</t>
        </is>
      </c>
      <c r="I416" s="12" t="inlineStr">
        <is>
          <t>Guwahati</t>
        </is>
      </c>
      <c r="J416" s="12" t="inlineStr">
        <is>
          <t>Office Supplies</t>
        </is>
      </c>
      <c r="K416" s="12" t="inlineStr">
        <is>
          <t>Storage</t>
        </is>
      </c>
      <c r="L416" s="12" t="inlineStr">
        <is>
          <t>Max Storage 692</t>
        </is>
      </c>
      <c r="M416" s="12" t="inlineStr">
        <is>
          <t>First Class</t>
        </is>
      </c>
      <c r="N416" s="12" t="n">
        <v>4</v>
      </c>
      <c r="O416" s="12" t="n">
        <v>2484.08</v>
      </c>
      <c r="P416" s="12" t="n">
        <v>0.05</v>
      </c>
      <c r="Q416" s="12" t="n">
        <v>9439.5</v>
      </c>
      <c r="R416" s="12" t="n">
        <v>5519.39</v>
      </c>
      <c r="S416" s="12" t="n">
        <v>3920.11</v>
      </c>
      <c r="T416" s="12" t="inlineStr">
        <is>
          <t>Paid</t>
        </is>
      </c>
      <c r="U416" s="12" t="inlineStr">
        <is>
          <t>Completed</t>
        </is>
      </c>
      <c r="V416">
        <f>IF(OR(P416="",P416&lt;0,P416&gt;0.5),0,P416)</f>
        <v/>
      </c>
      <c r="W416">
        <f>N416*O416*(1-V416)</f>
        <v/>
      </c>
      <c r="X416">
        <f>W416-R416</f>
        <v/>
      </c>
      <c r="Y416">
        <f>IF(W416=0,0,X416/W416)</f>
        <v/>
      </c>
      <c r="Z416">
        <f>C416-B416</f>
        <v/>
      </c>
      <c r="AA416">
        <f>TEXT(B416,"mmmm")</f>
        <v/>
      </c>
      <c r="AB416">
        <f>YEAR(B416)</f>
        <v/>
      </c>
      <c r="AC416">
        <f>IF(OR(P416&lt;0,P416&gt;0.5,C416&lt;B416),"INVALID","CLEAN")</f>
        <v/>
      </c>
    </row>
    <row r="417">
      <c r="A417" s="12" t="inlineStr">
        <is>
          <t>ORD-2024-10416</t>
        </is>
      </c>
      <c r="B417" s="12" t="inlineStr">
        <is>
          <t>01/25/2024</t>
        </is>
      </c>
      <c r="C417" s="12" t="inlineStr">
        <is>
          <t>27 Jan 2024</t>
        </is>
      </c>
      <c r="D417" s="12" t="inlineStr">
        <is>
          <t>CUST-7087</t>
        </is>
      </c>
      <c r="E417" s="12" t="inlineStr">
        <is>
          <t>Aarav Sharma</t>
        </is>
      </c>
      <c r="F417" s="12" t="inlineStr">
        <is>
          <t>Corporate</t>
        </is>
      </c>
      <c r="G417" s="12" t="inlineStr">
        <is>
          <t>South</t>
        </is>
      </c>
      <c r="H417" s="12" t="inlineStr">
        <is>
          <t>Karnataka</t>
        </is>
      </c>
      <c r="I417" s="12" t="inlineStr">
        <is>
          <t>Bengaluru</t>
        </is>
      </c>
      <c r="J417" s="12" t="inlineStr">
        <is>
          <t>Office Supplies</t>
        </is>
      </c>
      <c r="K417" s="12" t="inlineStr">
        <is>
          <t>Storage</t>
        </is>
      </c>
      <c r="L417" s="12" t="inlineStr">
        <is>
          <t>Basic Storage 684</t>
        </is>
      </c>
      <c r="M417" s="12" t="inlineStr">
        <is>
          <t>Same Day</t>
        </is>
      </c>
      <c r="N417" s="12" t="n">
        <v>7</v>
      </c>
      <c r="O417" s="12" t="n">
        <v>1727.26</v>
      </c>
      <c r="P417" s="12" t="n">
        <v>0.15</v>
      </c>
      <c r="Q417" s="12" t="n">
        <v>10277.2</v>
      </c>
      <c r="R417" s="12" t="n">
        <v>7906.5</v>
      </c>
      <c r="S417" s="12" t="n">
        <v>2370.7</v>
      </c>
      <c r="T417" s="12" t="inlineStr">
        <is>
          <t>Paid</t>
        </is>
      </c>
      <c r="U417" s="12" t="inlineStr">
        <is>
          <t>Returned</t>
        </is>
      </c>
      <c r="V417">
        <f>IF(OR(P417="",P417&lt;0,P417&gt;0.5),0,P417)</f>
        <v/>
      </c>
      <c r="W417">
        <f>N417*O417*(1-V417)</f>
        <v/>
      </c>
      <c r="X417">
        <f>W417-R417</f>
        <v/>
      </c>
      <c r="Y417">
        <f>IF(W417=0,0,X417/W417)</f>
        <v/>
      </c>
      <c r="Z417">
        <f>C417-B417</f>
        <v/>
      </c>
      <c r="AA417">
        <f>TEXT(B417,"mmmm")</f>
        <v/>
      </c>
      <c r="AB417">
        <f>YEAR(B417)</f>
        <v/>
      </c>
      <c r="AC417">
        <f>IF(OR(P417&lt;0,P417&gt;0.5,C417&lt;B417),"INVALID","CLEAN")</f>
        <v/>
      </c>
    </row>
    <row r="418">
      <c r="A418" s="12" t="inlineStr">
        <is>
          <t>ORD-2025-10417</t>
        </is>
      </c>
      <c r="B418" s="12" t="inlineStr">
        <is>
          <t>2025-01-08</t>
        </is>
      </c>
      <c r="C418" s="12" t="inlineStr">
        <is>
          <t>16-01-2025</t>
        </is>
      </c>
      <c r="D418" s="12" t="inlineStr">
        <is>
          <t>CUST-7608</t>
        </is>
      </c>
      <c r="E418" s="12" t="inlineStr">
        <is>
          <t>Neha Gupta</t>
        </is>
      </c>
      <c r="F418" s="12" t="inlineStr">
        <is>
          <t>Consumer</t>
        </is>
      </c>
      <c r="G418" s="12" t="inlineStr">
        <is>
          <t>South</t>
        </is>
      </c>
      <c r="H418" s="12" t="inlineStr">
        <is>
          <t>Telangana</t>
        </is>
      </c>
      <c r="I418" s="12" t="inlineStr">
        <is>
          <t>Hyderabad</t>
        </is>
      </c>
      <c r="J418" s="12" t="inlineStr">
        <is>
          <t xml:space="preserve">Furniture </t>
        </is>
      </c>
      <c r="K418" s="12" t="inlineStr">
        <is>
          <t>Furnishings</t>
        </is>
      </c>
      <c r="L418" s="12" t="inlineStr">
        <is>
          <t>Smart Furnishings 152</t>
        </is>
      </c>
      <c r="M418" s="12" t="inlineStr">
        <is>
          <t>First Class</t>
        </is>
      </c>
      <c r="N418" s="12" t="n">
        <v>8</v>
      </c>
      <c r="O418" s="12" t="n">
        <v>638.95</v>
      </c>
      <c r="P418" s="12" t="n">
        <v>0.25</v>
      </c>
      <c r="Q418" s="12" t="n">
        <v>3833.7</v>
      </c>
      <c r="R418" s="12" t="n">
        <v>2886.35</v>
      </c>
      <c r="S418" s="12" t="n">
        <v>947.35</v>
      </c>
      <c r="T418" s="12" t="inlineStr">
        <is>
          <t>Paid</t>
        </is>
      </c>
      <c r="U418" s="12" t="inlineStr">
        <is>
          <t>Completed</t>
        </is>
      </c>
      <c r="V418">
        <f>IF(OR(P418="",P418&lt;0,P418&gt;0.5),0,P418)</f>
        <v/>
      </c>
      <c r="W418">
        <f>N418*O418*(1-V418)</f>
        <v/>
      </c>
      <c r="X418">
        <f>W418-R418</f>
        <v/>
      </c>
      <c r="Y418">
        <f>IF(W418=0,0,X418/W418)</f>
        <v/>
      </c>
      <c r="Z418">
        <f>C418-B418</f>
        <v/>
      </c>
      <c r="AA418">
        <f>TEXT(B418,"mmmm")</f>
        <v/>
      </c>
      <c r="AB418">
        <f>YEAR(B418)</f>
        <v/>
      </c>
      <c r="AC418">
        <f>IF(OR(P418&lt;0,P418&gt;0.5,C418&lt;B418),"INVALID","CLEAN")</f>
        <v/>
      </c>
    </row>
    <row r="419">
      <c r="A419" s="12" t="inlineStr">
        <is>
          <t>ORD-2025-10418</t>
        </is>
      </c>
      <c r="B419" s="12" t="inlineStr">
        <is>
          <t>01/29/2025</t>
        </is>
      </c>
      <c r="C419" s="12" t="inlineStr">
        <is>
          <t>02/05/2025</t>
        </is>
      </c>
      <c r="D419" s="12" t="inlineStr">
        <is>
          <t>CUST-5269</t>
        </is>
      </c>
      <c r="E419" s="12" t="inlineStr">
        <is>
          <t>Mira Das</t>
        </is>
      </c>
      <c r="F419" s="12" t="inlineStr">
        <is>
          <t>Consumer</t>
        </is>
      </c>
      <c r="G419" s="12" t="inlineStr">
        <is>
          <t>West</t>
        </is>
      </c>
      <c r="H419" s="12" t="inlineStr">
        <is>
          <t>Gujarat</t>
        </is>
      </c>
      <c r="I419" s="12" t="inlineStr">
        <is>
          <t>Ahmedabad</t>
        </is>
      </c>
      <c r="J419" s="12" t="inlineStr">
        <is>
          <t>Office Supplies</t>
        </is>
      </c>
      <c r="K419" s="12" t="inlineStr">
        <is>
          <t>Art</t>
        </is>
      </c>
      <c r="L419" s="12" t="inlineStr">
        <is>
          <t>Max Art 736</t>
        </is>
      </c>
      <c r="M419" s="12" t="inlineStr">
        <is>
          <t>First Class</t>
        </is>
      </c>
      <c r="N419" s="12" t="n">
        <v>6</v>
      </c>
      <c r="O419" s="12" t="n">
        <v>3863</v>
      </c>
      <c r="P419" s="12" t="n">
        <v>0.2</v>
      </c>
      <c r="Q419" s="12" t="n">
        <v>18542.4</v>
      </c>
      <c r="R419" s="12" t="n">
        <v>11193.75</v>
      </c>
      <c r="S419" s="12" t="n">
        <v>7348.65</v>
      </c>
      <c r="T419" s="12" t="inlineStr">
        <is>
          <t>Paid</t>
        </is>
      </c>
      <c r="U419" s="12" t="inlineStr">
        <is>
          <t>Completed</t>
        </is>
      </c>
      <c r="V419">
        <f>IF(OR(P419="",P419&lt;0,P419&gt;0.5),0,P419)</f>
        <v/>
      </c>
      <c r="W419">
        <f>N419*O419*(1-V419)</f>
        <v/>
      </c>
      <c r="X419">
        <f>W419-R419</f>
        <v/>
      </c>
      <c r="Y419">
        <f>IF(W419=0,0,X419/W419)</f>
        <v/>
      </c>
      <c r="Z419">
        <f>C419-B419</f>
        <v/>
      </c>
      <c r="AA419">
        <f>TEXT(B419,"mmmm")</f>
        <v/>
      </c>
      <c r="AB419">
        <f>YEAR(B419)</f>
        <v/>
      </c>
      <c r="AC419">
        <f>IF(OR(P419&lt;0,P419&gt;0.5,C419&lt;B419),"INVALID","CLEAN")</f>
        <v/>
      </c>
    </row>
    <row r="420">
      <c r="A420" s="12" t="inlineStr">
        <is>
          <t>ORD-2024-10419</t>
        </is>
      </c>
      <c r="B420" s="12" t="inlineStr">
        <is>
          <t>11/09/2024</t>
        </is>
      </c>
      <c r="C420" s="12" t="inlineStr">
        <is>
          <t>11/17/2024</t>
        </is>
      </c>
      <c r="D420" s="12" t="inlineStr">
        <is>
          <t>CUST-7925</t>
        </is>
      </c>
      <c r="E420" s="12" t="inlineStr">
        <is>
          <t>Sneha Kapoor</t>
        </is>
      </c>
      <c r="F420" s="12" t="inlineStr">
        <is>
          <t>Corporate</t>
        </is>
      </c>
      <c r="G420" s="12" t="inlineStr">
        <is>
          <t>East</t>
        </is>
      </c>
      <c r="H420" s="12" t="inlineStr">
        <is>
          <t>Odisha</t>
        </is>
      </c>
      <c r="I420" s="12" t="inlineStr">
        <is>
          <t>Bhubaneswar</t>
        </is>
      </c>
      <c r="J420" s="12" t="inlineStr">
        <is>
          <t>Technology</t>
        </is>
      </c>
      <c r="K420" s="12" t="inlineStr">
        <is>
          <t>Copiers</t>
        </is>
      </c>
      <c r="L420" s="12" t="inlineStr">
        <is>
          <t>Elite Copiers 971</t>
        </is>
      </c>
      <c r="M420" s="12" t="inlineStr">
        <is>
          <t>Standard Class</t>
        </is>
      </c>
      <c r="N420" s="12" t="n">
        <v>6</v>
      </c>
      <c r="O420" s="12" t="n">
        <v>3660.4</v>
      </c>
      <c r="P420" s="12" t="n">
        <v>0</v>
      </c>
      <c r="Q420" s="12" t="n">
        <v>21962.4</v>
      </c>
      <c r="R420" s="12" t="n">
        <v>15331.99</v>
      </c>
      <c r="S420" s="12" t="n">
        <v>6630.41</v>
      </c>
      <c r="T420" s="12" t="inlineStr">
        <is>
          <t>Failed</t>
        </is>
      </c>
      <c r="U420" s="12" t="inlineStr">
        <is>
          <t>Cancelled</t>
        </is>
      </c>
      <c r="V420">
        <f>IF(OR(P420="",P420&lt;0,P420&gt;0.5),0,P420)</f>
        <v/>
      </c>
      <c r="W420">
        <f>N420*O420*(1-V420)</f>
        <v/>
      </c>
      <c r="X420">
        <f>W420-R420</f>
        <v/>
      </c>
      <c r="Y420">
        <f>IF(W420=0,0,X420/W420)</f>
        <v/>
      </c>
      <c r="Z420">
        <f>C420-B420</f>
        <v/>
      </c>
      <c r="AA420">
        <f>TEXT(B420,"mmmm")</f>
        <v/>
      </c>
      <c r="AB420">
        <f>YEAR(B420)</f>
        <v/>
      </c>
      <c r="AC420">
        <f>IF(OR(P420&lt;0,P420&gt;0.5,C420&lt;B420),"INVALID","CLEAN")</f>
        <v/>
      </c>
    </row>
    <row r="421">
      <c r="A421" s="12" t="inlineStr">
        <is>
          <t>ORD-2025-10420</t>
        </is>
      </c>
      <c r="B421" s="12" t="inlineStr">
        <is>
          <t>26-09-2025</t>
        </is>
      </c>
      <c r="C421" s="12" t="inlineStr">
        <is>
          <t>09/30/2025</t>
        </is>
      </c>
      <c r="D421" s="12" t="inlineStr">
        <is>
          <t>CUST-6552</t>
        </is>
      </c>
      <c r="E421" s="12" t="inlineStr">
        <is>
          <t>Sneha Kapoor</t>
        </is>
      </c>
      <c r="F421" s="12" t="inlineStr">
        <is>
          <t>Home Office</t>
        </is>
      </c>
      <c r="G421" s="12" t="inlineStr">
        <is>
          <t>North</t>
        </is>
      </c>
      <c r="H421" s="12" t="inlineStr">
        <is>
          <t>Haryana</t>
        </is>
      </c>
      <c r="I421" s="12" t="inlineStr">
        <is>
          <t>Gurugram</t>
        </is>
      </c>
      <c r="J421" s="12" t="inlineStr">
        <is>
          <t>Technology</t>
        </is>
      </c>
      <c r="K421" s="12" t="inlineStr">
        <is>
          <t>Phones</t>
        </is>
      </c>
      <c r="L421" s="12" t="inlineStr">
        <is>
          <t>Classic Phones 940</t>
        </is>
      </c>
      <c r="M421" s="12" t="inlineStr">
        <is>
          <t>Same Day</t>
        </is>
      </c>
      <c r="N421" s="12" t="n">
        <v>2</v>
      </c>
      <c r="O421" s="12" t="n">
        <v>688.83</v>
      </c>
      <c r="P421" s="12" t="n">
        <v>0.05</v>
      </c>
      <c r="Q421" s="12" t="n">
        <v>1308.78</v>
      </c>
      <c r="R421" s="12" t="n">
        <v>843</v>
      </c>
      <c r="S421" s="12" t="n">
        <v>465.78</v>
      </c>
      <c r="T421" s="12" t="inlineStr">
        <is>
          <t>Paid</t>
        </is>
      </c>
      <c r="U421" s="12" t="inlineStr">
        <is>
          <t>Completed</t>
        </is>
      </c>
      <c r="V421">
        <f>IF(OR(P421="",P421&lt;0,P421&gt;0.5),0,P421)</f>
        <v/>
      </c>
      <c r="W421">
        <f>N421*O421*(1-V421)</f>
        <v/>
      </c>
      <c r="X421">
        <f>W421-R421</f>
        <v/>
      </c>
      <c r="Y421">
        <f>IF(W421=0,0,X421/W421)</f>
        <v/>
      </c>
      <c r="Z421">
        <f>C421-B421</f>
        <v/>
      </c>
      <c r="AA421">
        <f>TEXT(B421,"mmmm")</f>
        <v/>
      </c>
      <c r="AB421">
        <f>YEAR(B421)</f>
        <v/>
      </c>
      <c r="AC421">
        <f>IF(OR(P421&lt;0,P421&gt;0.5,C421&lt;B421),"INVALID","CLEAN")</f>
        <v/>
      </c>
    </row>
    <row r="422">
      <c r="A422" s="12" t="inlineStr">
        <is>
          <t>ORD-2025-10421</t>
        </is>
      </c>
      <c r="B422" s="12" t="inlineStr">
        <is>
          <t>18-03-2025</t>
        </is>
      </c>
      <c r="C422" s="12" t="inlineStr">
        <is>
          <t>2025-03-19</t>
        </is>
      </c>
      <c r="D422" s="12" t="inlineStr">
        <is>
          <t>CUST-7131</t>
        </is>
      </c>
      <c r="E422" s="12" t="inlineStr">
        <is>
          <t>Isha Nair</t>
        </is>
      </c>
      <c r="F422" s="12" t="inlineStr">
        <is>
          <t>Corporate</t>
        </is>
      </c>
      <c r="G422" s="12" t="inlineStr">
        <is>
          <t>South</t>
        </is>
      </c>
      <c r="H422" s="12" t="inlineStr">
        <is>
          <t>Tamil Nadu</t>
        </is>
      </c>
      <c r="I422" s="12" t="inlineStr">
        <is>
          <t>Chennai</t>
        </is>
      </c>
      <c r="J422" s="12" t="inlineStr">
        <is>
          <t>Technology</t>
        </is>
      </c>
      <c r="K422" s="12" t="inlineStr">
        <is>
          <t>Machines</t>
        </is>
      </c>
      <c r="L422" s="12" t="inlineStr">
        <is>
          <t>Pro Machines 579</t>
        </is>
      </c>
      <c r="M422" s="12" t="inlineStr">
        <is>
          <t>Standard Class</t>
        </is>
      </c>
      <c r="N422" s="12" t="n">
        <v>2</v>
      </c>
      <c r="O422" s="12" t="n">
        <v>1209.99</v>
      </c>
      <c r="P422" s="12" t="n">
        <v>0.25</v>
      </c>
      <c r="Q422" s="12" t="n">
        <v>1814.99</v>
      </c>
      <c r="R422" s="12" t="n">
        <v>1120.06</v>
      </c>
      <c r="S422" s="12" t="n">
        <v>694.9299999999999</v>
      </c>
      <c r="T422" s="12" t="inlineStr">
        <is>
          <t>Pending</t>
        </is>
      </c>
      <c r="U422" s="12" t="inlineStr">
        <is>
          <t>Cancelled</t>
        </is>
      </c>
      <c r="V422">
        <f>IF(OR(P422="",P422&lt;0,P422&gt;0.5),0,P422)</f>
        <v/>
      </c>
      <c r="W422">
        <f>N422*O422*(1-V422)</f>
        <v/>
      </c>
      <c r="X422">
        <f>W422-R422</f>
        <v/>
      </c>
      <c r="Y422">
        <f>IF(W422=0,0,X422/W422)</f>
        <v/>
      </c>
      <c r="Z422">
        <f>C422-B422</f>
        <v/>
      </c>
      <c r="AA422">
        <f>TEXT(B422,"mmmm")</f>
        <v/>
      </c>
      <c r="AB422">
        <f>YEAR(B422)</f>
        <v/>
      </c>
      <c r="AC422">
        <f>IF(OR(P422&lt;0,P422&gt;0.5,C422&lt;B422),"INVALID","CLEAN")</f>
        <v/>
      </c>
    </row>
    <row r="423">
      <c r="A423" s="12" t="inlineStr">
        <is>
          <t>ORD-2025-10422</t>
        </is>
      </c>
      <c r="B423" s="12" t="inlineStr">
        <is>
          <t>06/14/2025</t>
        </is>
      </c>
      <c r="C423" s="12" t="inlineStr">
        <is>
          <t>19 Jun 2025</t>
        </is>
      </c>
      <c r="D423" s="12" t="inlineStr">
        <is>
          <t>CUST-2779</t>
        </is>
      </c>
      <c r="E423" s="12" t="inlineStr">
        <is>
          <t>Rohan Mehta</t>
        </is>
      </c>
      <c r="F423" s="12" t="inlineStr">
        <is>
          <t>Small Business</t>
        </is>
      </c>
      <c r="G423" s="12" t="inlineStr">
        <is>
          <t>North</t>
        </is>
      </c>
      <c r="H423" s="12" t="inlineStr">
        <is>
          <t>Delhi</t>
        </is>
      </c>
      <c r="I423" s="12" t="inlineStr">
        <is>
          <t>New Delhi</t>
        </is>
      </c>
      <c r="J423" s="12" t="inlineStr">
        <is>
          <t>Office Supplies</t>
        </is>
      </c>
      <c r="K423" s="12" t="inlineStr">
        <is>
          <t>Binders</t>
        </is>
      </c>
      <c r="L423" s="12" t="inlineStr">
        <is>
          <t>Elite Binders 943</t>
        </is>
      </c>
      <c r="M423" s="12" t="inlineStr">
        <is>
          <t>Same Day</t>
        </is>
      </c>
      <c r="N423" s="12" t="n">
        <v>3</v>
      </c>
      <c r="O423" s="12" t="n">
        <v>1037.45</v>
      </c>
      <c r="P423" s="12" t="n">
        <v>0.2</v>
      </c>
      <c r="Q423" s="12" t="n">
        <v>2489.88</v>
      </c>
      <c r="R423" s="12" t="n">
        <v>1707.52</v>
      </c>
      <c r="S423" s="12" t="n">
        <v>782.36</v>
      </c>
      <c r="T423" s="12" t="inlineStr">
        <is>
          <t>Pending</t>
        </is>
      </c>
      <c r="U423" s="12" t="inlineStr">
        <is>
          <t>Returned</t>
        </is>
      </c>
      <c r="V423">
        <f>IF(OR(P423="",P423&lt;0,P423&gt;0.5),0,P423)</f>
        <v/>
      </c>
      <c r="W423">
        <f>N423*O423*(1-V423)</f>
        <v/>
      </c>
      <c r="X423">
        <f>W423-R423</f>
        <v/>
      </c>
      <c r="Y423">
        <f>IF(W423=0,0,X423/W423)</f>
        <v/>
      </c>
      <c r="Z423">
        <f>C423-B423</f>
        <v/>
      </c>
      <c r="AA423">
        <f>TEXT(B423,"mmmm")</f>
        <v/>
      </c>
      <c r="AB423">
        <f>YEAR(B423)</f>
        <v/>
      </c>
      <c r="AC423">
        <f>IF(OR(P423&lt;0,P423&gt;0.5,C423&lt;B423),"INVALID","CLEAN")</f>
        <v/>
      </c>
    </row>
    <row r="424">
      <c r="A424" s="12" t="inlineStr">
        <is>
          <t>ORD-2025-10423</t>
        </is>
      </c>
      <c r="B424" s="12" t="inlineStr">
        <is>
          <t>09/03/2025</t>
        </is>
      </c>
      <c r="C424" s="12" t="inlineStr">
        <is>
          <t>06 Sep 2025</t>
        </is>
      </c>
      <c r="D424" s="12" t="inlineStr">
        <is>
          <t>CUST-6077</t>
        </is>
      </c>
      <c r="E424" s="12" t="inlineStr">
        <is>
          <t>Kabir Singh</t>
        </is>
      </c>
      <c r="F424" s="12" t="inlineStr">
        <is>
          <t>Consumer</t>
        </is>
      </c>
      <c r="G424" s="12" t="inlineStr">
        <is>
          <t>West</t>
        </is>
      </c>
      <c r="H424" s="12" t="inlineStr">
        <is>
          <t>Madhya Pradesh</t>
        </is>
      </c>
      <c r="I424" s="12" t="inlineStr">
        <is>
          <t>Indore</t>
        </is>
      </c>
      <c r="J424" s="12" t="inlineStr">
        <is>
          <t>Technology</t>
        </is>
      </c>
      <c r="K424" s="12" t="inlineStr">
        <is>
          <t>Copiers</t>
        </is>
      </c>
      <c r="L424" s="12" t="inlineStr">
        <is>
          <t>Elite Copiers 474</t>
        </is>
      </c>
      <c r="M424" s="12" t="inlineStr">
        <is>
          <t>Same Day</t>
        </is>
      </c>
      <c r="N424" s="12" t="n">
        <v>7</v>
      </c>
      <c r="O424" s="12" t="n">
        <v>688.85</v>
      </c>
      <c r="P424" s="12" t="n">
        <v>0.15</v>
      </c>
      <c r="Q424" s="12" t="n">
        <v>4098.66</v>
      </c>
      <c r="R424" s="12" t="n">
        <v>2678.06</v>
      </c>
      <c r="S424" s="12" t="n">
        <v>1420.6</v>
      </c>
      <c r="T424" s="12" t="inlineStr">
        <is>
          <t>Paid</t>
        </is>
      </c>
      <c r="U424" s="12" t="inlineStr">
        <is>
          <t>Completed</t>
        </is>
      </c>
      <c r="V424">
        <f>IF(OR(P424="",P424&lt;0,P424&gt;0.5),0,P424)</f>
        <v/>
      </c>
      <c r="W424">
        <f>N424*O424*(1-V424)</f>
        <v/>
      </c>
      <c r="X424">
        <f>W424-R424</f>
        <v/>
      </c>
      <c r="Y424">
        <f>IF(W424=0,0,X424/W424)</f>
        <v/>
      </c>
      <c r="Z424">
        <f>C424-B424</f>
        <v/>
      </c>
      <c r="AA424">
        <f>TEXT(B424,"mmmm")</f>
        <v/>
      </c>
      <c r="AB424">
        <f>YEAR(B424)</f>
        <v/>
      </c>
      <c r="AC424">
        <f>IF(OR(P424&lt;0,P424&gt;0.5,C424&lt;B424),"INVALID","CLEAN")</f>
        <v/>
      </c>
    </row>
    <row r="425">
      <c r="A425" s="12" t="inlineStr">
        <is>
          <t>ORD-2024-10424</t>
        </is>
      </c>
      <c r="B425" s="12" t="inlineStr">
        <is>
          <t>2024-02-20</t>
        </is>
      </c>
      <c r="C425" s="12" t="inlineStr">
        <is>
          <t>27-02-2024</t>
        </is>
      </c>
      <c r="D425" s="12" t="inlineStr">
        <is>
          <t>CUST-6169</t>
        </is>
      </c>
      <c r="E425" s="12" t="inlineStr">
        <is>
          <t>Diya Patel</t>
        </is>
      </c>
      <c r="F425" s="12" t="inlineStr">
        <is>
          <t>Consumer</t>
        </is>
      </c>
      <c r="G425" s="12" t="inlineStr">
        <is>
          <t>South</t>
        </is>
      </c>
      <c r="H425" s="12" t="inlineStr">
        <is>
          <t>Kerala</t>
        </is>
      </c>
      <c r="I425" s="12" t="inlineStr">
        <is>
          <t>Kochi</t>
        </is>
      </c>
      <c r="J425" s="12" t="inlineStr">
        <is>
          <t>Technology</t>
        </is>
      </c>
      <c r="K425" s="12" t="inlineStr">
        <is>
          <t>Accessories</t>
        </is>
      </c>
      <c r="L425" s="12" t="inlineStr">
        <is>
          <t>Prime Accessories 236</t>
        </is>
      </c>
      <c r="M425" s="12" t="inlineStr">
        <is>
          <t>FIRST CLASS</t>
        </is>
      </c>
      <c r="N425" s="12" t="n">
        <v>9</v>
      </c>
      <c r="O425" s="12" t="n">
        <v>3779.31</v>
      </c>
      <c r="P425" s="12" t="n">
        <v>0.2</v>
      </c>
      <c r="Q425" s="12" t="n">
        <v>27211.03</v>
      </c>
      <c r="R425" s="12" t="n">
        <v>17940.43</v>
      </c>
      <c r="S425" s="12" t="n">
        <v>9270.6</v>
      </c>
      <c r="T425" s="12" t="inlineStr">
        <is>
          <t>Paid</t>
        </is>
      </c>
      <c r="U425" s="12" t="inlineStr">
        <is>
          <t>Completed</t>
        </is>
      </c>
      <c r="V425">
        <f>IF(OR(P425="",P425&lt;0,P425&gt;0.5),0,P425)</f>
        <v/>
      </c>
      <c r="W425">
        <f>N425*O425*(1-V425)</f>
        <v/>
      </c>
      <c r="X425">
        <f>W425-R425</f>
        <v/>
      </c>
      <c r="Y425">
        <f>IF(W425=0,0,X425/W425)</f>
        <v/>
      </c>
      <c r="Z425">
        <f>C425-B425</f>
        <v/>
      </c>
      <c r="AA425">
        <f>TEXT(B425,"mmmm")</f>
        <v/>
      </c>
      <c r="AB425">
        <f>YEAR(B425)</f>
        <v/>
      </c>
      <c r="AC425">
        <f>IF(OR(P425&lt;0,P425&gt;0.5,C425&lt;B425),"INVALID","CLEAN")</f>
        <v/>
      </c>
    </row>
    <row r="426">
      <c r="A426" s="12" t="inlineStr">
        <is>
          <t>ORD-2024-10425</t>
        </is>
      </c>
      <c r="B426" s="12" t="inlineStr">
        <is>
          <t>06/26/2024</t>
        </is>
      </c>
      <c r="C426" s="12" t="inlineStr">
        <is>
          <t>2024-06-29</t>
        </is>
      </c>
      <c r="D426" s="12" t="inlineStr">
        <is>
          <t>CUST-8904</t>
        </is>
      </c>
      <c r="E426" s="12" t="inlineStr">
        <is>
          <t>Neha Gupta</t>
        </is>
      </c>
      <c r="F426" s="12" t="inlineStr">
        <is>
          <t>Corporate</t>
        </is>
      </c>
      <c r="G426" s="12" t="inlineStr">
        <is>
          <t>North</t>
        </is>
      </c>
      <c r="H426" s="12" t="inlineStr">
        <is>
          <t>Punjab</t>
        </is>
      </c>
      <c r="I426" s="12" t="inlineStr">
        <is>
          <t>Ludhiana</t>
        </is>
      </c>
      <c r="J426" s="12" t="inlineStr">
        <is>
          <t>Technology</t>
        </is>
      </c>
      <c r="K426" s="12" t="inlineStr">
        <is>
          <t>Phones</t>
        </is>
      </c>
      <c r="L426" s="12" t="inlineStr">
        <is>
          <t>Prime Phones 881</t>
        </is>
      </c>
      <c r="M426" s="12" t="inlineStr">
        <is>
          <t>Standard Class</t>
        </is>
      </c>
      <c r="N426" s="12" t="n">
        <v>8</v>
      </c>
      <c r="O426" s="12" t="n">
        <v>804.52</v>
      </c>
      <c r="P426" s="12" t="n">
        <v>0</v>
      </c>
      <c r="Q426" s="12" t="n">
        <v>6436.16</v>
      </c>
      <c r="R426" s="12" t="n">
        <v>4263.83</v>
      </c>
      <c r="S426" s="12" t="n">
        <v>2172.33</v>
      </c>
      <c r="T426" s="12" t="inlineStr">
        <is>
          <t>Paid</t>
        </is>
      </c>
      <c r="U426" s="12" t="inlineStr">
        <is>
          <t>Completed</t>
        </is>
      </c>
      <c r="V426">
        <f>IF(OR(P426="",P426&lt;0,P426&gt;0.5),0,P426)</f>
        <v/>
      </c>
      <c r="W426">
        <f>N426*O426*(1-V426)</f>
        <v/>
      </c>
      <c r="X426">
        <f>W426-R426</f>
        <v/>
      </c>
      <c r="Y426">
        <f>IF(W426=0,0,X426/W426)</f>
        <v/>
      </c>
      <c r="Z426">
        <f>C426-B426</f>
        <v/>
      </c>
      <c r="AA426">
        <f>TEXT(B426,"mmmm")</f>
        <v/>
      </c>
      <c r="AB426">
        <f>YEAR(B426)</f>
        <v/>
      </c>
      <c r="AC426">
        <f>IF(OR(P426&lt;0,P426&gt;0.5,C426&lt;B426),"INVALID","CLEAN")</f>
        <v/>
      </c>
    </row>
    <row r="427">
      <c r="A427" s="12" t="inlineStr">
        <is>
          <t>ORD-2024-10426</t>
        </is>
      </c>
      <c r="B427" s="12" t="inlineStr">
        <is>
          <t>26-09-2024</t>
        </is>
      </c>
      <c r="C427" s="12" t="inlineStr">
        <is>
          <t>09/27/2024</t>
        </is>
      </c>
      <c r="D427" s="12" t="inlineStr">
        <is>
          <t>CUST-9586</t>
        </is>
      </c>
      <c r="E427" s="12" t="inlineStr">
        <is>
          <t>Isha Nair</t>
        </is>
      </c>
      <c r="F427" s="12" t="inlineStr">
        <is>
          <t>Home Office</t>
        </is>
      </c>
      <c r="G427" s="12" t="inlineStr">
        <is>
          <t>North</t>
        </is>
      </c>
      <c r="H427" s="12" t="inlineStr">
        <is>
          <t>Delhi</t>
        </is>
      </c>
      <c r="I427" s="12" t="inlineStr">
        <is>
          <t>New Delhi</t>
        </is>
      </c>
      <c r="J427" s="12" t="inlineStr">
        <is>
          <t>Office Supplies</t>
        </is>
      </c>
      <c r="K427" s="12" t="inlineStr">
        <is>
          <t>Labels</t>
        </is>
      </c>
      <c r="L427" s="12" t="inlineStr">
        <is>
          <t>Pro Labels 903</t>
        </is>
      </c>
      <c r="M427" s="12" t="inlineStr">
        <is>
          <t>First Class</t>
        </is>
      </c>
      <c r="N427" s="12" t="n">
        <v>2</v>
      </c>
      <c r="O427" s="12" t="n">
        <v>1065.69</v>
      </c>
      <c r="P427" s="12" t="n">
        <v>0.1</v>
      </c>
      <c r="Q427" s="12" t="n">
        <v>1918.24</v>
      </c>
      <c r="R427" s="12" t="n">
        <v>1373.52</v>
      </c>
      <c r="S427" s="12" t="n">
        <v>544.72</v>
      </c>
      <c r="T427" s="12" t="inlineStr">
        <is>
          <t>Refunded</t>
        </is>
      </c>
      <c r="U427" s="12" t="inlineStr">
        <is>
          <t>Cancelled</t>
        </is>
      </c>
      <c r="V427">
        <f>IF(OR(P427="",P427&lt;0,P427&gt;0.5),0,P427)</f>
        <v/>
      </c>
      <c r="W427">
        <f>N427*O427*(1-V427)</f>
        <v/>
      </c>
      <c r="X427">
        <f>W427-R427</f>
        <v/>
      </c>
      <c r="Y427">
        <f>IF(W427=0,0,X427/W427)</f>
        <v/>
      </c>
      <c r="Z427">
        <f>C427-B427</f>
        <v/>
      </c>
      <c r="AA427">
        <f>TEXT(B427,"mmmm")</f>
        <v/>
      </c>
      <c r="AB427">
        <f>YEAR(B427)</f>
        <v/>
      </c>
      <c r="AC427">
        <f>IF(OR(P427&lt;0,P427&gt;0.5,C427&lt;B427),"INVALID","CLEAN")</f>
        <v/>
      </c>
    </row>
    <row r="428">
      <c r="A428" s="12" t="inlineStr">
        <is>
          <t>ORD-2024-10427</t>
        </is>
      </c>
      <c r="B428" s="12" t="inlineStr">
        <is>
          <t>30-06-2024</t>
        </is>
      </c>
      <c r="C428" s="12" t="inlineStr">
        <is>
          <t>01-07-2024</t>
        </is>
      </c>
      <c r="D428" s="12" t="inlineStr">
        <is>
          <t>CUST-5431</t>
        </is>
      </c>
      <c r="E428" s="12" t="inlineStr">
        <is>
          <t>Aditi Sen</t>
        </is>
      </c>
      <c r="F428" s="12" t="inlineStr">
        <is>
          <t>Consumer</t>
        </is>
      </c>
      <c r="G428" s="12" t="inlineStr">
        <is>
          <t>North</t>
        </is>
      </c>
      <c r="H428" s="12" t="inlineStr">
        <is>
          <t>Haryana</t>
        </is>
      </c>
      <c r="I428" s="12" t="inlineStr">
        <is>
          <t>Gurugram</t>
        </is>
      </c>
      <c r="J428" s="12" t="inlineStr">
        <is>
          <t>Technology</t>
        </is>
      </c>
      <c r="K428" s="12" t="inlineStr">
        <is>
          <t>Copiers</t>
        </is>
      </c>
      <c r="L428" s="12" t="inlineStr">
        <is>
          <t>Max Copiers 402</t>
        </is>
      </c>
      <c r="M428" s="12" t="inlineStr">
        <is>
          <t>Same Day</t>
        </is>
      </c>
      <c r="N428" s="12" t="n">
        <v>8</v>
      </c>
      <c r="O428" s="12" t="n">
        <v>3756.66</v>
      </c>
      <c r="P428" s="12" t="n">
        <v>0.1</v>
      </c>
      <c r="Q428" s="12" t="n">
        <v>27047.95</v>
      </c>
      <c r="R428" s="12" t="n">
        <v>18431.33</v>
      </c>
      <c r="S428" s="12" t="n">
        <v>8616.620000000001</v>
      </c>
      <c r="T428" s="12" t="inlineStr">
        <is>
          <t>Paid</t>
        </is>
      </c>
      <c r="U428" s="12" t="inlineStr">
        <is>
          <t>Completed</t>
        </is>
      </c>
      <c r="V428">
        <f>IF(OR(P428="",P428&lt;0,P428&gt;0.5),0,P428)</f>
        <v/>
      </c>
      <c r="W428">
        <f>N428*O428*(1-V428)</f>
        <v/>
      </c>
      <c r="X428">
        <f>W428-R428</f>
        <v/>
      </c>
      <c r="Y428">
        <f>IF(W428=0,0,X428/W428)</f>
        <v/>
      </c>
      <c r="Z428">
        <f>C428-B428</f>
        <v/>
      </c>
      <c r="AA428">
        <f>TEXT(B428,"mmmm")</f>
        <v/>
      </c>
      <c r="AB428">
        <f>YEAR(B428)</f>
        <v/>
      </c>
      <c r="AC428">
        <f>IF(OR(P428&lt;0,P428&gt;0.5,C428&lt;B428),"INVALID","CLEAN")</f>
        <v/>
      </c>
    </row>
    <row r="429">
      <c r="A429" s="12" t="inlineStr">
        <is>
          <t>ORD-2025-10428</t>
        </is>
      </c>
      <c r="B429" s="12" t="inlineStr">
        <is>
          <t>2025-04-22</t>
        </is>
      </c>
      <c r="C429" s="12" t="inlineStr">
        <is>
          <t>24-04-2025</t>
        </is>
      </c>
      <c r="D429" s="12" t="inlineStr">
        <is>
          <t>CUST-8843</t>
        </is>
      </c>
      <c r="E429" s="12" t="inlineStr">
        <is>
          <t>Isha Nair</t>
        </is>
      </c>
      <c r="F429" s="12" t="inlineStr">
        <is>
          <t>Corporate</t>
        </is>
      </c>
      <c r="G429" s="12" t="n"/>
      <c r="H429" s="12" t="inlineStr">
        <is>
          <t>Jharkhand</t>
        </is>
      </c>
      <c r="I429" s="12" t="inlineStr">
        <is>
          <t>Ranchi</t>
        </is>
      </c>
      <c r="J429" s="12" t="inlineStr">
        <is>
          <t>Technology</t>
        </is>
      </c>
      <c r="K429" s="12" t="inlineStr">
        <is>
          <t>Accessories</t>
        </is>
      </c>
      <c r="L429" s="12" t="inlineStr">
        <is>
          <t>Prime Accessories 419</t>
        </is>
      </c>
      <c r="M429" s="12" t="inlineStr">
        <is>
          <t>STANDARD CLASS</t>
        </is>
      </c>
      <c r="N429" s="12" t="n">
        <v>9</v>
      </c>
      <c r="O429" s="12" t="n">
        <v>2939.44</v>
      </c>
      <c r="P429" s="12" t="n">
        <v>0</v>
      </c>
      <c r="Q429" s="12" t="n">
        <v>26454.96</v>
      </c>
      <c r="R429" s="12" t="n">
        <v>17630.25</v>
      </c>
      <c r="S429" s="12" t="n">
        <v>8824.709999999999</v>
      </c>
      <c r="T429" s="12" t="inlineStr">
        <is>
          <t>Paid</t>
        </is>
      </c>
      <c r="U429" s="12" t="inlineStr">
        <is>
          <t>Completed</t>
        </is>
      </c>
      <c r="V429">
        <f>IF(OR(P429="",P429&lt;0,P429&gt;0.5),0,P429)</f>
        <v/>
      </c>
      <c r="W429">
        <f>N429*O429*(1-V429)</f>
        <v/>
      </c>
      <c r="X429">
        <f>W429-R429</f>
        <v/>
      </c>
      <c r="Y429">
        <f>IF(W429=0,0,X429/W429)</f>
        <v/>
      </c>
      <c r="Z429">
        <f>C429-B429</f>
        <v/>
      </c>
      <c r="AA429">
        <f>TEXT(B429,"mmmm")</f>
        <v/>
      </c>
      <c r="AB429">
        <f>YEAR(B429)</f>
        <v/>
      </c>
      <c r="AC429">
        <f>IF(OR(P429&lt;0,P429&gt;0.5,C429&lt;B429),"INVALID","CLEAN")</f>
        <v/>
      </c>
    </row>
    <row r="430">
      <c r="A430" s="12" t="inlineStr">
        <is>
          <t>ORD-2025-10429</t>
        </is>
      </c>
      <c r="B430" s="12" t="inlineStr">
        <is>
          <t>2025-03-15</t>
        </is>
      </c>
      <c r="C430" s="12" t="inlineStr">
        <is>
          <t>22 Mar 2025</t>
        </is>
      </c>
      <c r="D430" s="12" t="inlineStr">
        <is>
          <t>CUST-7626</t>
        </is>
      </c>
      <c r="E430" s="12" t="inlineStr">
        <is>
          <t>Karan Malhotra</t>
        </is>
      </c>
      <c r="F430" s="12" t="inlineStr">
        <is>
          <t>Small Business</t>
        </is>
      </c>
      <c r="G430" s="12" t="inlineStr">
        <is>
          <t>East</t>
        </is>
      </c>
      <c r="H430" s="12" t="inlineStr">
        <is>
          <t>West Bengal</t>
        </is>
      </c>
      <c r="I430" s="12" t="inlineStr">
        <is>
          <t>Kolkata</t>
        </is>
      </c>
      <c r="J430" s="12" t="inlineStr">
        <is>
          <t>Technology</t>
        </is>
      </c>
      <c r="K430" s="12" t="inlineStr">
        <is>
          <t>Phones</t>
        </is>
      </c>
      <c r="L430" s="12" t="inlineStr">
        <is>
          <t>Elite Phones 488</t>
        </is>
      </c>
      <c r="M430" s="12" t="inlineStr">
        <is>
          <t>Same Day</t>
        </is>
      </c>
      <c r="N430" s="12" t="n">
        <v>2</v>
      </c>
      <c r="O430" s="12" t="n">
        <v>1235.93</v>
      </c>
      <c r="P430" s="12" t="n">
        <v>0.25</v>
      </c>
      <c r="Q430" s="12" t="n">
        <v>1853.89</v>
      </c>
      <c r="R430" s="12" t="n">
        <v>1101.23</v>
      </c>
      <c r="S430" s="12" t="n">
        <v>752.66</v>
      </c>
      <c r="T430" s="12" t="inlineStr">
        <is>
          <t>Pending</t>
        </is>
      </c>
      <c r="U430" s="12" t="inlineStr">
        <is>
          <t>Cancelled</t>
        </is>
      </c>
      <c r="V430">
        <f>IF(OR(P430="",P430&lt;0,P430&gt;0.5),0,P430)</f>
        <v/>
      </c>
      <c r="W430">
        <f>N430*O430*(1-V430)</f>
        <v/>
      </c>
      <c r="X430">
        <f>W430-R430</f>
        <v/>
      </c>
      <c r="Y430">
        <f>IF(W430=0,0,X430/W430)</f>
        <v/>
      </c>
      <c r="Z430">
        <f>C430-B430</f>
        <v/>
      </c>
      <c r="AA430">
        <f>TEXT(B430,"mmmm")</f>
        <v/>
      </c>
      <c r="AB430">
        <f>YEAR(B430)</f>
        <v/>
      </c>
      <c r="AC430">
        <f>IF(OR(P430&lt;0,P430&gt;0.5,C430&lt;B430),"INVALID","CLEAN")</f>
        <v/>
      </c>
    </row>
    <row r="431">
      <c r="A431" s="12" t="inlineStr">
        <is>
          <t>ORD-2025-10430</t>
        </is>
      </c>
      <c r="B431" s="12" t="inlineStr">
        <is>
          <t>01 Mar 2025</t>
        </is>
      </c>
      <c r="C431" s="12" t="inlineStr">
        <is>
          <t>08-03-2025</t>
        </is>
      </c>
      <c r="D431" s="12" t="inlineStr">
        <is>
          <t>CUST-8562</t>
        </is>
      </c>
      <c r="E431" s="12" t="inlineStr">
        <is>
          <t>Neha Gupta</t>
        </is>
      </c>
      <c r="F431" s="12" t="inlineStr">
        <is>
          <t>Home Office</t>
        </is>
      </c>
      <c r="G431" s="12" t="inlineStr">
        <is>
          <t>North</t>
        </is>
      </c>
      <c r="H431" s="12" t="inlineStr">
        <is>
          <t>Rajasthan</t>
        </is>
      </c>
      <c r="I431" s="12" t="inlineStr">
        <is>
          <t>Jaipur</t>
        </is>
      </c>
      <c r="J431" s="12" t="inlineStr">
        <is>
          <t>Technology</t>
        </is>
      </c>
      <c r="K431" s="12" t="inlineStr">
        <is>
          <t>Copiers</t>
        </is>
      </c>
      <c r="L431" s="12" t="inlineStr">
        <is>
          <t>Prime Copiers 109</t>
        </is>
      </c>
      <c r="M431" s="12" t="inlineStr">
        <is>
          <t>Same Day</t>
        </is>
      </c>
      <c r="N431" s="12" t="n">
        <v>8</v>
      </c>
      <c r="O431" s="12" t="n">
        <v>2943.1</v>
      </c>
      <c r="P431" s="12" t="n">
        <v>0.25</v>
      </c>
      <c r="Q431" s="12" t="n">
        <v>17658.6</v>
      </c>
      <c r="R431" s="12" t="n">
        <v>13842.48</v>
      </c>
      <c r="S431" s="12" t="n">
        <v>3816.12</v>
      </c>
      <c r="T431" s="12" t="inlineStr">
        <is>
          <t>Paid</t>
        </is>
      </c>
      <c r="U431" s="12" t="inlineStr">
        <is>
          <t>Completed</t>
        </is>
      </c>
      <c r="V431">
        <f>IF(OR(P431="",P431&lt;0,P431&gt;0.5),0,P431)</f>
        <v/>
      </c>
      <c r="W431">
        <f>N431*O431*(1-V431)</f>
        <v/>
      </c>
      <c r="X431">
        <f>W431-R431</f>
        <v/>
      </c>
      <c r="Y431">
        <f>IF(W431=0,0,X431/W431)</f>
        <v/>
      </c>
      <c r="Z431">
        <f>C431-B431</f>
        <v/>
      </c>
      <c r="AA431">
        <f>TEXT(B431,"mmmm")</f>
        <v/>
      </c>
      <c r="AB431">
        <f>YEAR(B431)</f>
        <v/>
      </c>
      <c r="AC431">
        <f>IF(OR(P431&lt;0,P431&gt;0.5,C431&lt;B431),"INVALID","CLEAN")</f>
        <v/>
      </c>
    </row>
    <row r="432">
      <c r="A432" s="12" t="inlineStr">
        <is>
          <t>ORD-2024-10431</t>
        </is>
      </c>
      <c r="B432" s="12" t="inlineStr">
        <is>
          <t>30 Aug 2024</t>
        </is>
      </c>
      <c r="C432" s="12" t="inlineStr">
        <is>
          <t>02-09-2024</t>
        </is>
      </c>
      <c r="D432" s="12" t="inlineStr">
        <is>
          <t>CUST-2732</t>
        </is>
      </c>
      <c r="E432" s="12" t="inlineStr">
        <is>
          <t>Neha Gupta</t>
        </is>
      </c>
      <c r="F432" s="12" t="inlineStr">
        <is>
          <t>Small Business</t>
        </is>
      </c>
      <c r="G432" s="12" t="inlineStr">
        <is>
          <t>North</t>
        </is>
      </c>
      <c r="H432" s="12" t="inlineStr">
        <is>
          <t>Haryana</t>
        </is>
      </c>
      <c r="I432" s="12" t="inlineStr">
        <is>
          <t>Gurugram</t>
        </is>
      </c>
      <c r="J432" s="12" t="inlineStr">
        <is>
          <t xml:space="preserve">Office Supplies </t>
        </is>
      </c>
      <c r="K432" s="12" t="inlineStr">
        <is>
          <t>Paper</t>
        </is>
      </c>
      <c r="L432" s="12" t="inlineStr">
        <is>
          <t>Max Paper 576</t>
        </is>
      </c>
      <c r="M432" s="12" t="inlineStr">
        <is>
          <t>Second Class</t>
        </is>
      </c>
      <c r="N432" s="12" t="n">
        <v>1</v>
      </c>
      <c r="O432" s="12" t="n">
        <v>4320.84</v>
      </c>
      <c r="P432" s="12" t="n">
        <v>0.15</v>
      </c>
      <c r="Q432" s="12" t="n">
        <v>3672.71</v>
      </c>
      <c r="R432" s="12" t="n">
        <v>2714.23</v>
      </c>
      <c r="S432" s="12" t="n">
        <v>763.38</v>
      </c>
      <c r="T432" s="12" t="inlineStr">
        <is>
          <t>Paid</t>
        </is>
      </c>
      <c r="U432" s="12" t="inlineStr">
        <is>
          <t>Completed</t>
        </is>
      </c>
      <c r="V432">
        <f>IF(OR(P432="",P432&lt;0,P432&gt;0.5),0,P432)</f>
        <v/>
      </c>
      <c r="W432">
        <f>N432*O432*(1-V432)</f>
        <v/>
      </c>
      <c r="X432">
        <f>W432-R432</f>
        <v/>
      </c>
      <c r="Y432">
        <f>IF(W432=0,0,X432/W432)</f>
        <v/>
      </c>
      <c r="Z432">
        <f>C432-B432</f>
        <v/>
      </c>
      <c r="AA432">
        <f>TEXT(B432,"mmmm")</f>
        <v/>
      </c>
      <c r="AB432">
        <f>YEAR(B432)</f>
        <v/>
      </c>
      <c r="AC432">
        <f>IF(OR(P432&lt;0,P432&gt;0.5,C432&lt;B432),"INVALID","CLEAN")</f>
        <v/>
      </c>
    </row>
    <row r="433">
      <c r="A433" s="12" t="inlineStr">
        <is>
          <t>ORD-2024-10432</t>
        </is>
      </c>
      <c r="B433" s="12" t="inlineStr">
        <is>
          <t>10 Feb 2024</t>
        </is>
      </c>
      <c r="C433" s="12" t="inlineStr">
        <is>
          <t>02/13/2024</t>
        </is>
      </c>
      <c r="D433" s="12" t="inlineStr">
        <is>
          <t>CUST-3989</t>
        </is>
      </c>
      <c r="E433" s="12" t="inlineStr">
        <is>
          <t>Karan Malhotra</t>
        </is>
      </c>
      <c r="F433" s="12" t="inlineStr">
        <is>
          <t>Home Office</t>
        </is>
      </c>
      <c r="G433" s="12" t="inlineStr">
        <is>
          <t>West</t>
        </is>
      </c>
      <c r="H433" s="12" t="inlineStr">
        <is>
          <t>Goa</t>
        </is>
      </c>
      <c r="I433" s="12" t="inlineStr">
        <is>
          <t>Panaji</t>
        </is>
      </c>
      <c r="J433" s="12" t="inlineStr">
        <is>
          <t>Technology</t>
        </is>
      </c>
      <c r="K433" s="12" t="inlineStr">
        <is>
          <t>Machines</t>
        </is>
      </c>
      <c r="L433" s="12" t="inlineStr">
        <is>
          <t>Max Machines 412</t>
        </is>
      </c>
      <c r="M433" s="12" t="inlineStr">
        <is>
          <t>Same Day</t>
        </is>
      </c>
      <c r="N433" s="12" t="n">
        <v>2</v>
      </c>
      <c r="O433" s="12" t="n">
        <v>4118.45</v>
      </c>
      <c r="P433" s="12" t="n">
        <v>0.25</v>
      </c>
      <c r="Q433" s="12" t="n">
        <v>6177.67</v>
      </c>
      <c r="R433" s="12" t="n">
        <v>4520.75</v>
      </c>
      <c r="S433" s="12" t="n">
        <v>1656.92</v>
      </c>
      <c r="T433" s="12" t="inlineStr">
        <is>
          <t>Paid</t>
        </is>
      </c>
      <c r="U433" s="12" t="inlineStr">
        <is>
          <t>Completed</t>
        </is>
      </c>
      <c r="V433">
        <f>IF(OR(P433="",P433&lt;0,P433&gt;0.5),0,P433)</f>
        <v/>
      </c>
      <c r="W433">
        <f>N433*O433*(1-V433)</f>
        <v/>
      </c>
      <c r="X433">
        <f>W433-R433</f>
        <v/>
      </c>
      <c r="Y433">
        <f>IF(W433=0,0,X433/W433)</f>
        <v/>
      </c>
      <c r="Z433">
        <f>C433-B433</f>
        <v/>
      </c>
      <c r="AA433">
        <f>TEXT(B433,"mmmm")</f>
        <v/>
      </c>
      <c r="AB433">
        <f>YEAR(B433)</f>
        <v/>
      </c>
      <c r="AC433">
        <f>IF(OR(P433&lt;0,P433&gt;0.5,C433&lt;B433),"INVALID","CLEAN")</f>
        <v/>
      </c>
    </row>
    <row r="434">
      <c r="A434" s="12" t="inlineStr">
        <is>
          <t>ORD-2024-10433</t>
        </is>
      </c>
      <c r="B434" s="12" t="inlineStr">
        <is>
          <t>08/29/2024</t>
        </is>
      </c>
      <c r="C434" s="12" t="inlineStr">
        <is>
          <t>02-09-2024</t>
        </is>
      </c>
      <c r="D434" s="12" t="inlineStr">
        <is>
          <t>CUST-3522</t>
        </is>
      </c>
      <c r="E434" s="12" t="inlineStr">
        <is>
          <t>Priya Menon</t>
        </is>
      </c>
      <c r="F434" s="12" t="inlineStr">
        <is>
          <t>Small Business</t>
        </is>
      </c>
      <c r="G434" s="12" t="inlineStr">
        <is>
          <t>West</t>
        </is>
      </c>
      <c r="H434" s="12" t="inlineStr">
        <is>
          <t>Maharashtra</t>
        </is>
      </c>
      <c r="I434" s="12" t="inlineStr">
        <is>
          <t>Mumbai</t>
        </is>
      </c>
      <c r="J434" s="12" t="inlineStr">
        <is>
          <t>Furniture</t>
        </is>
      </c>
      <c r="K434" s="12" t="inlineStr">
        <is>
          <t>Bookcases</t>
        </is>
      </c>
      <c r="L434" s="12" t="inlineStr">
        <is>
          <t>Classic Bookcases 291</t>
        </is>
      </c>
      <c r="M434" s="12" t="inlineStr">
        <is>
          <t>Standard Class</t>
        </is>
      </c>
      <c r="N434" s="12" t="n">
        <v>6</v>
      </c>
      <c r="O434" s="12" t="n">
        <v>172.82</v>
      </c>
      <c r="P434" s="12" t="n">
        <v>0.05</v>
      </c>
      <c r="Q434" s="12" t="n">
        <v>985.0700000000001</v>
      </c>
      <c r="R434" s="12" t="n">
        <v>844.48</v>
      </c>
      <c r="S434" s="12" t="n">
        <v>140.59</v>
      </c>
      <c r="T434" s="12" t="inlineStr">
        <is>
          <t>Paid</t>
        </is>
      </c>
      <c r="U434" s="12" t="inlineStr">
        <is>
          <t>Completed</t>
        </is>
      </c>
      <c r="V434">
        <f>IF(OR(P434="",P434&lt;0,P434&gt;0.5),0,P434)</f>
        <v/>
      </c>
      <c r="W434">
        <f>N434*O434*(1-V434)</f>
        <v/>
      </c>
      <c r="X434">
        <f>W434-R434</f>
        <v/>
      </c>
      <c r="Y434">
        <f>IF(W434=0,0,X434/W434)</f>
        <v/>
      </c>
      <c r="Z434">
        <f>C434-B434</f>
        <v/>
      </c>
      <c r="AA434">
        <f>TEXT(B434,"mmmm")</f>
        <v/>
      </c>
      <c r="AB434">
        <f>YEAR(B434)</f>
        <v/>
      </c>
      <c r="AC434">
        <f>IF(OR(P434&lt;0,P434&gt;0.5,C434&lt;B434),"INVALID","CLEAN")</f>
        <v/>
      </c>
    </row>
    <row r="435">
      <c r="A435" s="12" t="inlineStr">
        <is>
          <t>ORD-2024-10434</t>
        </is>
      </c>
      <c r="B435" s="12" t="inlineStr">
        <is>
          <t>04/19/2024</t>
        </is>
      </c>
      <c r="C435" s="12" t="inlineStr">
        <is>
          <t>20-04-2024</t>
        </is>
      </c>
      <c r="D435" s="12" t="inlineStr">
        <is>
          <t>CUST-7066</t>
        </is>
      </c>
      <c r="E435" s="12" t="inlineStr">
        <is>
          <t>Priya Menon</t>
        </is>
      </c>
      <c r="F435" s="12" t="inlineStr">
        <is>
          <t>Corporate</t>
        </is>
      </c>
      <c r="G435" s="12" t="inlineStr">
        <is>
          <t>South</t>
        </is>
      </c>
      <c r="H435" s="12" t="inlineStr">
        <is>
          <t>Kerala</t>
        </is>
      </c>
      <c r="I435" s="12" t="inlineStr">
        <is>
          <t>Kochi</t>
        </is>
      </c>
      <c r="J435" s="12" t="inlineStr">
        <is>
          <t>Office Supplies</t>
        </is>
      </c>
      <c r="K435" s="12" t="inlineStr">
        <is>
          <t>Art</t>
        </is>
      </c>
      <c r="L435" s="12" t="inlineStr">
        <is>
          <t>Elite Art 946</t>
        </is>
      </c>
      <c r="M435" s="12" t="inlineStr">
        <is>
          <t>Second Class</t>
        </is>
      </c>
      <c r="N435" s="12" t="n">
        <v>4</v>
      </c>
      <c r="O435" s="12" t="n">
        <v>1540.22</v>
      </c>
      <c r="P435" s="12" t="n">
        <v>0</v>
      </c>
      <c r="Q435" s="12" t="n">
        <v>6160.88</v>
      </c>
      <c r="R435" s="12" t="n">
        <v>4938.7</v>
      </c>
      <c r="S435" s="12" t="n">
        <v>1222.18</v>
      </c>
      <c r="T435" s="12" t="inlineStr">
        <is>
          <t>Refunded</t>
        </is>
      </c>
      <c r="U435" s="12" t="inlineStr">
        <is>
          <t>Returned</t>
        </is>
      </c>
      <c r="V435">
        <f>IF(OR(P435="",P435&lt;0,P435&gt;0.5),0,P435)</f>
        <v/>
      </c>
      <c r="W435">
        <f>N435*O435*(1-V435)</f>
        <v/>
      </c>
      <c r="X435">
        <f>W435-R435</f>
        <v/>
      </c>
      <c r="Y435">
        <f>IF(W435=0,0,X435/W435)</f>
        <v/>
      </c>
      <c r="Z435">
        <f>C435-B435</f>
        <v/>
      </c>
      <c r="AA435">
        <f>TEXT(B435,"mmmm")</f>
        <v/>
      </c>
      <c r="AB435">
        <f>YEAR(B435)</f>
        <v/>
      </c>
      <c r="AC435">
        <f>IF(OR(P435&lt;0,P435&gt;0.5,C435&lt;B435),"INVALID","CLEAN")</f>
        <v/>
      </c>
    </row>
    <row r="436">
      <c r="A436" s="12" t="inlineStr">
        <is>
          <t>ORD-2025-10435</t>
        </is>
      </c>
      <c r="B436" s="12" t="inlineStr">
        <is>
          <t>04/11/2025</t>
        </is>
      </c>
      <c r="C436" s="12" t="inlineStr">
        <is>
          <t>2025-04-15</t>
        </is>
      </c>
      <c r="D436" s="12" t="inlineStr">
        <is>
          <t>CUST-2351</t>
        </is>
      </c>
      <c r="E436" s="12" t="inlineStr">
        <is>
          <t>Mira Das</t>
        </is>
      </c>
      <c r="F436" s="12" t="inlineStr">
        <is>
          <t>Home Office</t>
        </is>
      </c>
      <c r="G436" s="12" t="inlineStr">
        <is>
          <t>North</t>
        </is>
      </c>
      <c r="H436" s="12" t="inlineStr">
        <is>
          <t>Uttar Pradesh</t>
        </is>
      </c>
      <c r="I436" s="12" t="inlineStr">
        <is>
          <t>Noida</t>
        </is>
      </c>
      <c r="J436" s="12" t="inlineStr">
        <is>
          <t>Technology</t>
        </is>
      </c>
      <c r="K436" s="12" t="inlineStr">
        <is>
          <t>Accessories</t>
        </is>
      </c>
      <c r="L436" s="12" t="inlineStr">
        <is>
          <t>Eco Accessories 705</t>
        </is>
      </c>
      <c r="M436" s="12" t="inlineStr">
        <is>
          <t>Second Class</t>
        </is>
      </c>
      <c r="N436" s="12" t="n">
        <v>5</v>
      </c>
      <c r="O436" s="12" t="n">
        <v>652.78</v>
      </c>
      <c r="P436" s="12" t="n">
        <v>0</v>
      </c>
      <c r="Q436" s="12" t="n">
        <v>3263.9</v>
      </c>
      <c r="R436" s="12" t="n">
        <v>2068.44</v>
      </c>
      <c r="S436" s="12" t="n">
        <v>1195.46</v>
      </c>
      <c r="T436" s="12" t="inlineStr">
        <is>
          <t>Paid</t>
        </is>
      </c>
      <c r="U436" s="12" t="inlineStr">
        <is>
          <t>Completed</t>
        </is>
      </c>
      <c r="V436">
        <f>IF(OR(P436="",P436&lt;0,P436&gt;0.5),0,P436)</f>
        <v/>
      </c>
      <c r="W436">
        <f>N436*O436*(1-V436)</f>
        <v/>
      </c>
      <c r="X436">
        <f>W436-R436</f>
        <v/>
      </c>
      <c r="Y436">
        <f>IF(W436=0,0,X436/W436)</f>
        <v/>
      </c>
      <c r="Z436">
        <f>C436-B436</f>
        <v/>
      </c>
      <c r="AA436">
        <f>TEXT(B436,"mmmm")</f>
        <v/>
      </c>
      <c r="AB436">
        <f>YEAR(B436)</f>
        <v/>
      </c>
      <c r="AC436">
        <f>IF(OR(P436&lt;0,P436&gt;0.5,C436&lt;B436),"INVALID","CLEAN")</f>
        <v/>
      </c>
    </row>
    <row r="437">
      <c r="A437" s="12" t="inlineStr">
        <is>
          <t>ORD-2025-10436</t>
        </is>
      </c>
      <c r="B437" s="12" t="inlineStr">
        <is>
          <t>2025-04-12</t>
        </is>
      </c>
      <c r="C437" s="12" t="inlineStr">
        <is>
          <t>20-04-2025</t>
        </is>
      </c>
      <c r="D437" s="12" t="inlineStr">
        <is>
          <t>CUST-7291</t>
        </is>
      </c>
      <c r="E437" s="12" t="inlineStr">
        <is>
          <t>Kabir Singh</t>
        </is>
      </c>
      <c r="F437" s="12" t="inlineStr">
        <is>
          <t>Home Office</t>
        </is>
      </c>
      <c r="G437" s="12" t="inlineStr">
        <is>
          <t>North</t>
        </is>
      </c>
      <c r="H437" s="12" t="inlineStr">
        <is>
          <t>Delhi</t>
        </is>
      </c>
      <c r="I437" s="12" t="inlineStr">
        <is>
          <t>New Delhi</t>
        </is>
      </c>
      <c r="J437" s="12" t="inlineStr">
        <is>
          <t>Technology</t>
        </is>
      </c>
      <c r="K437" s="12" t="inlineStr">
        <is>
          <t>Machines</t>
        </is>
      </c>
      <c r="L437" s="12" t="inlineStr">
        <is>
          <t>Max Machines 151</t>
        </is>
      </c>
      <c r="M437" s="12" t="inlineStr">
        <is>
          <t>Standard Class</t>
        </is>
      </c>
      <c r="N437" s="12" t="n">
        <v>1</v>
      </c>
      <c r="O437" s="12" t="n">
        <v>2737.71</v>
      </c>
      <c r="P437" s="12" t="n">
        <v>0.15</v>
      </c>
      <c r="Q437" s="12" t="n">
        <v>2327.05</v>
      </c>
      <c r="R437" s="12" t="n">
        <v>1919.42</v>
      </c>
      <c r="S437" s="12" t="n">
        <v>407.63</v>
      </c>
      <c r="T437" s="12" t="inlineStr">
        <is>
          <t>Paid</t>
        </is>
      </c>
      <c r="U437" s="12" t="inlineStr">
        <is>
          <t>Cancelled</t>
        </is>
      </c>
      <c r="V437">
        <f>IF(OR(P437="",P437&lt;0,P437&gt;0.5),0,P437)</f>
        <v/>
      </c>
      <c r="W437">
        <f>N437*O437*(1-V437)</f>
        <v/>
      </c>
      <c r="X437">
        <f>W437-R437</f>
        <v/>
      </c>
      <c r="Y437">
        <f>IF(W437=0,0,X437/W437)</f>
        <v/>
      </c>
      <c r="Z437">
        <f>C437-B437</f>
        <v/>
      </c>
      <c r="AA437">
        <f>TEXT(B437,"mmmm")</f>
        <v/>
      </c>
      <c r="AB437">
        <f>YEAR(B437)</f>
        <v/>
      </c>
      <c r="AC437">
        <f>IF(OR(P437&lt;0,P437&gt;0.5,C437&lt;B437),"INVALID","CLEAN")</f>
        <v/>
      </c>
    </row>
    <row r="438">
      <c r="A438" s="12" t="inlineStr">
        <is>
          <t>ORD-2024-10437</t>
        </is>
      </c>
      <c r="B438" s="12" t="inlineStr">
        <is>
          <t>16 Jun 2024</t>
        </is>
      </c>
      <c r="C438" s="12" t="inlineStr">
        <is>
          <t>21 Jun 2024</t>
        </is>
      </c>
      <c r="D438" s="12" t="inlineStr">
        <is>
          <t>CUST-4492</t>
        </is>
      </c>
      <c r="E438" s="12" t="inlineStr">
        <is>
          <t>Neha Gupta</t>
        </is>
      </c>
      <c r="F438" s="12" t="inlineStr">
        <is>
          <t>Consumer</t>
        </is>
      </c>
      <c r="G438" s="12" t="inlineStr">
        <is>
          <t>South</t>
        </is>
      </c>
      <c r="H438" s="12" t="inlineStr">
        <is>
          <t>Kerala</t>
        </is>
      </c>
      <c r="I438" s="12" t="inlineStr">
        <is>
          <t>Kochi</t>
        </is>
      </c>
      <c r="J438" s="12" t="inlineStr">
        <is>
          <t>Furniture</t>
        </is>
      </c>
      <c r="K438" s="12" t="inlineStr">
        <is>
          <t>Furnishings</t>
        </is>
      </c>
      <c r="L438" s="12" t="inlineStr">
        <is>
          <t>Max Furnishings 803</t>
        </is>
      </c>
      <c r="M438" s="12" t="inlineStr">
        <is>
          <t>Same Day</t>
        </is>
      </c>
      <c r="N438" s="12" t="n">
        <v>6</v>
      </c>
      <c r="O438" s="12" t="n">
        <v>1156.78</v>
      </c>
      <c r="P438" s="12" t="n">
        <v>0.05</v>
      </c>
      <c r="Q438" s="12" t="n">
        <v>6593.65</v>
      </c>
      <c r="R438" s="12" t="n">
        <v>4359.39</v>
      </c>
      <c r="S438" s="12" t="n">
        <v>2234.26</v>
      </c>
      <c r="T438" s="12" t="inlineStr">
        <is>
          <t>Paid</t>
        </is>
      </c>
      <c r="U438" s="12" t="inlineStr">
        <is>
          <t>Returned</t>
        </is>
      </c>
      <c r="V438">
        <f>IF(OR(P438="",P438&lt;0,P438&gt;0.5),0,P438)</f>
        <v/>
      </c>
      <c r="W438">
        <f>N438*O438*(1-V438)</f>
        <v/>
      </c>
      <c r="X438">
        <f>W438-R438</f>
        <v/>
      </c>
      <c r="Y438">
        <f>IF(W438=0,0,X438/W438)</f>
        <v/>
      </c>
      <c r="Z438">
        <f>C438-B438</f>
        <v/>
      </c>
      <c r="AA438">
        <f>TEXT(B438,"mmmm")</f>
        <v/>
      </c>
      <c r="AB438">
        <f>YEAR(B438)</f>
        <v/>
      </c>
      <c r="AC438">
        <f>IF(OR(P438&lt;0,P438&gt;0.5,C438&lt;B438),"INVALID","CLEAN")</f>
        <v/>
      </c>
    </row>
    <row r="439">
      <c r="A439" s="12" t="inlineStr">
        <is>
          <t>ORD-2024-10438</t>
        </is>
      </c>
      <c r="B439" s="12" t="inlineStr">
        <is>
          <t>15-02-2024</t>
        </is>
      </c>
      <c r="C439" s="12" t="inlineStr">
        <is>
          <t>2024-02-18</t>
        </is>
      </c>
      <c r="D439" s="12" t="inlineStr">
        <is>
          <t>CUST-5029</t>
        </is>
      </c>
      <c r="E439" s="12" t="inlineStr">
        <is>
          <t>Aditi Sen</t>
        </is>
      </c>
      <c r="F439" s="12" t="inlineStr">
        <is>
          <t>Small Business</t>
        </is>
      </c>
      <c r="G439" s="12" t="inlineStr">
        <is>
          <t>South</t>
        </is>
      </c>
      <c r="H439" s="12" t="inlineStr">
        <is>
          <t>Kerala</t>
        </is>
      </c>
      <c r="I439" s="12" t="inlineStr">
        <is>
          <t>Kochi</t>
        </is>
      </c>
      <c r="J439" s="12" t="inlineStr">
        <is>
          <t>Technology</t>
        </is>
      </c>
      <c r="K439" s="12" t="inlineStr">
        <is>
          <t xml:space="preserve">  Accessories </t>
        </is>
      </c>
      <c r="L439" s="12" t="inlineStr">
        <is>
          <t>Max Accessories 423</t>
        </is>
      </c>
      <c r="M439" s="12" t="inlineStr">
        <is>
          <t>Same Day</t>
        </is>
      </c>
      <c r="N439" s="12" t="n">
        <v>8</v>
      </c>
      <c r="O439" s="12" t="n">
        <v>379.82</v>
      </c>
      <c r="P439" s="12" t="n">
        <v>0.05</v>
      </c>
      <c r="Q439" s="12" t="n">
        <v>2886.63</v>
      </c>
      <c r="R439" s="12" t="n">
        <v>1588.23</v>
      </c>
      <c r="S439" s="12" t="n">
        <v>1298.4</v>
      </c>
      <c r="T439" s="12" t="inlineStr">
        <is>
          <t>Failed</t>
        </is>
      </c>
      <c r="U439" s="12" t="inlineStr">
        <is>
          <t>Returned</t>
        </is>
      </c>
      <c r="V439">
        <f>IF(OR(P439="",P439&lt;0,P439&gt;0.5),0,P439)</f>
        <v/>
      </c>
      <c r="W439">
        <f>N439*O439*(1-V439)</f>
        <v/>
      </c>
      <c r="X439">
        <f>W439-R439</f>
        <v/>
      </c>
      <c r="Y439">
        <f>IF(W439=0,0,X439/W439)</f>
        <v/>
      </c>
      <c r="Z439">
        <f>C439-B439</f>
        <v/>
      </c>
      <c r="AA439">
        <f>TEXT(B439,"mmmm")</f>
        <v/>
      </c>
      <c r="AB439">
        <f>YEAR(B439)</f>
        <v/>
      </c>
      <c r="AC439">
        <f>IF(OR(P439&lt;0,P439&gt;0.5,C439&lt;B439),"INVALID","CLEAN")</f>
        <v/>
      </c>
    </row>
    <row r="440">
      <c r="A440" s="12" t="inlineStr">
        <is>
          <t>ORD-2025-10439</t>
        </is>
      </c>
      <c r="B440" s="12" t="inlineStr">
        <is>
          <t>07 May 2025</t>
        </is>
      </c>
      <c r="C440" s="12" t="inlineStr">
        <is>
          <t>05/05/2025</t>
        </is>
      </c>
      <c r="D440" s="12" t="inlineStr">
        <is>
          <t>CUST-7252</t>
        </is>
      </c>
      <c r="E440" s="12" t="inlineStr">
        <is>
          <t>Neha Gupta</t>
        </is>
      </c>
      <c r="F440" s="12" t="inlineStr">
        <is>
          <t>Corporate</t>
        </is>
      </c>
      <c r="G440" s="12" t="inlineStr">
        <is>
          <t>East</t>
        </is>
      </c>
      <c r="H440" s="12" t="inlineStr">
        <is>
          <t>Jharkhand</t>
        </is>
      </c>
      <c r="I440" s="12" t="inlineStr">
        <is>
          <t>Ranchi</t>
        </is>
      </c>
      <c r="J440" s="12" t="inlineStr">
        <is>
          <t>Technology</t>
        </is>
      </c>
      <c r="K440" s="12" t="inlineStr">
        <is>
          <t>Phones</t>
        </is>
      </c>
      <c r="L440" s="12" t="inlineStr">
        <is>
          <t>Elite Phones 276</t>
        </is>
      </c>
      <c r="M440" s="12" t="inlineStr">
        <is>
          <t>Standard Class</t>
        </is>
      </c>
      <c r="N440" s="12" t="n">
        <v>1</v>
      </c>
      <c r="O440" s="12" t="n">
        <v>2266.47</v>
      </c>
      <c r="P440" s="12" t="n">
        <v>0.2</v>
      </c>
      <c r="Q440" s="12" t="n">
        <v>1813.18</v>
      </c>
      <c r="R440" s="12" t="n">
        <v>1363.64</v>
      </c>
      <c r="S440" s="12" t="n">
        <v>449.54</v>
      </c>
      <c r="T440" s="12" t="inlineStr">
        <is>
          <t>Paid</t>
        </is>
      </c>
      <c r="U440" s="12" t="inlineStr">
        <is>
          <t>Completed</t>
        </is>
      </c>
      <c r="V440">
        <f>IF(OR(P440="",P440&lt;0,P440&gt;0.5),0,P440)</f>
        <v/>
      </c>
      <c r="W440">
        <f>N440*O440*(1-V440)</f>
        <v/>
      </c>
      <c r="X440">
        <f>W440-R440</f>
        <v/>
      </c>
      <c r="Y440">
        <f>IF(W440=0,0,X440/W440)</f>
        <v/>
      </c>
      <c r="Z440">
        <f>C440-B440</f>
        <v/>
      </c>
      <c r="AA440">
        <f>TEXT(B440,"mmmm")</f>
        <v/>
      </c>
      <c r="AB440">
        <f>YEAR(B440)</f>
        <v/>
      </c>
      <c r="AC440">
        <f>IF(OR(P440&lt;0,P440&gt;0.5,C440&lt;B440),"INVALID","CLEAN")</f>
        <v/>
      </c>
    </row>
    <row r="441">
      <c r="A441" s="12" t="inlineStr">
        <is>
          <t>ORD-2025-10440</t>
        </is>
      </c>
      <c r="B441" s="12" t="inlineStr">
        <is>
          <t>30-06-2025</t>
        </is>
      </c>
      <c r="C441" s="12" t="inlineStr">
        <is>
          <t>03 Jul 2025</t>
        </is>
      </c>
      <c r="D441" s="12" t="inlineStr">
        <is>
          <t>CUST-7346</t>
        </is>
      </c>
      <c r="E441" s="12" t="inlineStr">
        <is>
          <t>Aarav Sharma</t>
        </is>
      </c>
      <c r="F441" s="12" t="inlineStr">
        <is>
          <t>Home Office</t>
        </is>
      </c>
      <c r="G441" s="12" t="inlineStr">
        <is>
          <t>West</t>
        </is>
      </c>
      <c r="H441" s="12" t="inlineStr">
        <is>
          <t>Goa</t>
        </is>
      </c>
      <c r="I441" s="12" t="inlineStr">
        <is>
          <t>Panaji</t>
        </is>
      </c>
      <c r="J441" s="12" t="inlineStr">
        <is>
          <t>Office Supplies</t>
        </is>
      </c>
      <c r="K441" s="12" t="inlineStr">
        <is>
          <t>Storage</t>
        </is>
      </c>
      <c r="L441" s="12" t="inlineStr">
        <is>
          <t>Smart Storage 287</t>
        </is>
      </c>
      <c r="M441" s="12" t="inlineStr">
        <is>
          <t>Same Day</t>
        </is>
      </c>
      <c r="N441" s="12" t="n">
        <v>5</v>
      </c>
      <c r="O441" s="12" t="n">
        <v>665.25</v>
      </c>
      <c r="P441" s="12" t="n">
        <v>0</v>
      </c>
      <c r="Q441" s="12" t="n">
        <v>3326.25</v>
      </c>
      <c r="R441" s="12" t="n">
        <v>2689.36</v>
      </c>
      <c r="S441" s="12" t="n">
        <v>636.89</v>
      </c>
      <c r="T441" s="12" t="inlineStr">
        <is>
          <t>Refunded</t>
        </is>
      </c>
      <c r="U441" s="12" t="inlineStr">
        <is>
          <t>Returned</t>
        </is>
      </c>
      <c r="V441">
        <f>IF(OR(P441="",P441&lt;0,P441&gt;0.5),0,P441)</f>
        <v/>
      </c>
      <c r="W441">
        <f>N441*O441*(1-V441)</f>
        <v/>
      </c>
      <c r="X441">
        <f>W441-R441</f>
        <v/>
      </c>
      <c r="Y441">
        <f>IF(W441=0,0,X441/W441)</f>
        <v/>
      </c>
      <c r="Z441">
        <f>C441-B441</f>
        <v/>
      </c>
      <c r="AA441">
        <f>TEXT(B441,"mmmm")</f>
        <v/>
      </c>
      <c r="AB441">
        <f>YEAR(B441)</f>
        <v/>
      </c>
      <c r="AC441">
        <f>IF(OR(P441&lt;0,P441&gt;0.5,C441&lt;B441),"INVALID","CLEAN")</f>
        <v/>
      </c>
    </row>
    <row r="442">
      <c r="A442" s="12" t="inlineStr">
        <is>
          <t>ORD-2024-10441</t>
        </is>
      </c>
      <c r="B442" s="12" t="inlineStr">
        <is>
          <t>04/02/2024</t>
        </is>
      </c>
      <c r="C442" s="12" t="inlineStr">
        <is>
          <t>04/08/2024</t>
        </is>
      </c>
      <c r="D442" s="12" t="inlineStr">
        <is>
          <t>CUST-9039</t>
        </is>
      </c>
      <c r="E442" s="12" t="inlineStr">
        <is>
          <t>Vikram Iyer</t>
        </is>
      </c>
      <c r="F442" s="12" t="inlineStr">
        <is>
          <t>Corporate</t>
        </is>
      </c>
      <c r="G442" s="12" t="inlineStr">
        <is>
          <t>East</t>
        </is>
      </c>
      <c r="H442" s="12" t="inlineStr">
        <is>
          <t>Odisha</t>
        </is>
      </c>
      <c r="I442" s="12" t="inlineStr">
        <is>
          <t>Bhubaneswar</t>
        </is>
      </c>
      <c r="J442" s="12" t="inlineStr">
        <is>
          <t>Technology</t>
        </is>
      </c>
      <c r="K442" s="12" t="inlineStr">
        <is>
          <t>Machines</t>
        </is>
      </c>
      <c r="L442" s="12" t="inlineStr">
        <is>
          <t>Basic Machines 610</t>
        </is>
      </c>
      <c r="M442" s="12" t="inlineStr">
        <is>
          <t>Second Class</t>
        </is>
      </c>
      <c r="N442" s="12" t="n">
        <v>6</v>
      </c>
      <c r="O442" s="12" t="n">
        <v>3722.84</v>
      </c>
      <c r="P442" s="12" t="n">
        <v>0.2</v>
      </c>
      <c r="Q442" s="12" t="n">
        <v>17869.63</v>
      </c>
      <c r="R442" s="12" t="n">
        <v>12163.8</v>
      </c>
      <c r="S442" s="12" t="n">
        <v>5705.83</v>
      </c>
      <c r="T442" s="12" t="inlineStr">
        <is>
          <t>Paid</t>
        </is>
      </c>
      <c r="U442" s="12" t="inlineStr">
        <is>
          <t>Completed</t>
        </is>
      </c>
      <c r="V442">
        <f>IF(OR(P442="",P442&lt;0,P442&gt;0.5),0,P442)</f>
        <v/>
      </c>
      <c r="W442">
        <f>N442*O442*(1-V442)</f>
        <v/>
      </c>
      <c r="X442">
        <f>W442-R442</f>
        <v/>
      </c>
      <c r="Y442">
        <f>IF(W442=0,0,X442/W442)</f>
        <v/>
      </c>
      <c r="Z442">
        <f>C442-B442</f>
        <v/>
      </c>
      <c r="AA442">
        <f>TEXT(B442,"mmmm")</f>
        <v/>
      </c>
      <c r="AB442">
        <f>YEAR(B442)</f>
        <v/>
      </c>
      <c r="AC442">
        <f>IF(OR(P442&lt;0,P442&gt;0.5,C442&lt;B442),"INVALID","CLEAN")</f>
        <v/>
      </c>
    </row>
    <row r="443">
      <c r="A443" s="12" t="inlineStr">
        <is>
          <t>ORD-2024-10442</t>
        </is>
      </c>
      <c r="B443" s="12" t="inlineStr">
        <is>
          <t>03-10-2024</t>
        </is>
      </c>
      <c r="C443" s="12" t="inlineStr">
        <is>
          <t>2024-10-03</t>
        </is>
      </c>
      <c r="D443" s="12" t="inlineStr">
        <is>
          <t>CUST-3975</t>
        </is>
      </c>
      <c r="E443" s="12" t="inlineStr">
        <is>
          <t>Karan Malhotra</t>
        </is>
      </c>
      <c r="F443" s="12" t="inlineStr">
        <is>
          <t>Consumer</t>
        </is>
      </c>
      <c r="G443" s="12" t="inlineStr">
        <is>
          <t>East</t>
        </is>
      </c>
      <c r="H443" s="12" t="inlineStr">
        <is>
          <t>Bihar</t>
        </is>
      </c>
      <c r="I443" s="12" t="inlineStr">
        <is>
          <t>Patna</t>
        </is>
      </c>
      <c r="J443" s="12" t="inlineStr">
        <is>
          <t>Furniture</t>
        </is>
      </c>
      <c r="K443" s="12" t="inlineStr">
        <is>
          <t>Bookcases</t>
        </is>
      </c>
      <c r="L443" s="12" t="inlineStr">
        <is>
          <t>Elite Bookcases 393</t>
        </is>
      </c>
      <c r="M443" s="12" t="inlineStr">
        <is>
          <t>Standard Class</t>
        </is>
      </c>
      <c r="N443" s="12" t="n">
        <v>6</v>
      </c>
      <c r="O443" s="12" t="n">
        <v>4217.49</v>
      </c>
      <c r="P443" s="12" t="n">
        <v>0</v>
      </c>
      <c r="Q443" s="12" t="n">
        <v>25304.94</v>
      </c>
      <c r="R443" s="12" t="n">
        <v>20771.95</v>
      </c>
      <c r="S443" s="12" t="n">
        <v>4532.99</v>
      </c>
      <c r="T443" s="12" t="inlineStr">
        <is>
          <t>Paid</t>
        </is>
      </c>
      <c r="U443" s="12" t="inlineStr">
        <is>
          <t>Cancelled</t>
        </is>
      </c>
      <c r="V443">
        <f>IF(OR(P443="",P443&lt;0,P443&gt;0.5),0,P443)</f>
        <v/>
      </c>
      <c r="W443">
        <f>N443*O443*(1-V443)</f>
        <v/>
      </c>
      <c r="X443">
        <f>W443-R443</f>
        <v/>
      </c>
      <c r="Y443">
        <f>IF(W443=0,0,X443/W443)</f>
        <v/>
      </c>
      <c r="Z443">
        <f>C443-B443</f>
        <v/>
      </c>
      <c r="AA443">
        <f>TEXT(B443,"mmmm")</f>
        <v/>
      </c>
      <c r="AB443">
        <f>YEAR(B443)</f>
        <v/>
      </c>
      <c r="AC443">
        <f>IF(OR(P443&lt;0,P443&gt;0.5,C443&lt;B443),"INVALID","CLEAN")</f>
        <v/>
      </c>
    </row>
    <row r="444">
      <c r="A444" s="12" t="inlineStr">
        <is>
          <t>ORD-2025-10443</t>
        </is>
      </c>
      <c r="B444" s="12" t="inlineStr">
        <is>
          <t>12 Jan 2025</t>
        </is>
      </c>
      <c r="C444" s="12" t="inlineStr">
        <is>
          <t>2025-01-19</t>
        </is>
      </c>
      <c r="D444" s="12" t="inlineStr">
        <is>
          <t>CUST-6588</t>
        </is>
      </c>
      <c r="E444" s="12" t="inlineStr">
        <is>
          <t>Aarav Sharma</t>
        </is>
      </c>
      <c r="F444" s="12" t="inlineStr">
        <is>
          <t>Consumer</t>
        </is>
      </c>
      <c r="G444" s="12" t="inlineStr">
        <is>
          <t>East</t>
        </is>
      </c>
      <c r="H444" s="12" t="inlineStr">
        <is>
          <t>Jharkhand</t>
        </is>
      </c>
      <c r="I444" s="12" t="inlineStr">
        <is>
          <t>Ranchi</t>
        </is>
      </c>
      <c r="J444" s="12" t="inlineStr">
        <is>
          <t>Furniture</t>
        </is>
      </c>
      <c r="K444" s="12" t="inlineStr">
        <is>
          <t>Tables</t>
        </is>
      </c>
      <c r="L444" s="12" t="inlineStr">
        <is>
          <t>Prime Tables 242</t>
        </is>
      </c>
      <c r="M444" s="12" t="inlineStr">
        <is>
          <t>First Class</t>
        </is>
      </c>
      <c r="N444" s="12" t="n">
        <v>1</v>
      </c>
      <c r="O444" s="12" t="n">
        <v>1842.31</v>
      </c>
      <c r="P444" s="12" t="n">
        <v>0</v>
      </c>
      <c r="Q444" s="12" t="n">
        <v>1842.31</v>
      </c>
      <c r="R444" s="12" t="n">
        <v>1019.17</v>
      </c>
      <c r="S444" s="12" t="n">
        <v>823.14</v>
      </c>
      <c r="T444" s="12" t="inlineStr">
        <is>
          <t>Paid</t>
        </is>
      </c>
      <c r="U444" s="12" t="inlineStr">
        <is>
          <t>Completed</t>
        </is>
      </c>
      <c r="V444">
        <f>IF(OR(P444="",P444&lt;0,P444&gt;0.5),0,P444)</f>
        <v/>
      </c>
      <c r="W444">
        <f>N444*O444*(1-V444)</f>
        <v/>
      </c>
      <c r="X444">
        <f>W444-R444</f>
        <v/>
      </c>
      <c r="Y444">
        <f>IF(W444=0,0,X444/W444)</f>
        <v/>
      </c>
      <c r="Z444">
        <f>C444-B444</f>
        <v/>
      </c>
      <c r="AA444">
        <f>TEXT(B444,"mmmm")</f>
        <v/>
      </c>
      <c r="AB444">
        <f>YEAR(B444)</f>
        <v/>
      </c>
      <c r="AC444">
        <f>IF(OR(P444&lt;0,P444&gt;0.5,C444&lt;B444),"INVALID","CLEAN")</f>
        <v/>
      </c>
    </row>
    <row r="445">
      <c r="A445" s="12" t="inlineStr">
        <is>
          <t>ORD-2024-10444</t>
        </is>
      </c>
      <c r="B445" s="12" t="inlineStr">
        <is>
          <t>04-04-2024</t>
        </is>
      </c>
      <c r="C445" s="12" t="inlineStr">
        <is>
          <t>07 Apr 2024</t>
        </is>
      </c>
      <c r="D445" s="12" t="inlineStr">
        <is>
          <t>CUST-2207</t>
        </is>
      </c>
      <c r="E445" s="12" t="inlineStr">
        <is>
          <t>Rohan Mehta</t>
        </is>
      </c>
      <c r="F445" s="12" t="inlineStr">
        <is>
          <t>Home Office</t>
        </is>
      </c>
      <c r="G445" s="12" t="inlineStr">
        <is>
          <t>East</t>
        </is>
      </c>
      <c r="H445" s="12" t="inlineStr">
        <is>
          <t>Odisha</t>
        </is>
      </c>
      <c r="I445" s="12" t="inlineStr">
        <is>
          <t>Bhubaneswar</t>
        </is>
      </c>
      <c r="J445" s="12" t="inlineStr">
        <is>
          <t>Furniture</t>
        </is>
      </c>
      <c r="K445" s="12" t="inlineStr">
        <is>
          <t>Furnishings</t>
        </is>
      </c>
      <c r="L445" s="12" t="inlineStr">
        <is>
          <t>Basic Furnishings 563</t>
        </is>
      </c>
      <c r="M445" s="12" t="inlineStr">
        <is>
          <t>First Class</t>
        </is>
      </c>
      <c r="N445" s="12" t="n">
        <v>1</v>
      </c>
      <c r="O445" s="12" t="n">
        <v>3683.75</v>
      </c>
      <c r="P445" s="12" t="n">
        <v>0.1</v>
      </c>
      <c r="Q445" s="12" t="n">
        <v>3315.38</v>
      </c>
      <c r="R445" s="12" t="n">
        <v>2347.68</v>
      </c>
      <c r="S445" s="12" t="n">
        <v>967.7</v>
      </c>
      <c r="T445" s="12" t="inlineStr">
        <is>
          <t>Paid</t>
        </is>
      </c>
      <c r="U445" s="12" t="inlineStr">
        <is>
          <t>Completed</t>
        </is>
      </c>
      <c r="V445">
        <f>IF(OR(P445="",P445&lt;0,P445&gt;0.5),0,P445)</f>
        <v/>
      </c>
      <c r="W445">
        <f>N445*O445*(1-V445)</f>
        <v/>
      </c>
      <c r="X445">
        <f>W445-R445</f>
        <v/>
      </c>
      <c r="Y445">
        <f>IF(W445=0,0,X445/W445)</f>
        <v/>
      </c>
      <c r="Z445">
        <f>C445-B445</f>
        <v/>
      </c>
      <c r="AA445">
        <f>TEXT(B445,"mmmm")</f>
        <v/>
      </c>
      <c r="AB445">
        <f>YEAR(B445)</f>
        <v/>
      </c>
      <c r="AC445">
        <f>IF(OR(P445&lt;0,P445&gt;0.5,C445&lt;B445),"INVALID","CLEAN")</f>
        <v/>
      </c>
    </row>
    <row r="446">
      <c r="A446" s="12" t="inlineStr">
        <is>
          <t>ORD-2025-10445</t>
        </is>
      </c>
      <c r="B446" s="12" t="inlineStr">
        <is>
          <t>12 Aug 2025</t>
        </is>
      </c>
      <c r="C446" s="12" t="inlineStr">
        <is>
          <t>2025-08-16</t>
        </is>
      </c>
      <c r="D446" s="12" t="inlineStr">
        <is>
          <t>CUST-4475</t>
        </is>
      </c>
      <c r="E446" s="12" t="inlineStr">
        <is>
          <t>Ananya Rao</t>
        </is>
      </c>
      <c r="F446" s="12" t="inlineStr">
        <is>
          <t>Consumer</t>
        </is>
      </c>
      <c r="G446" s="12" t="inlineStr">
        <is>
          <t>East</t>
        </is>
      </c>
      <c r="H446" s="12" t="inlineStr">
        <is>
          <t>Assam</t>
        </is>
      </c>
      <c r="I446" s="12" t="inlineStr">
        <is>
          <t>Guwahati</t>
        </is>
      </c>
      <c r="J446" s="12" t="inlineStr">
        <is>
          <t>Technology</t>
        </is>
      </c>
      <c r="K446" s="12" t="inlineStr">
        <is>
          <t>Accessories</t>
        </is>
      </c>
      <c r="L446" s="12" t="inlineStr">
        <is>
          <t>Prime Accessories 482</t>
        </is>
      </c>
      <c r="M446" s="12" t="inlineStr">
        <is>
          <t>Same Day</t>
        </is>
      </c>
      <c r="N446" s="12" t="n">
        <v>9</v>
      </c>
      <c r="O446" s="12" t="n">
        <v>2379.24</v>
      </c>
      <c r="P446" s="12" t="n">
        <v>0.05</v>
      </c>
      <c r="Q446" s="12" t="n">
        <v>20342.5</v>
      </c>
      <c r="R446" s="12" t="n">
        <v>12407.51</v>
      </c>
      <c r="S446" s="12" t="n">
        <v>7934.99</v>
      </c>
      <c r="T446" s="12" t="inlineStr">
        <is>
          <t>Paid</t>
        </is>
      </c>
      <c r="U446" s="12" t="inlineStr">
        <is>
          <t>Completed</t>
        </is>
      </c>
      <c r="V446">
        <f>IF(OR(P446="",P446&lt;0,P446&gt;0.5),0,P446)</f>
        <v/>
      </c>
      <c r="W446">
        <f>N446*O446*(1-V446)</f>
        <v/>
      </c>
      <c r="X446">
        <f>W446-R446</f>
        <v/>
      </c>
      <c r="Y446">
        <f>IF(W446=0,0,X446/W446)</f>
        <v/>
      </c>
      <c r="Z446">
        <f>C446-B446</f>
        <v/>
      </c>
      <c r="AA446">
        <f>TEXT(B446,"mmmm")</f>
        <v/>
      </c>
      <c r="AB446">
        <f>YEAR(B446)</f>
        <v/>
      </c>
      <c r="AC446">
        <f>IF(OR(P446&lt;0,P446&gt;0.5,C446&lt;B446),"INVALID","CLEAN")</f>
        <v/>
      </c>
    </row>
    <row r="447">
      <c r="A447" s="12" t="inlineStr">
        <is>
          <t>ORD-2024-10446</t>
        </is>
      </c>
      <c r="B447" s="12" t="inlineStr">
        <is>
          <t>05/09/2024</t>
        </is>
      </c>
      <c r="C447" s="12" t="inlineStr">
        <is>
          <t>05-05-2024</t>
        </is>
      </c>
      <c r="D447" s="12" t="inlineStr">
        <is>
          <t>CUST-1351</t>
        </is>
      </c>
      <c r="E447" s="12" t="inlineStr">
        <is>
          <t>Arjun Bose</t>
        </is>
      </c>
      <c r="F447" s="12" t="inlineStr">
        <is>
          <t>Consumer</t>
        </is>
      </c>
      <c r="G447" s="12" t="inlineStr">
        <is>
          <t>East</t>
        </is>
      </c>
      <c r="H447" s="12" t="inlineStr">
        <is>
          <t>Assam</t>
        </is>
      </c>
      <c r="I447" s="12" t="inlineStr">
        <is>
          <t>Guwahati</t>
        </is>
      </c>
      <c r="J447" s="12" t="inlineStr">
        <is>
          <t>Furniture</t>
        </is>
      </c>
      <c r="K447" s="12" t="inlineStr">
        <is>
          <t>Bookcases</t>
        </is>
      </c>
      <c r="L447" s="12" t="inlineStr">
        <is>
          <t>Eco Bookcases 215</t>
        </is>
      </c>
      <c r="M447" s="12" t="inlineStr">
        <is>
          <t>Same Day</t>
        </is>
      </c>
      <c r="N447" s="12" t="n">
        <v>2</v>
      </c>
      <c r="O447" s="12" t="n">
        <v>2111.23</v>
      </c>
      <c r="P447" s="12" t="n">
        <v>0.2</v>
      </c>
      <c r="Q447" s="12" t="n">
        <v>3377.97</v>
      </c>
      <c r="R447" s="12" t="n">
        <v>2496.29</v>
      </c>
      <c r="S447" s="12" t="n">
        <v>881.6799999999999</v>
      </c>
      <c r="T447" s="12" t="inlineStr">
        <is>
          <t>Paid</t>
        </is>
      </c>
      <c r="U447" s="12" t="inlineStr">
        <is>
          <t>Completed</t>
        </is>
      </c>
      <c r="V447">
        <f>IF(OR(P447="",P447&lt;0,P447&gt;0.5),0,P447)</f>
        <v/>
      </c>
      <c r="W447">
        <f>N447*O447*(1-V447)</f>
        <v/>
      </c>
      <c r="X447">
        <f>W447-R447</f>
        <v/>
      </c>
      <c r="Y447">
        <f>IF(W447=0,0,X447/W447)</f>
        <v/>
      </c>
      <c r="Z447">
        <f>C447-B447</f>
        <v/>
      </c>
      <c r="AA447">
        <f>TEXT(B447,"mmmm")</f>
        <v/>
      </c>
      <c r="AB447">
        <f>YEAR(B447)</f>
        <v/>
      </c>
      <c r="AC447">
        <f>IF(OR(P447&lt;0,P447&gt;0.5,C447&lt;B447),"INVALID","CLEAN")</f>
        <v/>
      </c>
    </row>
    <row r="448">
      <c r="A448" s="12" t="inlineStr">
        <is>
          <t>ORD-2025-10447</t>
        </is>
      </c>
      <c r="B448" s="12" t="inlineStr">
        <is>
          <t>18-09-2025</t>
        </is>
      </c>
      <c r="C448" s="12" t="inlineStr">
        <is>
          <t>19-09-2025</t>
        </is>
      </c>
      <c r="D448" s="12" t="inlineStr">
        <is>
          <t>CUST-9295</t>
        </is>
      </c>
      <c r="E448" s="12" t="inlineStr">
        <is>
          <t>Sneha Kapoor</t>
        </is>
      </c>
      <c r="F448" s="12" t="inlineStr">
        <is>
          <t>Home Office</t>
        </is>
      </c>
      <c r="G448" s="12" t="inlineStr">
        <is>
          <t>South</t>
        </is>
      </c>
      <c r="H448" s="12" t="inlineStr">
        <is>
          <t>Andhra Pradesh</t>
        </is>
      </c>
      <c r="I448" s="12" t="inlineStr">
        <is>
          <t>Vijayawada</t>
        </is>
      </c>
      <c r="J448" s="12" t="inlineStr">
        <is>
          <t>Office Supplies</t>
        </is>
      </c>
      <c r="K448" s="12" t="inlineStr">
        <is>
          <t>Storage</t>
        </is>
      </c>
      <c r="L448" s="12" t="inlineStr">
        <is>
          <t>Eco Storage 793</t>
        </is>
      </c>
      <c r="M448" s="12" t="inlineStr">
        <is>
          <t>Same Day</t>
        </is>
      </c>
      <c r="N448" s="12" t="n">
        <v>8</v>
      </c>
      <c r="O448" s="12" t="n">
        <v>4242.51</v>
      </c>
      <c r="P448" s="12" t="n">
        <v>0</v>
      </c>
      <c r="Q448" s="12" t="n">
        <v>33940.08</v>
      </c>
      <c r="R448" s="12" t="n">
        <v>23754.19</v>
      </c>
      <c r="S448" s="12" t="n">
        <v>10185.89</v>
      </c>
      <c r="T448" s="12" t="inlineStr">
        <is>
          <t>Paid</t>
        </is>
      </c>
      <c r="U448" s="12" t="inlineStr">
        <is>
          <t>Completed</t>
        </is>
      </c>
      <c r="V448">
        <f>IF(OR(P448="",P448&lt;0,P448&gt;0.5),0,P448)</f>
        <v/>
      </c>
      <c r="W448">
        <f>N448*O448*(1-V448)</f>
        <v/>
      </c>
      <c r="X448">
        <f>W448-R448</f>
        <v/>
      </c>
      <c r="Y448">
        <f>IF(W448=0,0,X448/W448)</f>
        <v/>
      </c>
      <c r="Z448">
        <f>C448-B448</f>
        <v/>
      </c>
      <c r="AA448">
        <f>TEXT(B448,"mmmm")</f>
        <v/>
      </c>
      <c r="AB448">
        <f>YEAR(B448)</f>
        <v/>
      </c>
      <c r="AC448">
        <f>IF(OR(P448&lt;0,P448&gt;0.5,C448&lt;B448),"INVALID","CLEAN")</f>
        <v/>
      </c>
    </row>
    <row r="449">
      <c r="A449" s="12" t="inlineStr">
        <is>
          <t>ORD-2025-10448</t>
        </is>
      </c>
      <c r="B449" s="12" t="inlineStr">
        <is>
          <t>10-08-2025</t>
        </is>
      </c>
      <c r="C449" s="12" t="inlineStr">
        <is>
          <t>10 Aug 2025</t>
        </is>
      </c>
      <c r="D449" s="12" t="inlineStr">
        <is>
          <t>CUST-3614</t>
        </is>
      </c>
      <c r="E449" s="12" t="inlineStr">
        <is>
          <t>Rohan Mehta</t>
        </is>
      </c>
      <c r="F449" s="12" t="inlineStr">
        <is>
          <t>Home Office</t>
        </is>
      </c>
      <c r="G449" s="12" t="inlineStr">
        <is>
          <t>South</t>
        </is>
      </c>
      <c r="H449" s="12" t="inlineStr">
        <is>
          <t>Telangana</t>
        </is>
      </c>
      <c r="I449" s="12" t="inlineStr">
        <is>
          <t>Hyderabad</t>
        </is>
      </c>
      <c r="J449" s="12" t="inlineStr">
        <is>
          <t>Furniture</t>
        </is>
      </c>
      <c r="K449" s="12" t="inlineStr">
        <is>
          <t>Bookcases</t>
        </is>
      </c>
      <c r="L449" s="12" t="inlineStr">
        <is>
          <t>Basic Bookcases 182</t>
        </is>
      </c>
      <c r="M449" s="12" t="inlineStr">
        <is>
          <t>Standard Class</t>
        </is>
      </c>
      <c r="N449" s="12" t="n">
        <v>6</v>
      </c>
      <c r="O449" s="12" t="n">
        <v>4288.7</v>
      </c>
      <c r="P449" s="12" t="n">
        <v>0.15</v>
      </c>
      <c r="Q449" s="12" t="n">
        <v>21872.37</v>
      </c>
      <c r="R449" s="12" t="n">
        <v>13829.5</v>
      </c>
      <c r="S449" s="12" t="n">
        <v>8042.87</v>
      </c>
      <c r="T449" s="12" t="inlineStr">
        <is>
          <t>Pending</t>
        </is>
      </c>
      <c r="U449" s="12" t="inlineStr">
        <is>
          <t>Returned</t>
        </is>
      </c>
      <c r="V449">
        <f>IF(OR(P449="",P449&lt;0,P449&gt;0.5),0,P449)</f>
        <v/>
      </c>
      <c r="W449">
        <f>N449*O449*(1-V449)</f>
        <v/>
      </c>
      <c r="X449">
        <f>W449-R449</f>
        <v/>
      </c>
      <c r="Y449">
        <f>IF(W449=0,0,X449/W449)</f>
        <v/>
      </c>
      <c r="Z449">
        <f>C449-B449</f>
        <v/>
      </c>
      <c r="AA449">
        <f>TEXT(B449,"mmmm")</f>
        <v/>
      </c>
      <c r="AB449">
        <f>YEAR(B449)</f>
        <v/>
      </c>
      <c r="AC449">
        <f>IF(OR(P449&lt;0,P449&gt;0.5,C449&lt;B449),"INVALID","CLEAN")</f>
        <v/>
      </c>
    </row>
    <row r="450">
      <c r="A450" s="12" t="inlineStr">
        <is>
          <t>ORD-2024-10449</t>
        </is>
      </c>
      <c r="B450" s="12" t="inlineStr">
        <is>
          <t>01/15/2024</t>
        </is>
      </c>
      <c r="C450" s="12" t="inlineStr">
        <is>
          <t>18 Jan 2024</t>
        </is>
      </c>
      <c r="D450" s="12" t="inlineStr">
        <is>
          <t>CUST-1932</t>
        </is>
      </c>
      <c r="E450" s="12" t="inlineStr">
        <is>
          <t>Mira Das</t>
        </is>
      </c>
      <c r="F450" s="12" t="inlineStr">
        <is>
          <t>Small Business</t>
        </is>
      </c>
      <c r="G450" s="12" t="inlineStr">
        <is>
          <t>South</t>
        </is>
      </c>
      <c r="H450" s="12" t="inlineStr">
        <is>
          <t>Andhra Pradesh</t>
        </is>
      </c>
      <c r="I450" s="12" t="inlineStr">
        <is>
          <t>Vijayawada</t>
        </is>
      </c>
      <c r="J450" s="12" t="inlineStr">
        <is>
          <t>Furniture</t>
        </is>
      </c>
      <c r="K450" s="12" t="inlineStr">
        <is>
          <t>Chairs</t>
        </is>
      </c>
      <c r="L450" s="12" t="inlineStr">
        <is>
          <t>Prime Chairs 631</t>
        </is>
      </c>
      <c r="M450" s="12" t="inlineStr">
        <is>
          <t>First Class</t>
        </is>
      </c>
      <c r="N450" s="12" t="n">
        <v>2</v>
      </c>
      <c r="O450" s="12" t="n">
        <v>201.21</v>
      </c>
      <c r="P450" s="12" t="n">
        <v>0.15</v>
      </c>
      <c r="Q450" s="12" t="n">
        <v>342.06</v>
      </c>
      <c r="R450" s="12" t="n">
        <v>244.57</v>
      </c>
      <c r="S450" s="12" t="n">
        <v>97.48999999999999</v>
      </c>
      <c r="T450" s="12" t="inlineStr">
        <is>
          <t>Paid</t>
        </is>
      </c>
      <c r="U450" s="12" t="inlineStr">
        <is>
          <t>Completed</t>
        </is>
      </c>
      <c r="V450">
        <f>IF(OR(P450="",P450&lt;0,P450&gt;0.5),0,P450)</f>
        <v/>
      </c>
      <c r="W450">
        <f>N450*O450*(1-V450)</f>
        <v/>
      </c>
      <c r="X450">
        <f>W450-R450</f>
        <v/>
      </c>
      <c r="Y450">
        <f>IF(W450=0,0,X450/W450)</f>
        <v/>
      </c>
      <c r="Z450">
        <f>C450-B450</f>
        <v/>
      </c>
      <c r="AA450">
        <f>TEXT(B450,"mmmm")</f>
        <v/>
      </c>
      <c r="AB450">
        <f>YEAR(B450)</f>
        <v/>
      </c>
      <c r="AC450">
        <f>IF(OR(P450&lt;0,P450&gt;0.5,C450&lt;B450),"INVALID","CLEAN")</f>
        <v/>
      </c>
    </row>
    <row r="451">
      <c r="A451" s="12" t="inlineStr">
        <is>
          <t>ORD-2024-10450</t>
        </is>
      </c>
      <c r="B451" s="12" t="inlineStr">
        <is>
          <t>06-06-2024</t>
        </is>
      </c>
      <c r="C451" s="12" t="inlineStr">
        <is>
          <t>13 Jun 2024</t>
        </is>
      </c>
      <c r="D451" s="12" t="inlineStr">
        <is>
          <t>CUST-5094</t>
        </is>
      </c>
      <c r="E451" s="12" t="inlineStr">
        <is>
          <t>Aditi Sen</t>
        </is>
      </c>
      <c r="F451" s="12" t="inlineStr">
        <is>
          <t>Corporate</t>
        </is>
      </c>
      <c r="G451" s="12" t="inlineStr">
        <is>
          <t>East</t>
        </is>
      </c>
      <c r="H451" s="12" t="inlineStr">
        <is>
          <t>Assam</t>
        </is>
      </c>
      <c r="I451" s="12" t="inlineStr">
        <is>
          <t>Guwahati</t>
        </is>
      </c>
      <c r="J451" s="12" t="inlineStr">
        <is>
          <t>Technology</t>
        </is>
      </c>
      <c r="K451" s="12" t="inlineStr">
        <is>
          <t>Machines</t>
        </is>
      </c>
      <c r="L451" s="12" t="inlineStr">
        <is>
          <t>Basic Machines 808</t>
        </is>
      </c>
      <c r="M451" s="12" t="inlineStr">
        <is>
          <t>Second Class</t>
        </is>
      </c>
      <c r="N451" s="12" t="n">
        <v>6</v>
      </c>
      <c r="O451" s="12" t="n">
        <v>3270.36</v>
      </c>
      <c r="P451" s="12" t="n">
        <v>0</v>
      </c>
      <c r="Q451" s="12" t="n">
        <v>19622.16</v>
      </c>
      <c r="R451" s="12" t="n">
        <v>14271.27</v>
      </c>
      <c r="S451" s="12" t="n">
        <v>5350.89</v>
      </c>
      <c r="T451" s="12" t="inlineStr">
        <is>
          <t>Paid</t>
        </is>
      </c>
      <c r="U451" s="12" t="inlineStr">
        <is>
          <t>Completed</t>
        </is>
      </c>
      <c r="V451">
        <f>IF(OR(P451="",P451&lt;0,P451&gt;0.5),0,P451)</f>
        <v/>
      </c>
      <c r="W451">
        <f>N451*O451*(1-V451)</f>
        <v/>
      </c>
      <c r="X451">
        <f>W451-R451</f>
        <v/>
      </c>
      <c r="Y451">
        <f>IF(W451=0,0,X451/W451)</f>
        <v/>
      </c>
      <c r="Z451">
        <f>C451-B451</f>
        <v/>
      </c>
      <c r="AA451">
        <f>TEXT(B451,"mmmm")</f>
        <v/>
      </c>
      <c r="AB451">
        <f>YEAR(B451)</f>
        <v/>
      </c>
      <c r="AC451">
        <f>IF(OR(P451&lt;0,P451&gt;0.5,C451&lt;B451),"INVALID","CLEAN")</f>
        <v/>
      </c>
    </row>
    <row r="452">
      <c r="A452" s="12" t="inlineStr">
        <is>
          <t>ORD-2025-10451</t>
        </is>
      </c>
      <c r="B452" s="12" t="inlineStr">
        <is>
          <t>06/12/2025</t>
        </is>
      </c>
      <c r="C452" s="12" t="inlineStr">
        <is>
          <t>2025-06-19</t>
        </is>
      </c>
      <c r="D452" s="12" t="inlineStr">
        <is>
          <t>CUST-8672</t>
        </is>
      </c>
      <c r="E452" s="12" t="inlineStr">
        <is>
          <t>Ananya Rao</t>
        </is>
      </c>
      <c r="F452" s="12" t="inlineStr">
        <is>
          <t>Corporate</t>
        </is>
      </c>
      <c r="G452" s="12" t="inlineStr">
        <is>
          <t>North</t>
        </is>
      </c>
      <c r="H452" s="12" t="inlineStr">
        <is>
          <t>Delhi</t>
        </is>
      </c>
      <c r="I452" s="12" t="inlineStr">
        <is>
          <t>New Delhi</t>
        </is>
      </c>
      <c r="J452" s="12" t="inlineStr">
        <is>
          <t>Furniture</t>
        </is>
      </c>
      <c r="K452" s="12" t="inlineStr">
        <is>
          <t>Chairs</t>
        </is>
      </c>
      <c r="L452" s="12" t="inlineStr">
        <is>
          <t>Pro Chairs 302</t>
        </is>
      </c>
      <c r="M452" s="12" t="inlineStr">
        <is>
          <t>Standard Class</t>
        </is>
      </c>
      <c r="N452" s="12" t="n">
        <v>9</v>
      </c>
      <c r="O452" s="12" t="n">
        <v>2278.57</v>
      </c>
      <c r="P452" s="12" t="n">
        <v>0.25</v>
      </c>
      <c r="Q452" s="12" t="n">
        <v>15380.35</v>
      </c>
      <c r="R452" s="12" t="n">
        <v>9907.370000000001</v>
      </c>
      <c r="S452" s="12" t="n">
        <v>5472.98</v>
      </c>
      <c r="T452" s="12" t="inlineStr">
        <is>
          <t>Paid</t>
        </is>
      </c>
      <c r="U452" s="12" t="inlineStr">
        <is>
          <t>Completed</t>
        </is>
      </c>
      <c r="V452">
        <f>IF(OR(P452="",P452&lt;0,P452&gt;0.5),0,P452)</f>
        <v/>
      </c>
      <c r="W452">
        <f>N452*O452*(1-V452)</f>
        <v/>
      </c>
      <c r="X452">
        <f>W452-R452</f>
        <v/>
      </c>
      <c r="Y452">
        <f>IF(W452=0,0,X452/W452)</f>
        <v/>
      </c>
      <c r="Z452">
        <f>C452-B452</f>
        <v/>
      </c>
      <c r="AA452">
        <f>TEXT(B452,"mmmm")</f>
        <v/>
      </c>
      <c r="AB452">
        <f>YEAR(B452)</f>
        <v/>
      </c>
      <c r="AC452">
        <f>IF(OR(P452&lt;0,P452&gt;0.5,C452&lt;B452),"INVALID","CLEAN")</f>
        <v/>
      </c>
    </row>
    <row r="453">
      <c r="A453" s="12" t="inlineStr">
        <is>
          <t>ORD-2024-10452</t>
        </is>
      </c>
      <c r="B453" s="12" t="inlineStr">
        <is>
          <t>24-03-2024</t>
        </is>
      </c>
      <c r="C453" s="12" t="inlineStr">
        <is>
          <t>26-03-2024</t>
        </is>
      </c>
      <c r="D453" s="12" t="inlineStr">
        <is>
          <t>CUST-3907</t>
        </is>
      </c>
      <c r="E453" s="12" t="inlineStr">
        <is>
          <t>Rohan Mehta</t>
        </is>
      </c>
      <c r="F453" s="12" t="inlineStr">
        <is>
          <t>Small Business</t>
        </is>
      </c>
      <c r="G453" s="12" t="inlineStr">
        <is>
          <t>North</t>
        </is>
      </c>
      <c r="H453" s="12" t="inlineStr">
        <is>
          <t>Haryana</t>
        </is>
      </c>
      <c r="I453" s="12" t="inlineStr">
        <is>
          <t>Gurugram</t>
        </is>
      </c>
      <c r="J453" s="12" t="inlineStr">
        <is>
          <t>Office Supplies</t>
        </is>
      </c>
      <c r="K453" s="12" t="inlineStr">
        <is>
          <t>Paper</t>
        </is>
      </c>
      <c r="L453" s="12" t="inlineStr">
        <is>
          <t>Classic Paper 272</t>
        </is>
      </c>
      <c r="M453" s="12" t="inlineStr">
        <is>
          <t>Second Class</t>
        </is>
      </c>
      <c r="N453" s="12" t="n">
        <v>8</v>
      </c>
      <c r="O453" s="12" t="n">
        <v>1917.64</v>
      </c>
      <c r="P453" s="12" t="n">
        <v>0.15</v>
      </c>
      <c r="Q453" s="12" t="n">
        <v>13039.95</v>
      </c>
      <c r="R453" s="12" t="n">
        <v>11127.82</v>
      </c>
      <c r="S453" s="12" t="n">
        <v>1912.13</v>
      </c>
      <c r="T453" s="12" t="inlineStr">
        <is>
          <t>Paid</t>
        </is>
      </c>
      <c r="U453" s="12" t="inlineStr">
        <is>
          <t>Cancelled</t>
        </is>
      </c>
      <c r="V453">
        <f>IF(OR(P453="",P453&lt;0,P453&gt;0.5),0,P453)</f>
        <v/>
      </c>
      <c r="W453">
        <f>N453*O453*(1-V453)</f>
        <v/>
      </c>
      <c r="X453">
        <f>W453-R453</f>
        <v/>
      </c>
      <c r="Y453">
        <f>IF(W453=0,0,X453/W453)</f>
        <v/>
      </c>
      <c r="Z453">
        <f>C453-B453</f>
        <v/>
      </c>
      <c r="AA453">
        <f>TEXT(B453,"mmmm")</f>
        <v/>
      </c>
      <c r="AB453">
        <f>YEAR(B453)</f>
        <v/>
      </c>
      <c r="AC453">
        <f>IF(OR(P453&lt;0,P453&gt;0.5,C453&lt;B453),"INVALID","CLEAN")</f>
        <v/>
      </c>
    </row>
    <row r="454">
      <c r="A454" s="12" t="inlineStr">
        <is>
          <t>ORD-2024-10453</t>
        </is>
      </c>
      <c r="B454" s="12" t="inlineStr">
        <is>
          <t>10-05-2024</t>
        </is>
      </c>
      <c r="C454" s="12" t="inlineStr">
        <is>
          <t>16-05-2024</t>
        </is>
      </c>
      <c r="D454" s="12" t="inlineStr">
        <is>
          <t>CUST-8796</t>
        </is>
      </c>
      <c r="E454" s="12" t="inlineStr">
        <is>
          <t>Diya Patel</t>
        </is>
      </c>
      <c r="F454" s="12" t="inlineStr">
        <is>
          <t>Home Office</t>
        </is>
      </c>
      <c r="G454" s="12" t="inlineStr">
        <is>
          <t>East</t>
        </is>
      </c>
      <c r="H454" s="12" t="inlineStr">
        <is>
          <t>Jharkhand</t>
        </is>
      </c>
      <c r="I454" s="12" t="inlineStr">
        <is>
          <t>Ranchi</t>
        </is>
      </c>
      <c r="J454" s="12" t="inlineStr">
        <is>
          <t>Technology</t>
        </is>
      </c>
      <c r="K454" s="12" t="inlineStr">
        <is>
          <t>Accessories</t>
        </is>
      </c>
      <c r="L454" s="12" t="inlineStr">
        <is>
          <t>Smart Accessories 149</t>
        </is>
      </c>
      <c r="M454" s="12" t="inlineStr">
        <is>
          <t>Second Class</t>
        </is>
      </c>
      <c r="N454" s="12" t="n">
        <v>6</v>
      </c>
      <c r="O454" s="12" t="n">
        <v>2013.33</v>
      </c>
      <c r="P454" s="12" t="n">
        <v>0.2</v>
      </c>
      <c r="Q454" s="12" t="n">
        <v>9663.98</v>
      </c>
      <c r="R454" s="12" t="n">
        <v>5628.93</v>
      </c>
      <c r="S454" s="12" t="n">
        <v>4035.05</v>
      </c>
      <c r="T454" s="12" t="inlineStr">
        <is>
          <t>Paid</t>
        </is>
      </c>
      <c r="U454" s="12" t="inlineStr">
        <is>
          <t>Completed</t>
        </is>
      </c>
      <c r="V454">
        <f>IF(OR(P454="",P454&lt;0,P454&gt;0.5),0,P454)</f>
        <v/>
      </c>
      <c r="W454">
        <f>N454*O454*(1-V454)</f>
        <v/>
      </c>
      <c r="X454">
        <f>W454-R454</f>
        <v/>
      </c>
      <c r="Y454">
        <f>IF(W454=0,0,X454/W454)</f>
        <v/>
      </c>
      <c r="Z454">
        <f>C454-B454</f>
        <v/>
      </c>
      <c r="AA454">
        <f>TEXT(B454,"mmmm")</f>
        <v/>
      </c>
      <c r="AB454">
        <f>YEAR(B454)</f>
        <v/>
      </c>
      <c r="AC454">
        <f>IF(OR(P454&lt;0,P454&gt;0.5,C454&lt;B454),"INVALID","CLEAN")</f>
        <v/>
      </c>
    </row>
    <row r="455">
      <c r="A455" s="12" t="inlineStr">
        <is>
          <t>ORD-2025-10454</t>
        </is>
      </c>
      <c r="B455" s="12" t="inlineStr">
        <is>
          <t>05/03/2025</t>
        </is>
      </c>
      <c r="C455" s="12" t="inlineStr">
        <is>
          <t>2025-05-11</t>
        </is>
      </c>
      <c r="D455" s="12" t="inlineStr">
        <is>
          <t>CUST-2317</t>
        </is>
      </c>
      <c r="E455" s="12" t="inlineStr">
        <is>
          <t>Rohan Mehta</t>
        </is>
      </c>
      <c r="F455" s="12" t="inlineStr">
        <is>
          <t xml:space="preserve">  Small Business </t>
        </is>
      </c>
      <c r="G455" s="12" t="inlineStr">
        <is>
          <t>West</t>
        </is>
      </c>
      <c r="H455" s="12" t="inlineStr">
        <is>
          <t>Madhya Pradesh</t>
        </is>
      </c>
      <c r="I455" s="12" t="inlineStr">
        <is>
          <t>Indore</t>
        </is>
      </c>
      <c r="J455" s="12" t="inlineStr">
        <is>
          <t>Office Supplies</t>
        </is>
      </c>
      <c r="K455" s="12" t="inlineStr">
        <is>
          <t>Labels</t>
        </is>
      </c>
      <c r="L455" s="12" t="inlineStr">
        <is>
          <t>Elite Labels 322</t>
        </is>
      </c>
      <c r="M455" s="12" t="inlineStr">
        <is>
          <t>Same Day</t>
        </is>
      </c>
      <c r="N455" s="12" t="n">
        <v>5</v>
      </c>
      <c r="O455" s="12" t="n">
        <v>1483.52</v>
      </c>
      <c r="P455" s="12" t="n">
        <v>0</v>
      </c>
      <c r="Q455" s="12" t="n">
        <v>7417.6</v>
      </c>
      <c r="R455" s="12" t="n">
        <v>4955.86</v>
      </c>
      <c r="S455" s="12" t="n">
        <v>2461.74</v>
      </c>
      <c r="T455" s="12" t="inlineStr">
        <is>
          <t>Paid</t>
        </is>
      </c>
      <c r="U455" s="12" t="inlineStr">
        <is>
          <t>Completed</t>
        </is>
      </c>
      <c r="V455">
        <f>IF(OR(P455="",P455&lt;0,P455&gt;0.5),0,P455)</f>
        <v/>
      </c>
      <c r="W455">
        <f>N455*O455*(1-V455)</f>
        <v/>
      </c>
      <c r="X455">
        <f>W455-R455</f>
        <v/>
      </c>
      <c r="Y455">
        <f>IF(W455=0,0,X455/W455)</f>
        <v/>
      </c>
      <c r="Z455">
        <f>C455-B455</f>
        <v/>
      </c>
      <c r="AA455">
        <f>TEXT(B455,"mmmm")</f>
        <v/>
      </c>
      <c r="AB455">
        <f>YEAR(B455)</f>
        <v/>
      </c>
      <c r="AC455">
        <f>IF(OR(P455&lt;0,P455&gt;0.5,C455&lt;B455),"INVALID","CLEAN")</f>
        <v/>
      </c>
    </row>
    <row r="456">
      <c r="A456" s="12" t="inlineStr">
        <is>
          <t>ORD-2025-10455</t>
        </is>
      </c>
      <c r="B456" s="12" t="inlineStr">
        <is>
          <t>2025-03-23</t>
        </is>
      </c>
      <c r="C456" s="12" t="inlineStr">
        <is>
          <t>28-03-2025</t>
        </is>
      </c>
      <c r="D456" s="12" t="inlineStr">
        <is>
          <t>CUST-8643</t>
        </is>
      </c>
      <c r="E456" s="12" t="inlineStr">
        <is>
          <t>Vikram Iyer</t>
        </is>
      </c>
      <c r="F456" s="12" t="inlineStr">
        <is>
          <t>Small Business</t>
        </is>
      </c>
      <c r="G456" s="12" t="inlineStr">
        <is>
          <t>North</t>
        </is>
      </c>
      <c r="H456" s="12" t="inlineStr">
        <is>
          <t>Rajasthan</t>
        </is>
      </c>
      <c r="I456" s="12" t="inlineStr">
        <is>
          <t>Jaipur</t>
        </is>
      </c>
      <c r="J456" s="12" t="inlineStr">
        <is>
          <t>Furniture</t>
        </is>
      </c>
      <c r="K456" s="12" t="inlineStr">
        <is>
          <t>Furnishings</t>
        </is>
      </c>
      <c r="L456" s="12" t="inlineStr">
        <is>
          <t>Max Furnishings 821</t>
        </is>
      </c>
      <c r="M456" s="12" t="inlineStr">
        <is>
          <t>Standard Class</t>
        </is>
      </c>
      <c r="N456" s="12" t="n">
        <v>9</v>
      </c>
      <c r="O456" s="12" t="n">
        <v>3298</v>
      </c>
      <c r="P456" s="12" t="n">
        <v>0.15</v>
      </c>
      <c r="Q456" s="12" t="n">
        <v>25229.7</v>
      </c>
      <c r="R456" s="12" t="n">
        <v>20170.43</v>
      </c>
      <c r="S456" s="12" t="n">
        <v>5059.27</v>
      </c>
      <c r="T456" s="12" t="inlineStr">
        <is>
          <t>Paid</t>
        </is>
      </c>
      <c r="U456" s="12" t="inlineStr">
        <is>
          <t>Completed</t>
        </is>
      </c>
      <c r="V456">
        <f>IF(OR(P456="",P456&lt;0,P456&gt;0.5),0,P456)</f>
        <v/>
      </c>
      <c r="W456">
        <f>N456*O456*(1-V456)</f>
        <v/>
      </c>
      <c r="X456">
        <f>W456-R456</f>
        <v/>
      </c>
      <c r="Y456">
        <f>IF(W456=0,0,X456/W456)</f>
        <v/>
      </c>
      <c r="Z456">
        <f>C456-B456</f>
        <v/>
      </c>
      <c r="AA456">
        <f>TEXT(B456,"mmmm")</f>
        <v/>
      </c>
      <c r="AB456">
        <f>YEAR(B456)</f>
        <v/>
      </c>
      <c r="AC456">
        <f>IF(OR(P456&lt;0,P456&gt;0.5,C456&lt;B456),"INVALID","CLEAN")</f>
        <v/>
      </c>
    </row>
    <row r="457">
      <c r="A457" s="12" t="inlineStr">
        <is>
          <t>ORD-2024-10456</t>
        </is>
      </c>
      <c r="B457" s="12" t="inlineStr">
        <is>
          <t>18 Jul 2024</t>
        </is>
      </c>
      <c r="C457" s="12" t="inlineStr">
        <is>
          <t>22-07-2024</t>
        </is>
      </c>
      <c r="D457" s="12" t="inlineStr">
        <is>
          <t>CUST-1800</t>
        </is>
      </c>
      <c r="E457" s="12" t="inlineStr">
        <is>
          <t>Neha Gupta</t>
        </is>
      </c>
      <c r="F457" s="12" t="inlineStr">
        <is>
          <t>Small Business</t>
        </is>
      </c>
      <c r="G457" s="12" t="inlineStr">
        <is>
          <t>South</t>
        </is>
      </c>
      <c r="H457" s="12" t="inlineStr">
        <is>
          <t>Telangana</t>
        </is>
      </c>
      <c r="I457" s="12" t="inlineStr">
        <is>
          <t>Hyderabad</t>
        </is>
      </c>
      <c r="J457" s="12" t="inlineStr">
        <is>
          <t>Office Supplies</t>
        </is>
      </c>
      <c r="K457" s="12" t="inlineStr">
        <is>
          <t>Art</t>
        </is>
      </c>
      <c r="L457" s="12" t="inlineStr">
        <is>
          <t>Basic Art 556</t>
        </is>
      </c>
      <c r="M457" s="12" t="inlineStr">
        <is>
          <t>Standard Class</t>
        </is>
      </c>
      <c r="N457" s="12" t="n">
        <v>4</v>
      </c>
      <c r="O457" s="12" t="n">
        <v>808.77</v>
      </c>
      <c r="P457" s="12" t="n">
        <v>0</v>
      </c>
      <c r="Q457" s="12" t="n">
        <v>3235.08</v>
      </c>
      <c r="R457" s="12" t="n">
        <v>1848.6</v>
      </c>
      <c r="S457" s="12" t="n">
        <v>1386.48</v>
      </c>
      <c r="T457" s="12" t="inlineStr">
        <is>
          <t>Paid</t>
        </is>
      </c>
      <c r="U457" s="12" t="inlineStr">
        <is>
          <t>Completed</t>
        </is>
      </c>
      <c r="V457">
        <f>IF(OR(P457="",P457&lt;0,P457&gt;0.5),0,P457)</f>
        <v/>
      </c>
      <c r="W457">
        <f>N457*O457*(1-V457)</f>
        <v/>
      </c>
      <c r="X457">
        <f>W457-R457</f>
        <v/>
      </c>
      <c r="Y457">
        <f>IF(W457=0,0,X457/W457)</f>
        <v/>
      </c>
      <c r="Z457">
        <f>C457-B457</f>
        <v/>
      </c>
      <c r="AA457">
        <f>TEXT(B457,"mmmm")</f>
        <v/>
      </c>
      <c r="AB457">
        <f>YEAR(B457)</f>
        <v/>
      </c>
      <c r="AC457">
        <f>IF(OR(P457&lt;0,P457&gt;0.5,C457&lt;B457),"INVALID","CLEAN")</f>
        <v/>
      </c>
    </row>
    <row r="458">
      <c r="A458" s="12" t="inlineStr">
        <is>
          <t>ORD-2024-10457</t>
        </is>
      </c>
      <c r="B458" s="12" t="inlineStr">
        <is>
          <t>2024-02-20</t>
        </is>
      </c>
      <c r="C458" s="12" t="inlineStr">
        <is>
          <t>2024-02-20</t>
        </is>
      </c>
      <c r="D458" s="12" t="inlineStr">
        <is>
          <t>CUST-7688</t>
        </is>
      </c>
      <c r="E458" s="12" t="inlineStr">
        <is>
          <t>Neha Gupta</t>
        </is>
      </c>
      <c r="F458" s="12" t="inlineStr">
        <is>
          <t>Corporate</t>
        </is>
      </c>
      <c r="G458" s="12" t="inlineStr">
        <is>
          <t>North</t>
        </is>
      </c>
      <c r="H458" s="12" t="inlineStr">
        <is>
          <t>Uttar Pradesh</t>
        </is>
      </c>
      <c r="I458" s="12" t="inlineStr">
        <is>
          <t>Noida</t>
        </is>
      </c>
      <c r="J458" s="12" t="inlineStr">
        <is>
          <t>Technology</t>
        </is>
      </c>
      <c r="K458" s="12" t="inlineStr">
        <is>
          <t>Accessories</t>
        </is>
      </c>
      <c r="L458" s="12" t="inlineStr">
        <is>
          <t>Smart Accessories 265</t>
        </is>
      </c>
      <c r="M458" s="12" t="inlineStr">
        <is>
          <t>Same Day</t>
        </is>
      </c>
      <c r="N458" s="12" t="n">
        <v>5</v>
      </c>
      <c r="O458" s="12" t="n">
        <v>2604.91</v>
      </c>
      <c r="P458" s="12" t="n">
        <v>0.15</v>
      </c>
      <c r="Q458" s="12" t="n">
        <v>11070.87</v>
      </c>
      <c r="R458" s="12" t="n">
        <v>6623.61</v>
      </c>
      <c r="S458" s="12" t="n">
        <v>4447.26</v>
      </c>
      <c r="T458" s="12" t="inlineStr">
        <is>
          <t>Paid</t>
        </is>
      </c>
      <c r="U458" s="12" t="inlineStr">
        <is>
          <t>Returned</t>
        </is>
      </c>
      <c r="V458">
        <f>IF(OR(P458="",P458&lt;0,P458&gt;0.5),0,P458)</f>
        <v/>
      </c>
      <c r="W458">
        <f>N458*O458*(1-V458)</f>
        <v/>
      </c>
      <c r="X458">
        <f>W458-R458</f>
        <v/>
      </c>
      <c r="Y458">
        <f>IF(W458=0,0,X458/W458)</f>
        <v/>
      </c>
      <c r="Z458">
        <f>C458-B458</f>
        <v/>
      </c>
      <c r="AA458">
        <f>TEXT(B458,"mmmm")</f>
        <v/>
      </c>
      <c r="AB458">
        <f>YEAR(B458)</f>
        <v/>
      </c>
      <c r="AC458">
        <f>IF(OR(P458&lt;0,P458&gt;0.5,C458&lt;B458),"INVALID","CLEAN")</f>
        <v/>
      </c>
    </row>
    <row r="459">
      <c r="A459" s="12" t="inlineStr">
        <is>
          <t>ORD-2024-10458</t>
        </is>
      </c>
      <c r="B459" s="12" t="inlineStr">
        <is>
          <t>05/04/2024</t>
        </is>
      </c>
      <c r="C459" s="12" t="inlineStr">
        <is>
          <t>2024-05-04</t>
        </is>
      </c>
      <c r="D459" s="12" t="inlineStr">
        <is>
          <t>CUST-4957</t>
        </is>
      </c>
      <c r="E459" s="12" t="inlineStr">
        <is>
          <t>Mira Das</t>
        </is>
      </c>
      <c r="F459" s="12" t="inlineStr">
        <is>
          <t>Small Business</t>
        </is>
      </c>
      <c r="G459" s="12" t="inlineStr">
        <is>
          <t>West</t>
        </is>
      </c>
      <c r="H459" s="12" t="inlineStr">
        <is>
          <t>Goa</t>
        </is>
      </c>
      <c r="I459" s="12" t="inlineStr">
        <is>
          <t>Panaji</t>
        </is>
      </c>
      <c r="J459" s="12" t="inlineStr">
        <is>
          <t>Furniture</t>
        </is>
      </c>
      <c r="K459" s="12" t="inlineStr">
        <is>
          <t>Tables</t>
        </is>
      </c>
      <c r="L459" s="12" t="inlineStr">
        <is>
          <t>Elite Tables 418</t>
        </is>
      </c>
      <c r="M459" s="12" t="inlineStr">
        <is>
          <t>Standard Class</t>
        </is>
      </c>
      <c r="N459" s="12" t="n">
        <v>7</v>
      </c>
      <c r="O459" s="12" t="n">
        <v>2851.51</v>
      </c>
      <c r="P459" s="12" t="n">
        <v>0</v>
      </c>
      <c r="Q459" s="12" t="n">
        <v>19960.57</v>
      </c>
      <c r="R459" s="12" t="n">
        <v>16603.6</v>
      </c>
      <c r="S459" s="12" t="n">
        <v>3356.97</v>
      </c>
      <c r="T459" s="12" t="inlineStr">
        <is>
          <t>Paid</t>
        </is>
      </c>
      <c r="U459" s="12" t="inlineStr">
        <is>
          <t>Completed</t>
        </is>
      </c>
      <c r="V459">
        <f>IF(OR(P459="",P459&lt;0,P459&gt;0.5),0,P459)</f>
        <v/>
      </c>
      <c r="W459">
        <f>N459*O459*(1-V459)</f>
        <v/>
      </c>
      <c r="X459">
        <f>W459-R459</f>
        <v/>
      </c>
      <c r="Y459">
        <f>IF(W459=0,0,X459/W459)</f>
        <v/>
      </c>
      <c r="Z459">
        <f>C459-B459</f>
        <v/>
      </c>
      <c r="AA459">
        <f>TEXT(B459,"mmmm")</f>
        <v/>
      </c>
      <c r="AB459">
        <f>YEAR(B459)</f>
        <v/>
      </c>
      <c r="AC459">
        <f>IF(OR(P459&lt;0,P459&gt;0.5,C459&lt;B459),"INVALID","CLEAN")</f>
        <v/>
      </c>
    </row>
    <row r="460">
      <c r="A460" s="12" t="inlineStr">
        <is>
          <t>ORD-2024-10459</t>
        </is>
      </c>
      <c r="B460" s="12" t="inlineStr">
        <is>
          <t>2024-02-10</t>
        </is>
      </c>
      <c r="C460" s="12" t="inlineStr">
        <is>
          <t>02/11/2024</t>
        </is>
      </c>
      <c r="D460" s="12" t="inlineStr">
        <is>
          <t>CUST-1263</t>
        </is>
      </c>
      <c r="E460" s="12" t="inlineStr">
        <is>
          <t>Karan Malhotra</t>
        </is>
      </c>
      <c r="F460" s="12" t="inlineStr">
        <is>
          <t>Corporate</t>
        </is>
      </c>
      <c r="G460" s="12" t="inlineStr">
        <is>
          <t>North</t>
        </is>
      </c>
      <c r="H460" s="12" t="inlineStr">
        <is>
          <t>Rajasthan</t>
        </is>
      </c>
      <c r="I460" s="12" t="inlineStr">
        <is>
          <t>Jaipur</t>
        </is>
      </c>
      <c r="J460" s="12" t="inlineStr">
        <is>
          <t>Technology</t>
        </is>
      </c>
      <c r="K460" s="12" t="inlineStr">
        <is>
          <t>Phones</t>
        </is>
      </c>
      <c r="L460" s="12" t="inlineStr">
        <is>
          <t>Pro Phones 907</t>
        </is>
      </c>
      <c r="M460" s="12" t="inlineStr">
        <is>
          <t>Second Class</t>
        </is>
      </c>
      <c r="N460" s="12" t="n">
        <v>3</v>
      </c>
      <c r="O460" s="12" t="n">
        <v>3183.72</v>
      </c>
      <c r="P460" s="12" t="n">
        <v>0.1</v>
      </c>
      <c r="Q460" s="12" t="n">
        <v>8596.040000000001</v>
      </c>
      <c r="R460" s="12" t="n">
        <v>5378.16</v>
      </c>
      <c r="S460" s="12" t="n">
        <v>3217.88</v>
      </c>
      <c r="T460" s="12" t="inlineStr">
        <is>
          <t>Paid</t>
        </is>
      </c>
      <c r="U460" s="12" t="inlineStr">
        <is>
          <t>Completed</t>
        </is>
      </c>
      <c r="V460">
        <f>IF(OR(P460="",P460&lt;0,P460&gt;0.5),0,P460)</f>
        <v/>
      </c>
      <c r="W460">
        <f>N460*O460*(1-V460)</f>
        <v/>
      </c>
      <c r="X460">
        <f>W460-R460</f>
        <v/>
      </c>
      <c r="Y460">
        <f>IF(W460=0,0,X460/W460)</f>
        <v/>
      </c>
      <c r="Z460">
        <f>C460-B460</f>
        <v/>
      </c>
      <c r="AA460">
        <f>TEXT(B460,"mmmm")</f>
        <v/>
      </c>
      <c r="AB460">
        <f>YEAR(B460)</f>
        <v/>
      </c>
      <c r="AC460">
        <f>IF(OR(P460&lt;0,P460&gt;0.5,C460&lt;B460),"INVALID","CLEAN")</f>
        <v/>
      </c>
    </row>
    <row r="461">
      <c r="A461" s="12" t="inlineStr">
        <is>
          <t>ORD-2024-10460</t>
        </is>
      </c>
      <c r="B461" s="12" t="inlineStr">
        <is>
          <t>03/28/2024</t>
        </is>
      </c>
      <c r="C461" s="12" t="inlineStr">
        <is>
          <t>04-04-2024</t>
        </is>
      </c>
      <c r="D461" s="12" t="inlineStr">
        <is>
          <t>CUST-4745</t>
        </is>
      </c>
      <c r="E461" s="12" t="inlineStr">
        <is>
          <t>Ananya Rao</t>
        </is>
      </c>
      <c r="F461" s="12" t="inlineStr">
        <is>
          <t>Home Office</t>
        </is>
      </c>
      <c r="G461" s="12" t="inlineStr">
        <is>
          <t>West</t>
        </is>
      </c>
      <c r="H461" s="12" t="inlineStr">
        <is>
          <t>Goa</t>
        </is>
      </c>
      <c r="I461" s="12" t="inlineStr">
        <is>
          <t>Panaji</t>
        </is>
      </c>
      <c r="J461" s="12" t="inlineStr">
        <is>
          <t>Office Supplies</t>
        </is>
      </c>
      <c r="K461" s="12" t="inlineStr">
        <is>
          <t>Paper</t>
        </is>
      </c>
      <c r="L461" s="12" t="inlineStr">
        <is>
          <t>Basic Paper 233</t>
        </is>
      </c>
      <c r="M461" s="12" t="inlineStr">
        <is>
          <t>First Class</t>
        </is>
      </c>
      <c r="N461" s="12" t="n">
        <v>3</v>
      </c>
      <c r="O461" s="12" t="n">
        <v>1150.92</v>
      </c>
      <c r="P461" s="12" t="n">
        <v>0</v>
      </c>
      <c r="Q461" s="12" t="n">
        <v>3452.76</v>
      </c>
      <c r="R461" s="12" t="n">
        <v>2077.96</v>
      </c>
      <c r="S461" s="12" t="n">
        <v>1374.8</v>
      </c>
      <c r="T461" s="12" t="inlineStr">
        <is>
          <t>Paid</t>
        </is>
      </c>
      <c r="U461" s="12" t="inlineStr">
        <is>
          <t>Completed</t>
        </is>
      </c>
      <c r="V461">
        <f>IF(OR(P461="",P461&lt;0,P461&gt;0.5),0,P461)</f>
        <v/>
      </c>
      <c r="W461">
        <f>N461*O461*(1-V461)</f>
        <v/>
      </c>
      <c r="X461">
        <f>W461-R461</f>
        <v/>
      </c>
      <c r="Y461">
        <f>IF(W461=0,0,X461/W461)</f>
        <v/>
      </c>
      <c r="Z461">
        <f>C461-B461</f>
        <v/>
      </c>
      <c r="AA461">
        <f>TEXT(B461,"mmmm")</f>
        <v/>
      </c>
      <c r="AB461">
        <f>YEAR(B461)</f>
        <v/>
      </c>
      <c r="AC461">
        <f>IF(OR(P461&lt;0,P461&gt;0.5,C461&lt;B461),"INVALID","CLEAN")</f>
        <v/>
      </c>
    </row>
    <row r="462">
      <c r="A462" s="12" t="inlineStr">
        <is>
          <t>ORD-2025-10461</t>
        </is>
      </c>
      <c r="B462" s="12" t="inlineStr">
        <is>
          <t>30 Sep 2025</t>
        </is>
      </c>
      <c r="C462" s="12" t="inlineStr">
        <is>
          <t>06 Oct 2025</t>
        </is>
      </c>
      <c r="D462" s="12" t="inlineStr">
        <is>
          <t>CUST-5551</t>
        </is>
      </c>
      <c r="E462" s="12" t="inlineStr">
        <is>
          <t>Aarav Sharma</t>
        </is>
      </c>
      <c r="F462" s="12" t="inlineStr">
        <is>
          <t>Corporate</t>
        </is>
      </c>
      <c r="G462" s="12" t="n"/>
      <c r="H462" s="12" t="inlineStr">
        <is>
          <t>Rajasthan</t>
        </is>
      </c>
      <c r="I462" s="12" t="inlineStr">
        <is>
          <t>Jaipur</t>
        </is>
      </c>
      <c r="J462" s="12" t="inlineStr">
        <is>
          <t>Technology</t>
        </is>
      </c>
      <c r="K462" s="12" t="inlineStr">
        <is>
          <t>Copiers</t>
        </is>
      </c>
      <c r="L462" s="12" t="inlineStr">
        <is>
          <t>Eco Copiers 603</t>
        </is>
      </c>
      <c r="M462" s="12" t="inlineStr">
        <is>
          <t>Second Class</t>
        </is>
      </c>
      <c r="N462" s="12" t="n">
        <v>9</v>
      </c>
      <c r="O462" s="12" t="n">
        <v>1359.88</v>
      </c>
      <c r="P462" s="12" t="n">
        <v>0.05</v>
      </c>
      <c r="Q462" s="12" t="n">
        <v>11626.97</v>
      </c>
      <c r="R462" s="12" t="n">
        <v>7394.07</v>
      </c>
      <c r="S462" s="12" t="n">
        <v>4232.9</v>
      </c>
      <c r="T462" s="12" t="inlineStr">
        <is>
          <t>Paid</t>
        </is>
      </c>
      <c r="U462" s="12" t="inlineStr">
        <is>
          <t>Completed</t>
        </is>
      </c>
      <c r="V462">
        <f>IF(OR(P462="",P462&lt;0,P462&gt;0.5),0,P462)</f>
        <v/>
      </c>
      <c r="W462">
        <f>N462*O462*(1-V462)</f>
        <v/>
      </c>
      <c r="X462">
        <f>W462-R462</f>
        <v/>
      </c>
      <c r="Y462">
        <f>IF(W462=0,0,X462/W462)</f>
        <v/>
      </c>
      <c r="Z462">
        <f>C462-B462</f>
        <v/>
      </c>
      <c r="AA462">
        <f>TEXT(B462,"mmmm")</f>
        <v/>
      </c>
      <c r="AB462">
        <f>YEAR(B462)</f>
        <v/>
      </c>
      <c r="AC462">
        <f>IF(OR(P462&lt;0,P462&gt;0.5,C462&lt;B462),"INVALID","CLEAN")</f>
        <v/>
      </c>
    </row>
    <row r="463">
      <c r="A463" s="12" t="inlineStr">
        <is>
          <t>ORD-2025-10462</t>
        </is>
      </c>
      <c r="B463" s="12" t="inlineStr">
        <is>
          <t>05/25/2025</t>
        </is>
      </c>
      <c r="C463" s="12" t="inlineStr">
        <is>
          <t>05/26/2025</t>
        </is>
      </c>
      <c r="D463" s="12" t="inlineStr">
        <is>
          <t>CUST-3659</t>
        </is>
      </c>
      <c r="E463" s="12" t="inlineStr">
        <is>
          <t>Neha Gupta</t>
        </is>
      </c>
      <c r="F463" s="12" t="inlineStr">
        <is>
          <t>Corporate</t>
        </is>
      </c>
      <c r="G463" s="12" t="inlineStr">
        <is>
          <t>South</t>
        </is>
      </c>
      <c r="H463" s="12" t="inlineStr">
        <is>
          <t>Andhra Pradesh</t>
        </is>
      </c>
      <c r="I463" s="12" t="inlineStr">
        <is>
          <t>Vijayawada</t>
        </is>
      </c>
      <c r="J463" s="12" t="inlineStr">
        <is>
          <t>Office Supplies</t>
        </is>
      </c>
      <c r="K463" s="12" t="inlineStr">
        <is>
          <t>Paper</t>
        </is>
      </c>
      <c r="L463" s="12" t="inlineStr">
        <is>
          <t>Max Paper 700</t>
        </is>
      </c>
      <c r="M463" s="12" t="inlineStr">
        <is>
          <t>Standard Class</t>
        </is>
      </c>
      <c r="N463" s="12" t="n">
        <v>3</v>
      </c>
      <c r="O463" s="12" t="n">
        <v>3378.15</v>
      </c>
      <c r="P463" s="12" t="n">
        <v>0.15</v>
      </c>
      <c r="Q463" s="12" t="n">
        <v>8614.280000000001</v>
      </c>
      <c r="R463" s="12" t="n">
        <v>7052.08</v>
      </c>
      <c r="S463" s="12" t="n">
        <v>1562.2</v>
      </c>
      <c r="T463" s="12" t="inlineStr">
        <is>
          <t>Paid</t>
        </is>
      </c>
      <c r="U463" s="12" t="inlineStr">
        <is>
          <t>Completed</t>
        </is>
      </c>
      <c r="V463">
        <f>IF(OR(P463="",P463&lt;0,P463&gt;0.5),0,P463)</f>
        <v/>
      </c>
      <c r="W463">
        <f>N463*O463*(1-V463)</f>
        <v/>
      </c>
      <c r="X463">
        <f>W463-R463</f>
        <v/>
      </c>
      <c r="Y463">
        <f>IF(W463=0,0,X463/W463)</f>
        <v/>
      </c>
      <c r="Z463">
        <f>C463-B463</f>
        <v/>
      </c>
      <c r="AA463">
        <f>TEXT(B463,"mmmm")</f>
        <v/>
      </c>
      <c r="AB463">
        <f>YEAR(B463)</f>
        <v/>
      </c>
      <c r="AC463">
        <f>IF(OR(P463&lt;0,P463&gt;0.5,C463&lt;B463),"INVALID","CLEAN")</f>
        <v/>
      </c>
    </row>
    <row r="464">
      <c r="A464" s="12" t="inlineStr">
        <is>
          <t>ORD-2024-10463</t>
        </is>
      </c>
      <c r="B464" s="12" t="inlineStr">
        <is>
          <t>09/23/2024</t>
        </is>
      </c>
      <c r="C464" s="12" t="inlineStr">
        <is>
          <t>25-09-2024</t>
        </is>
      </c>
      <c r="D464" s="12" t="inlineStr">
        <is>
          <t>CUST-6594</t>
        </is>
      </c>
      <c r="E464" s="12" t="inlineStr">
        <is>
          <t>Aarav Sharma</t>
        </is>
      </c>
      <c r="F464" s="12" t="inlineStr">
        <is>
          <t>Home Office</t>
        </is>
      </c>
      <c r="G464" s="12" t="inlineStr">
        <is>
          <t>North</t>
        </is>
      </c>
      <c r="H464" s="12" t="inlineStr">
        <is>
          <t>Delhi</t>
        </is>
      </c>
      <c r="I464" s="12" t="inlineStr">
        <is>
          <t>New Delhi</t>
        </is>
      </c>
      <c r="J464" s="12" t="inlineStr">
        <is>
          <t>Office Supplies</t>
        </is>
      </c>
      <c r="K464" s="12" t="inlineStr">
        <is>
          <t>Binders</t>
        </is>
      </c>
      <c r="L464" s="12" t="inlineStr">
        <is>
          <t>Pro Binders 404</t>
        </is>
      </c>
      <c r="M464" s="12" t="inlineStr">
        <is>
          <t>First Class</t>
        </is>
      </c>
      <c r="N464" s="12" t="n">
        <v>2</v>
      </c>
      <c r="O464" s="12" t="n">
        <v>1275.14</v>
      </c>
      <c r="P464" s="12" t="n">
        <v>0.2</v>
      </c>
      <c r="Q464" s="12" t="n">
        <v>2040.22</v>
      </c>
      <c r="R464" s="12" t="n">
        <v>1395.71</v>
      </c>
      <c r="S464" s="12" t="n">
        <v>644.51</v>
      </c>
      <c r="T464" s="12" t="inlineStr">
        <is>
          <t>Paid</t>
        </is>
      </c>
      <c r="U464" s="12" t="inlineStr">
        <is>
          <t>Completed</t>
        </is>
      </c>
      <c r="V464">
        <f>IF(OR(P464="",P464&lt;0,P464&gt;0.5),0,P464)</f>
        <v/>
      </c>
      <c r="W464">
        <f>N464*O464*(1-V464)</f>
        <v/>
      </c>
      <c r="X464">
        <f>W464-R464</f>
        <v/>
      </c>
      <c r="Y464">
        <f>IF(W464=0,0,X464/W464)</f>
        <v/>
      </c>
      <c r="Z464">
        <f>C464-B464</f>
        <v/>
      </c>
      <c r="AA464">
        <f>TEXT(B464,"mmmm")</f>
        <v/>
      </c>
      <c r="AB464">
        <f>YEAR(B464)</f>
        <v/>
      </c>
      <c r="AC464">
        <f>IF(OR(P464&lt;0,P464&gt;0.5,C464&lt;B464),"INVALID","CLEAN")</f>
        <v/>
      </c>
    </row>
    <row r="465">
      <c r="A465" s="12" t="inlineStr">
        <is>
          <t>ORD-2025-10464</t>
        </is>
      </c>
      <c r="B465" s="12" t="inlineStr">
        <is>
          <t>07-02-2025</t>
        </is>
      </c>
      <c r="C465" s="12" t="inlineStr">
        <is>
          <t>2025-02-08</t>
        </is>
      </c>
      <c r="D465" s="12" t="inlineStr">
        <is>
          <t>CUST-2626</t>
        </is>
      </c>
      <c r="E465" s="12" t="inlineStr">
        <is>
          <t>Arjun Bose</t>
        </is>
      </c>
      <c r="F465" s="12" t="inlineStr">
        <is>
          <t>Corporate</t>
        </is>
      </c>
      <c r="G465" s="12" t="inlineStr">
        <is>
          <t>West</t>
        </is>
      </c>
      <c r="H465" s="12" t="inlineStr">
        <is>
          <t>Madhya Pradesh</t>
        </is>
      </c>
      <c r="I465" s="12" t="inlineStr">
        <is>
          <t>Indore</t>
        </is>
      </c>
      <c r="J465" s="12" t="inlineStr">
        <is>
          <t>Technology</t>
        </is>
      </c>
      <c r="K465" s="12" t="inlineStr">
        <is>
          <t>Phones</t>
        </is>
      </c>
      <c r="L465" s="12" t="inlineStr">
        <is>
          <t>Eco Phones 208</t>
        </is>
      </c>
      <c r="M465" s="12" t="inlineStr">
        <is>
          <t>Standard Class</t>
        </is>
      </c>
      <c r="N465" s="12" t="n">
        <v>4</v>
      </c>
      <c r="O465" s="12" t="n">
        <v>889.5</v>
      </c>
      <c r="P465" s="12" t="n">
        <v>0.2</v>
      </c>
      <c r="Q465" s="12" t="n">
        <v>2846.4</v>
      </c>
      <c r="R465" s="12" t="n">
        <v>2132.37</v>
      </c>
      <c r="S465" s="12" t="n">
        <v>714.03</v>
      </c>
      <c r="T465" s="12" t="inlineStr">
        <is>
          <t>Paid</t>
        </is>
      </c>
      <c r="U465" s="12" t="inlineStr">
        <is>
          <t>Completed</t>
        </is>
      </c>
      <c r="V465">
        <f>IF(OR(P465="",P465&lt;0,P465&gt;0.5),0,P465)</f>
        <v/>
      </c>
      <c r="W465">
        <f>N465*O465*(1-V465)</f>
        <v/>
      </c>
      <c r="X465">
        <f>W465-R465</f>
        <v/>
      </c>
      <c r="Y465">
        <f>IF(W465=0,0,X465/W465)</f>
        <v/>
      </c>
      <c r="Z465">
        <f>C465-B465</f>
        <v/>
      </c>
      <c r="AA465">
        <f>TEXT(B465,"mmmm")</f>
        <v/>
      </c>
      <c r="AB465">
        <f>YEAR(B465)</f>
        <v/>
      </c>
      <c r="AC465">
        <f>IF(OR(P465&lt;0,P465&gt;0.5,C465&lt;B465),"INVALID","CLEAN")</f>
        <v/>
      </c>
    </row>
    <row r="466">
      <c r="A466" s="12" t="inlineStr">
        <is>
          <t>ORD-2025-10465</t>
        </is>
      </c>
      <c r="B466" s="12" t="inlineStr">
        <is>
          <t>11-03-2025</t>
        </is>
      </c>
      <c r="C466" s="12" t="inlineStr">
        <is>
          <t>03/15/2025</t>
        </is>
      </c>
      <c r="D466" s="12" t="inlineStr">
        <is>
          <t>CUST-7362</t>
        </is>
      </c>
      <c r="E466" s="12" t="inlineStr">
        <is>
          <t>Arjun Bose</t>
        </is>
      </c>
      <c r="F466" s="12" t="inlineStr">
        <is>
          <t>Corporate</t>
        </is>
      </c>
      <c r="G466" s="12" t="inlineStr">
        <is>
          <t>East</t>
        </is>
      </c>
      <c r="H466" s="12" t="inlineStr">
        <is>
          <t>Bihar</t>
        </is>
      </c>
      <c r="I466" s="12" t="inlineStr">
        <is>
          <t>Patna</t>
        </is>
      </c>
      <c r="J466" s="12" t="inlineStr">
        <is>
          <t>Office Supplies</t>
        </is>
      </c>
      <c r="K466" s="12" t="inlineStr">
        <is>
          <t>Paper</t>
        </is>
      </c>
      <c r="L466" s="12" t="inlineStr">
        <is>
          <t>Elite Paper 106</t>
        </is>
      </c>
      <c r="M466" s="12" t="inlineStr">
        <is>
          <t>Same Day</t>
        </is>
      </c>
      <c r="N466" s="12" t="n">
        <v>3</v>
      </c>
      <c r="O466" s="12" t="n">
        <v>3625.08</v>
      </c>
      <c r="P466" s="12" t="n">
        <v>0.05</v>
      </c>
      <c r="Q466" s="12" t="n">
        <v>10331.48</v>
      </c>
      <c r="R466" s="12" t="n">
        <v>7131.91</v>
      </c>
      <c r="S466" s="12" t="n">
        <v>3199.57</v>
      </c>
      <c r="T466" s="12" t="inlineStr">
        <is>
          <t>Pending</t>
        </is>
      </c>
      <c r="U466" s="12" t="inlineStr">
        <is>
          <t>Cancelled</t>
        </is>
      </c>
      <c r="V466">
        <f>IF(OR(P466="",P466&lt;0,P466&gt;0.5),0,P466)</f>
        <v/>
      </c>
      <c r="W466">
        <f>N466*O466*(1-V466)</f>
        <v/>
      </c>
      <c r="X466">
        <f>W466-R466</f>
        <v/>
      </c>
      <c r="Y466">
        <f>IF(W466=0,0,X466/W466)</f>
        <v/>
      </c>
      <c r="Z466">
        <f>C466-B466</f>
        <v/>
      </c>
      <c r="AA466">
        <f>TEXT(B466,"mmmm")</f>
        <v/>
      </c>
      <c r="AB466">
        <f>YEAR(B466)</f>
        <v/>
      </c>
      <c r="AC466">
        <f>IF(OR(P466&lt;0,P466&gt;0.5,C466&lt;B466),"INVALID","CLEAN")</f>
        <v/>
      </c>
    </row>
    <row r="467">
      <c r="A467" s="12" t="inlineStr">
        <is>
          <t>ORD-2024-10466</t>
        </is>
      </c>
      <c r="B467" s="12" t="inlineStr">
        <is>
          <t>29-01-2024</t>
        </is>
      </c>
      <c r="C467" s="12" t="inlineStr">
        <is>
          <t>2024-02-06</t>
        </is>
      </c>
      <c r="D467" s="12" t="inlineStr">
        <is>
          <t>CUST-1748</t>
        </is>
      </c>
      <c r="E467" s="12" t="inlineStr">
        <is>
          <t>Aarav Sharma</t>
        </is>
      </c>
      <c r="F467" s="12" t="inlineStr">
        <is>
          <t>Small Business</t>
        </is>
      </c>
      <c r="G467" s="12" t="inlineStr">
        <is>
          <t>West</t>
        </is>
      </c>
      <c r="H467" s="12" t="inlineStr">
        <is>
          <t>Madhya Pradesh</t>
        </is>
      </c>
      <c r="I467" s="12" t="inlineStr">
        <is>
          <t>Indore</t>
        </is>
      </c>
      <c r="J467" s="12" t="inlineStr">
        <is>
          <t>Office Supplies</t>
        </is>
      </c>
      <c r="K467" s="12" t="inlineStr">
        <is>
          <t>Labels</t>
        </is>
      </c>
      <c r="L467" s="12" t="inlineStr">
        <is>
          <t>Eco Labels 914</t>
        </is>
      </c>
      <c r="M467" s="12" t="inlineStr">
        <is>
          <t>Standard Class</t>
        </is>
      </c>
      <c r="N467" s="12" t="n">
        <v>2</v>
      </c>
      <c r="O467" s="12" t="n">
        <v>1258.9</v>
      </c>
      <c r="P467" s="12" t="n">
        <v>0</v>
      </c>
      <c r="Q467" s="12" t="n">
        <v>2517.8</v>
      </c>
      <c r="R467" s="12" t="n">
        <v>1478.54</v>
      </c>
      <c r="S467" s="12" t="n">
        <v>1039.26</v>
      </c>
      <c r="T467" s="12" t="inlineStr">
        <is>
          <t>Paid</t>
        </is>
      </c>
      <c r="U467" s="12" t="inlineStr">
        <is>
          <t>Completed</t>
        </is>
      </c>
      <c r="V467">
        <f>IF(OR(P467="",P467&lt;0,P467&gt;0.5),0,P467)</f>
        <v/>
      </c>
      <c r="W467">
        <f>N467*O467*(1-V467)</f>
        <v/>
      </c>
      <c r="X467">
        <f>W467-R467</f>
        <v/>
      </c>
      <c r="Y467">
        <f>IF(W467=0,0,X467/W467)</f>
        <v/>
      </c>
      <c r="Z467">
        <f>C467-B467</f>
        <v/>
      </c>
      <c r="AA467">
        <f>TEXT(B467,"mmmm")</f>
        <v/>
      </c>
      <c r="AB467">
        <f>YEAR(B467)</f>
        <v/>
      </c>
      <c r="AC467">
        <f>IF(OR(P467&lt;0,P467&gt;0.5,C467&lt;B467),"INVALID","CLEAN")</f>
        <v/>
      </c>
    </row>
    <row r="468">
      <c r="A468" s="12" t="inlineStr">
        <is>
          <t>ORD-2024-10467</t>
        </is>
      </c>
      <c r="B468" s="12" t="inlineStr">
        <is>
          <t>04-01-2024</t>
        </is>
      </c>
      <c r="C468" s="12" t="inlineStr">
        <is>
          <t>01/08/2024</t>
        </is>
      </c>
      <c r="D468" s="12" t="inlineStr">
        <is>
          <t>CUST-2725</t>
        </is>
      </c>
      <c r="E468" s="12" t="inlineStr">
        <is>
          <t>Mira Das</t>
        </is>
      </c>
      <c r="F468" s="12" t="inlineStr">
        <is>
          <t>Small Business</t>
        </is>
      </c>
      <c r="G468" s="12" t="inlineStr">
        <is>
          <t>East</t>
        </is>
      </c>
      <c r="H468" s="12" t="inlineStr">
        <is>
          <t>Bihar</t>
        </is>
      </c>
      <c r="I468" s="12" t="inlineStr">
        <is>
          <t>Patna</t>
        </is>
      </c>
      <c r="J468" s="12" t="inlineStr">
        <is>
          <t>Technology</t>
        </is>
      </c>
      <c r="K468" s="12" t="inlineStr">
        <is>
          <t>Accessories</t>
        </is>
      </c>
      <c r="L468" s="12" t="inlineStr">
        <is>
          <t>Max Accessories 486</t>
        </is>
      </c>
      <c r="M468" s="12" t="inlineStr">
        <is>
          <t>Same Day</t>
        </is>
      </c>
      <c r="N468" s="12" t="n">
        <v>9</v>
      </c>
      <c r="O468" s="12" t="n">
        <v>1591.96</v>
      </c>
      <c r="P468" s="12" t="n">
        <v>0.2</v>
      </c>
      <c r="Q468" s="12" t="n">
        <v>11462.11</v>
      </c>
      <c r="R468" s="12" t="n">
        <v>7105.48</v>
      </c>
      <c r="S468" s="12" t="n">
        <v>4356.63</v>
      </c>
      <c r="T468" s="12" t="inlineStr">
        <is>
          <t>Paid</t>
        </is>
      </c>
      <c r="U468" s="12" t="inlineStr">
        <is>
          <t>Completed</t>
        </is>
      </c>
      <c r="V468">
        <f>IF(OR(P468="",P468&lt;0,P468&gt;0.5),0,P468)</f>
        <v/>
      </c>
      <c r="W468">
        <f>N468*O468*(1-V468)</f>
        <v/>
      </c>
      <c r="X468">
        <f>W468-R468</f>
        <v/>
      </c>
      <c r="Y468">
        <f>IF(W468=0,0,X468/W468)</f>
        <v/>
      </c>
      <c r="Z468">
        <f>C468-B468</f>
        <v/>
      </c>
      <c r="AA468">
        <f>TEXT(B468,"mmmm")</f>
        <v/>
      </c>
      <c r="AB468">
        <f>YEAR(B468)</f>
        <v/>
      </c>
      <c r="AC468">
        <f>IF(OR(P468&lt;0,P468&gt;0.5,C468&lt;B468),"INVALID","CLEAN")</f>
        <v/>
      </c>
    </row>
    <row r="469">
      <c r="A469" s="12" t="inlineStr">
        <is>
          <t>ORD-2024-10468</t>
        </is>
      </c>
      <c r="B469" s="12" t="inlineStr">
        <is>
          <t>20-08-2024</t>
        </is>
      </c>
      <c r="C469" s="12" t="inlineStr">
        <is>
          <t>21 Aug 2024</t>
        </is>
      </c>
      <c r="D469" s="12" t="inlineStr">
        <is>
          <t>CUST-9470</t>
        </is>
      </c>
      <c r="E469" s="12" t="inlineStr">
        <is>
          <t>Aditi Sen</t>
        </is>
      </c>
      <c r="F469" s="12" t="inlineStr">
        <is>
          <t>Corporate</t>
        </is>
      </c>
      <c r="G469" s="12" t="inlineStr">
        <is>
          <t>East</t>
        </is>
      </c>
      <c r="H469" s="12" t="inlineStr">
        <is>
          <t>Odisha</t>
        </is>
      </c>
      <c r="I469" s="12" t="inlineStr">
        <is>
          <t>Bhubaneswar</t>
        </is>
      </c>
      <c r="J469" s="12" t="inlineStr">
        <is>
          <t>Technology</t>
        </is>
      </c>
      <c r="K469" s="12" t="inlineStr">
        <is>
          <t>Copiers</t>
        </is>
      </c>
      <c r="L469" s="12" t="inlineStr">
        <is>
          <t>Max Copiers 867</t>
        </is>
      </c>
      <c r="M469" s="12" t="inlineStr">
        <is>
          <t>First Class</t>
        </is>
      </c>
      <c r="N469" s="12" t="n">
        <v>5</v>
      </c>
      <c r="O469" s="12" t="n">
        <v>4288.33</v>
      </c>
      <c r="P469" s="12" t="n">
        <v>0.1</v>
      </c>
      <c r="Q469" s="12" t="n">
        <v>19297.49</v>
      </c>
      <c r="R469" s="12" t="n">
        <v>15451.66</v>
      </c>
      <c r="S469" s="12" t="n">
        <v>3845.83</v>
      </c>
      <c r="T469" s="12" t="inlineStr">
        <is>
          <t>Refunded</t>
        </is>
      </c>
      <c r="U469" s="12" t="inlineStr">
        <is>
          <t>Cancelled</t>
        </is>
      </c>
      <c r="V469">
        <f>IF(OR(P469="",P469&lt;0,P469&gt;0.5),0,P469)</f>
        <v/>
      </c>
      <c r="W469">
        <f>N469*O469*(1-V469)</f>
        <v/>
      </c>
      <c r="X469">
        <f>W469-R469</f>
        <v/>
      </c>
      <c r="Y469">
        <f>IF(W469=0,0,X469/W469)</f>
        <v/>
      </c>
      <c r="Z469">
        <f>C469-B469</f>
        <v/>
      </c>
      <c r="AA469">
        <f>TEXT(B469,"mmmm")</f>
        <v/>
      </c>
      <c r="AB469">
        <f>YEAR(B469)</f>
        <v/>
      </c>
      <c r="AC469">
        <f>IF(OR(P469&lt;0,P469&gt;0.5,C469&lt;B469),"INVALID","CLEAN")</f>
        <v/>
      </c>
    </row>
    <row r="470">
      <c r="A470" s="12" t="inlineStr">
        <is>
          <t>ORD-2025-10469</t>
        </is>
      </c>
      <c r="B470" s="12" t="inlineStr">
        <is>
          <t>09 Jan 2025</t>
        </is>
      </c>
      <c r="C470" s="12" t="inlineStr">
        <is>
          <t>07 Jan 2025</t>
        </is>
      </c>
      <c r="D470" s="12" t="inlineStr">
        <is>
          <t>CUST-4176</t>
        </is>
      </c>
      <c r="E470" s="12" t="inlineStr">
        <is>
          <t>Aarav Sharma</t>
        </is>
      </c>
      <c r="F470" s="12" t="inlineStr">
        <is>
          <t>Home Office</t>
        </is>
      </c>
      <c r="G470" s="12" t="inlineStr">
        <is>
          <t>East</t>
        </is>
      </c>
      <c r="H470" s="12" t="inlineStr">
        <is>
          <t>West Bengal</t>
        </is>
      </c>
      <c r="I470" s="12" t="inlineStr">
        <is>
          <t>Kolkata</t>
        </is>
      </c>
      <c r="J470" s="12" t="inlineStr">
        <is>
          <t>Office Supplies</t>
        </is>
      </c>
      <c r="K470" s="12" t="inlineStr">
        <is>
          <t>Binders</t>
        </is>
      </c>
      <c r="L470" s="12" t="inlineStr">
        <is>
          <t>Pro Binders 555</t>
        </is>
      </c>
      <c r="M470" s="12" t="inlineStr">
        <is>
          <t>Second Class</t>
        </is>
      </c>
      <c r="N470" s="12" t="n">
        <v>3</v>
      </c>
      <c r="O470" s="12" t="n">
        <v>2188.33</v>
      </c>
      <c r="P470" s="12" t="n">
        <v>0</v>
      </c>
      <c r="Q470" s="12" t="n">
        <v>6564.99</v>
      </c>
      <c r="R470" s="12" t="n">
        <v>5407.24</v>
      </c>
      <c r="S470" s="12" t="n">
        <v>1157.75</v>
      </c>
      <c r="T470" s="12" t="inlineStr">
        <is>
          <t>Paid</t>
        </is>
      </c>
      <c r="U470" s="12" t="inlineStr">
        <is>
          <t>Completed</t>
        </is>
      </c>
      <c r="V470">
        <f>IF(OR(P470="",P470&lt;0,P470&gt;0.5),0,P470)</f>
        <v/>
      </c>
      <c r="W470">
        <f>N470*O470*(1-V470)</f>
        <v/>
      </c>
      <c r="X470">
        <f>W470-R470</f>
        <v/>
      </c>
      <c r="Y470">
        <f>IF(W470=0,0,X470/W470)</f>
        <v/>
      </c>
      <c r="Z470">
        <f>C470-B470</f>
        <v/>
      </c>
      <c r="AA470">
        <f>TEXT(B470,"mmmm")</f>
        <v/>
      </c>
      <c r="AB470">
        <f>YEAR(B470)</f>
        <v/>
      </c>
      <c r="AC470">
        <f>IF(OR(P470&lt;0,P470&gt;0.5,C470&lt;B470),"INVALID","CLEAN")</f>
        <v/>
      </c>
    </row>
    <row r="471">
      <c r="A471" s="12" t="inlineStr">
        <is>
          <t>ORD-2024-10470</t>
        </is>
      </c>
      <c r="B471" s="12" t="inlineStr">
        <is>
          <t>2024-01-19</t>
        </is>
      </c>
      <c r="C471" s="12" t="inlineStr">
        <is>
          <t>01/25/2024</t>
        </is>
      </c>
      <c r="D471" s="12" t="inlineStr">
        <is>
          <t>CUST-3448</t>
        </is>
      </c>
      <c r="E471" s="12" t="inlineStr">
        <is>
          <t>Aditi Sen</t>
        </is>
      </c>
      <c r="F471" s="12" t="inlineStr">
        <is>
          <t>Corporate</t>
        </is>
      </c>
      <c r="G471" s="12" t="inlineStr">
        <is>
          <t>West</t>
        </is>
      </c>
      <c r="H471" s="12" t="inlineStr">
        <is>
          <t>Goa</t>
        </is>
      </c>
      <c r="I471" s="12" t="inlineStr">
        <is>
          <t>Panaji</t>
        </is>
      </c>
      <c r="J471" s="12" t="inlineStr">
        <is>
          <t>Technology</t>
        </is>
      </c>
      <c r="K471" s="12" t="inlineStr">
        <is>
          <t>Copiers</t>
        </is>
      </c>
      <c r="L471" s="12" t="inlineStr">
        <is>
          <t>Pro Copiers 971</t>
        </is>
      </c>
      <c r="M471" s="12" t="inlineStr">
        <is>
          <t>First Class</t>
        </is>
      </c>
      <c r="N471" s="12" t="n">
        <v>3</v>
      </c>
      <c r="O471" s="12" t="n">
        <v>1041.66</v>
      </c>
      <c r="P471" s="12" t="n">
        <v>0.1</v>
      </c>
      <c r="Q471" s="12" t="n">
        <v>2812.48</v>
      </c>
      <c r="R471" s="12" t="n">
        <v>2282.12</v>
      </c>
      <c r="S471" s="12" t="n">
        <v>530.36</v>
      </c>
      <c r="T471" s="12" t="inlineStr">
        <is>
          <t>Paid</t>
        </is>
      </c>
      <c r="U471" s="12" t="inlineStr">
        <is>
          <t>Completed</t>
        </is>
      </c>
      <c r="V471">
        <f>IF(OR(P471="",P471&lt;0,P471&gt;0.5),0,P471)</f>
        <v/>
      </c>
      <c r="W471">
        <f>N471*O471*(1-V471)</f>
        <v/>
      </c>
      <c r="X471">
        <f>W471-R471</f>
        <v/>
      </c>
      <c r="Y471">
        <f>IF(W471=0,0,X471/W471)</f>
        <v/>
      </c>
      <c r="Z471">
        <f>C471-B471</f>
        <v/>
      </c>
      <c r="AA471">
        <f>TEXT(B471,"mmmm")</f>
        <v/>
      </c>
      <c r="AB471">
        <f>YEAR(B471)</f>
        <v/>
      </c>
      <c r="AC471">
        <f>IF(OR(P471&lt;0,P471&gt;0.5,C471&lt;B471),"INVALID","CLEAN")</f>
        <v/>
      </c>
    </row>
    <row r="472">
      <c r="A472" s="12" t="inlineStr">
        <is>
          <t>ORD-2024-10471</t>
        </is>
      </c>
      <c r="B472" s="12" t="inlineStr">
        <is>
          <t>28-07-2024</t>
        </is>
      </c>
      <c r="C472" s="12" t="inlineStr">
        <is>
          <t>07/31/2024</t>
        </is>
      </c>
      <c r="D472" s="12" t="inlineStr">
        <is>
          <t>CUST-4970</t>
        </is>
      </c>
      <c r="E472" s="12" t="inlineStr">
        <is>
          <t>Aditi Sen</t>
        </is>
      </c>
      <c r="F472" s="12" t="inlineStr">
        <is>
          <t>Consumer</t>
        </is>
      </c>
      <c r="G472" s="12" t="inlineStr">
        <is>
          <t>North</t>
        </is>
      </c>
      <c r="H472" s="12" t="inlineStr">
        <is>
          <t>Rajasthan</t>
        </is>
      </c>
      <c r="I472" s="12" t="inlineStr">
        <is>
          <t>Jaipur</t>
        </is>
      </c>
      <c r="J472" s="12" t="inlineStr">
        <is>
          <t>Furniture</t>
        </is>
      </c>
      <c r="K472" s="12" t="inlineStr">
        <is>
          <t>Tables</t>
        </is>
      </c>
      <c r="L472" s="12" t="inlineStr">
        <is>
          <t>Pro Tables 833</t>
        </is>
      </c>
      <c r="M472" s="12" t="inlineStr">
        <is>
          <t>Same Day</t>
        </is>
      </c>
      <c r="N472" s="12" t="n">
        <v>2</v>
      </c>
      <c r="O472" s="12" t="n">
        <v>4424.78</v>
      </c>
      <c r="P472" s="12" t="n">
        <v>0.2</v>
      </c>
      <c r="Q472" s="12" t="n">
        <v>7079.65</v>
      </c>
      <c r="R472" s="12" t="n">
        <v>4465.91</v>
      </c>
      <c r="S472" s="12" t="n">
        <v>2613.74</v>
      </c>
      <c r="T472" s="12" t="inlineStr">
        <is>
          <t>Paid</t>
        </is>
      </c>
      <c r="U472" s="12" t="inlineStr">
        <is>
          <t>Completed</t>
        </is>
      </c>
      <c r="V472">
        <f>IF(OR(P472="",P472&lt;0,P472&gt;0.5),0,P472)</f>
        <v/>
      </c>
      <c r="W472">
        <f>N472*O472*(1-V472)</f>
        <v/>
      </c>
      <c r="X472">
        <f>W472-R472</f>
        <v/>
      </c>
      <c r="Y472">
        <f>IF(W472=0,0,X472/W472)</f>
        <v/>
      </c>
      <c r="Z472">
        <f>C472-B472</f>
        <v/>
      </c>
      <c r="AA472">
        <f>TEXT(B472,"mmmm")</f>
        <v/>
      </c>
      <c r="AB472">
        <f>YEAR(B472)</f>
        <v/>
      </c>
      <c r="AC472">
        <f>IF(OR(P472&lt;0,P472&gt;0.5,C472&lt;B472),"INVALID","CLEAN")</f>
        <v/>
      </c>
    </row>
    <row r="473">
      <c r="A473" s="12" t="inlineStr">
        <is>
          <t>ORD-2024-10472</t>
        </is>
      </c>
      <c r="B473" s="12" t="inlineStr">
        <is>
          <t>11-02-2024</t>
        </is>
      </c>
      <c r="C473" s="12" t="inlineStr">
        <is>
          <t>02/15/2024</t>
        </is>
      </c>
      <c r="D473" s="12" t="inlineStr">
        <is>
          <t>CUST-6147</t>
        </is>
      </c>
      <c r="E473" s="12" t="inlineStr">
        <is>
          <t>Kabir Singh</t>
        </is>
      </c>
      <c r="F473" s="12" t="inlineStr">
        <is>
          <t>Consumer</t>
        </is>
      </c>
      <c r="G473" s="12" t="inlineStr">
        <is>
          <t>South</t>
        </is>
      </c>
      <c r="H473" s="12" t="inlineStr">
        <is>
          <t>Telangana</t>
        </is>
      </c>
      <c r="I473" s="12" t="inlineStr">
        <is>
          <t>Hyderabad</t>
        </is>
      </c>
      <c r="J473" s="12" t="inlineStr">
        <is>
          <t>Office Supplies</t>
        </is>
      </c>
      <c r="K473" s="12" t="inlineStr">
        <is>
          <t>Binders</t>
        </is>
      </c>
      <c r="L473" s="12" t="inlineStr">
        <is>
          <t>Prime Binders 497</t>
        </is>
      </c>
      <c r="M473" s="12" t="inlineStr">
        <is>
          <t>Standard Class</t>
        </is>
      </c>
      <c r="N473" s="12" t="n">
        <v>3</v>
      </c>
      <c r="O473" s="12" t="n">
        <v>3019.14</v>
      </c>
      <c r="P473" s="12" t="n">
        <v>0.25</v>
      </c>
      <c r="Q473" s="12" t="n">
        <v>6793.07</v>
      </c>
      <c r="R473" s="12" t="n">
        <v>4985.22</v>
      </c>
      <c r="S473" s="12" t="n">
        <v>1807.85</v>
      </c>
      <c r="T473" s="12" t="inlineStr">
        <is>
          <t>Paid</t>
        </is>
      </c>
      <c r="U473" s="12" t="inlineStr">
        <is>
          <t>Completed</t>
        </is>
      </c>
      <c r="V473">
        <f>IF(OR(P473="",P473&lt;0,P473&gt;0.5),0,P473)</f>
        <v/>
      </c>
      <c r="W473">
        <f>N473*O473*(1-V473)</f>
        <v/>
      </c>
      <c r="X473">
        <f>W473-R473</f>
        <v/>
      </c>
      <c r="Y473">
        <f>IF(W473=0,0,X473/W473)</f>
        <v/>
      </c>
      <c r="Z473">
        <f>C473-B473</f>
        <v/>
      </c>
      <c r="AA473">
        <f>TEXT(B473,"mmmm")</f>
        <v/>
      </c>
      <c r="AB473">
        <f>YEAR(B473)</f>
        <v/>
      </c>
      <c r="AC473">
        <f>IF(OR(P473&lt;0,P473&gt;0.5,C473&lt;B473),"INVALID","CLEAN")</f>
        <v/>
      </c>
    </row>
    <row r="474">
      <c r="A474" s="12" t="inlineStr">
        <is>
          <t>ORD-2024-10473</t>
        </is>
      </c>
      <c r="B474" s="12" t="inlineStr">
        <is>
          <t>02-03-2024</t>
        </is>
      </c>
      <c r="C474" s="12" t="inlineStr">
        <is>
          <t>03/07/2024</t>
        </is>
      </c>
      <c r="D474" s="12" t="inlineStr">
        <is>
          <t>CUST-7208</t>
        </is>
      </c>
      <c r="E474" s="12" t="inlineStr">
        <is>
          <t>Rohan Mehta</t>
        </is>
      </c>
      <c r="F474" s="12" t="inlineStr">
        <is>
          <t>Corporate</t>
        </is>
      </c>
      <c r="G474" s="12" t="inlineStr">
        <is>
          <t>East</t>
        </is>
      </c>
      <c r="H474" s="12" t="inlineStr">
        <is>
          <t>Odisha</t>
        </is>
      </c>
      <c r="I474" s="12" t="inlineStr">
        <is>
          <t>Bhubaneswar</t>
        </is>
      </c>
      <c r="J474" s="12" t="inlineStr">
        <is>
          <t>Office Supplies</t>
        </is>
      </c>
      <c r="K474" s="12" t="inlineStr">
        <is>
          <t>Storage</t>
        </is>
      </c>
      <c r="L474" s="12" t="inlineStr">
        <is>
          <t>Pro Storage 756</t>
        </is>
      </c>
      <c r="M474" s="12" t="inlineStr">
        <is>
          <t>Standard Class</t>
        </is>
      </c>
      <c r="N474" s="12" t="n">
        <v>7</v>
      </c>
      <c r="O474" s="12" t="n">
        <v>263.46</v>
      </c>
      <c r="P474" s="12" t="n">
        <v>0</v>
      </c>
      <c r="Q474" s="12" t="n">
        <v>1844.22</v>
      </c>
      <c r="R474" s="12" t="n">
        <v>1094.21</v>
      </c>
      <c r="S474" s="12" t="n">
        <v>750.01</v>
      </c>
      <c r="T474" s="12" t="inlineStr">
        <is>
          <t>Paid</t>
        </is>
      </c>
      <c r="U474" s="12" t="inlineStr">
        <is>
          <t>Completed</t>
        </is>
      </c>
      <c r="V474">
        <f>IF(OR(P474="",P474&lt;0,P474&gt;0.5),0,P474)</f>
        <v/>
      </c>
      <c r="W474">
        <f>N474*O474*(1-V474)</f>
        <v/>
      </c>
      <c r="X474">
        <f>W474-R474</f>
        <v/>
      </c>
      <c r="Y474">
        <f>IF(W474=0,0,X474/W474)</f>
        <v/>
      </c>
      <c r="Z474">
        <f>C474-B474</f>
        <v/>
      </c>
      <c r="AA474">
        <f>TEXT(B474,"mmmm")</f>
        <v/>
      </c>
      <c r="AB474">
        <f>YEAR(B474)</f>
        <v/>
      </c>
      <c r="AC474">
        <f>IF(OR(P474&lt;0,P474&gt;0.5,C474&lt;B474),"INVALID","CLEAN")</f>
        <v/>
      </c>
    </row>
    <row r="475">
      <c r="A475" s="12" t="inlineStr">
        <is>
          <t>ORD-2024-10474</t>
        </is>
      </c>
      <c r="B475" s="12" t="inlineStr">
        <is>
          <t>13-11-2024</t>
        </is>
      </c>
      <c r="C475" s="12" t="inlineStr">
        <is>
          <t>13 Nov 2024</t>
        </is>
      </c>
      <c r="D475" s="12" t="inlineStr">
        <is>
          <t>CUST-2794</t>
        </is>
      </c>
      <c r="E475" s="12" t="inlineStr">
        <is>
          <t>Priya Menon</t>
        </is>
      </c>
      <c r="F475" s="12" t="inlineStr">
        <is>
          <t>Consumer</t>
        </is>
      </c>
      <c r="G475" s="12" t="inlineStr">
        <is>
          <t>West</t>
        </is>
      </c>
      <c r="H475" s="12" t="inlineStr">
        <is>
          <t>Goa</t>
        </is>
      </c>
      <c r="I475" s="12" t="inlineStr">
        <is>
          <t>Panaji</t>
        </is>
      </c>
      <c r="J475" s="12" t="inlineStr">
        <is>
          <t>Technology</t>
        </is>
      </c>
      <c r="K475" s="12" t="inlineStr">
        <is>
          <t>Copiers</t>
        </is>
      </c>
      <c r="L475" s="12" t="inlineStr">
        <is>
          <t>Max Copiers 829</t>
        </is>
      </c>
      <c r="M475" s="12" t="inlineStr">
        <is>
          <t>Standard Class</t>
        </is>
      </c>
      <c r="N475" s="12" t="n">
        <v>6</v>
      </c>
      <c r="O475" s="12" t="n">
        <v>191.45</v>
      </c>
      <c r="P475" s="12" t="n">
        <v>0.2</v>
      </c>
      <c r="Q475" s="12" t="n">
        <v>918.96</v>
      </c>
      <c r="R475" s="12" t="n">
        <v>554.1799999999999</v>
      </c>
      <c r="S475" s="12" t="n">
        <v>364.78</v>
      </c>
      <c r="T475" s="12" t="inlineStr">
        <is>
          <t>Paid</t>
        </is>
      </c>
      <c r="U475" s="12" t="inlineStr">
        <is>
          <t>Completed</t>
        </is>
      </c>
      <c r="V475">
        <f>IF(OR(P475="",P475&lt;0,P475&gt;0.5),0,P475)</f>
        <v/>
      </c>
      <c r="W475">
        <f>N475*O475*(1-V475)</f>
        <v/>
      </c>
      <c r="X475">
        <f>W475-R475</f>
        <v/>
      </c>
      <c r="Y475">
        <f>IF(W475=0,0,X475/W475)</f>
        <v/>
      </c>
      <c r="Z475">
        <f>C475-B475</f>
        <v/>
      </c>
      <c r="AA475">
        <f>TEXT(B475,"mmmm")</f>
        <v/>
      </c>
      <c r="AB475">
        <f>YEAR(B475)</f>
        <v/>
      </c>
      <c r="AC475">
        <f>IF(OR(P475&lt;0,P475&gt;0.5,C475&lt;B475),"INVALID","CLEAN")</f>
        <v/>
      </c>
    </row>
    <row r="476">
      <c r="A476" s="12" t="inlineStr">
        <is>
          <t>ORD-2024-10475</t>
        </is>
      </c>
      <c r="B476" s="12" t="inlineStr">
        <is>
          <t>03-06-2024</t>
        </is>
      </c>
      <c r="C476" s="12" t="inlineStr">
        <is>
          <t>2024-06-10</t>
        </is>
      </c>
      <c r="D476" s="12" t="inlineStr">
        <is>
          <t>CUST-6249</t>
        </is>
      </c>
      <c r="E476" s="12" t="inlineStr">
        <is>
          <t>Diya Patel</t>
        </is>
      </c>
      <c r="F476" s="12" t="inlineStr">
        <is>
          <t>Corporate</t>
        </is>
      </c>
      <c r="G476" s="12" t="inlineStr">
        <is>
          <t>North</t>
        </is>
      </c>
      <c r="H476" s="12" t="inlineStr">
        <is>
          <t>Punjab</t>
        </is>
      </c>
      <c r="I476" s="12" t="inlineStr">
        <is>
          <t>Ludhiana</t>
        </is>
      </c>
      <c r="J476" s="12" t="inlineStr">
        <is>
          <t>Furniture</t>
        </is>
      </c>
      <c r="K476" s="12" t="inlineStr">
        <is>
          <t>Furnishings</t>
        </is>
      </c>
      <c r="L476" s="12" t="inlineStr">
        <is>
          <t>Prime Furnishings 827</t>
        </is>
      </c>
      <c r="M476" s="12" t="inlineStr">
        <is>
          <t>Standard Class</t>
        </is>
      </c>
      <c r="N476" s="12" t="n">
        <v>3</v>
      </c>
      <c r="O476" s="12" t="n">
        <v>1633.57</v>
      </c>
      <c r="P476" s="12" t="n">
        <v>0</v>
      </c>
      <c r="Q476" s="12" t="n">
        <v>4900.71</v>
      </c>
      <c r="R476" s="12" t="n">
        <v>2713.9</v>
      </c>
      <c r="S476" s="12" t="n">
        <v>2186.81</v>
      </c>
      <c r="T476" s="12" t="inlineStr">
        <is>
          <t>Paid</t>
        </is>
      </c>
      <c r="U476" s="12" t="inlineStr">
        <is>
          <t>Completed</t>
        </is>
      </c>
      <c r="V476">
        <f>IF(OR(P476="",P476&lt;0,P476&gt;0.5),0,P476)</f>
        <v/>
      </c>
      <c r="W476">
        <f>N476*O476*(1-V476)</f>
        <v/>
      </c>
      <c r="X476">
        <f>W476-R476</f>
        <v/>
      </c>
      <c r="Y476">
        <f>IF(W476=0,0,X476/W476)</f>
        <v/>
      </c>
      <c r="Z476">
        <f>C476-B476</f>
        <v/>
      </c>
      <c r="AA476">
        <f>TEXT(B476,"mmmm")</f>
        <v/>
      </c>
      <c r="AB476">
        <f>YEAR(B476)</f>
        <v/>
      </c>
      <c r="AC476">
        <f>IF(OR(P476&lt;0,P476&gt;0.5,C476&lt;B476),"INVALID","CLEAN")</f>
        <v/>
      </c>
    </row>
    <row r="477">
      <c r="A477" s="12" t="inlineStr">
        <is>
          <t>ORD-2025-10476</t>
        </is>
      </c>
      <c r="B477" s="12" t="inlineStr">
        <is>
          <t>03/01/2025</t>
        </is>
      </c>
      <c r="C477" s="12" t="inlineStr">
        <is>
          <t>08 Mar 2025</t>
        </is>
      </c>
      <c r="D477" s="12" t="inlineStr">
        <is>
          <t>CUST-5712</t>
        </is>
      </c>
      <c r="E477" s="12" t="inlineStr">
        <is>
          <t>Vikram Iyer</t>
        </is>
      </c>
      <c r="F477" s="12" t="inlineStr">
        <is>
          <t>Consumer</t>
        </is>
      </c>
      <c r="G477" s="12" t="inlineStr">
        <is>
          <t>East</t>
        </is>
      </c>
      <c r="H477" s="12" t="inlineStr">
        <is>
          <t>West Bengal</t>
        </is>
      </c>
      <c r="I477" s="12" t="inlineStr">
        <is>
          <t>Kolkata</t>
        </is>
      </c>
      <c r="J477" s="12" t="inlineStr">
        <is>
          <t>Furniture</t>
        </is>
      </c>
      <c r="K477" s="12" t="inlineStr">
        <is>
          <t>Chairs</t>
        </is>
      </c>
      <c r="L477" s="12" t="inlineStr">
        <is>
          <t>Eco Chairs 365</t>
        </is>
      </c>
      <c r="M477" s="12" t="inlineStr">
        <is>
          <t>Same Day</t>
        </is>
      </c>
      <c r="N477" s="12" t="n">
        <v>8</v>
      </c>
      <c r="O477" s="12" t="n">
        <v>3378.82</v>
      </c>
      <c r="P477" s="12" t="n">
        <v>0.25</v>
      </c>
      <c r="Q477" s="12" t="n">
        <v>20272.92</v>
      </c>
      <c r="R477" s="12" t="n">
        <v>15873.38</v>
      </c>
      <c r="S477" s="12" t="n">
        <v>4399.54</v>
      </c>
      <c r="T477" s="12" t="inlineStr">
        <is>
          <t>Pending</t>
        </is>
      </c>
      <c r="U477" s="12" t="inlineStr">
        <is>
          <t>Returned</t>
        </is>
      </c>
      <c r="V477">
        <f>IF(OR(P477="",P477&lt;0,P477&gt;0.5),0,P477)</f>
        <v/>
      </c>
      <c r="W477">
        <f>N477*O477*(1-V477)</f>
        <v/>
      </c>
      <c r="X477">
        <f>W477-R477</f>
        <v/>
      </c>
      <c r="Y477">
        <f>IF(W477=0,0,X477/W477)</f>
        <v/>
      </c>
      <c r="Z477">
        <f>C477-B477</f>
        <v/>
      </c>
      <c r="AA477">
        <f>TEXT(B477,"mmmm")</f>
        <v/>
      </c>
      <c r="AB477">
        <f>YEAR(B477)</f>
        <v/>
      </c>
      <c r="AC477">
        <f>IF(OR(P477&lt;0,P477&gt;0.5,C477&lt;B477),"INVALID","CLEAN")</f>
        <v/>
      </c>
    </row>
    <row r="478">
      <c r="A478" s="12" t="inlineStr">
        <is>
          <t>ORD-2024-10477</t>
        </is>
      </c>
      <c r="B478" s="12" t="inlineStr">
        <is>
          <t>05/07/2024</t>
        </is>
      </c>
      <c r="C478" s="12" t="inlineStr">
        <is>
          <t>05/14/2024</t>
        </is>
      </c>
      <c r="D478" s="12" t="inlineStr">
        <is>
          <t>CUST-3004</t>
        </is>
      </c>
      <c r="E478" s="12" t="inlineStr">
        <is>
          <t>Sneha Kapoor</t>
        </is>
      </c>
      <c r="F478" s="12" t="inlineStr">
        <is>
          <t>Small Business</t>
        </is>
      </c>
      <c r="G478" s="12" t="inlineStr">
        <is>
          <t>North</t>
        </is>
      </c>
      <c r="H478" s="12" t="inlineStr">
        <is>
          <t>Rajasthan</t>
        </is>
      </c>
      <c r="I478" s="12" t="inlineStr">
        <is>
          <t>Jaipur</t>
        </is>
      </c>
      <c r="J478" s="12" t="inlineStr">
        <is>
          <t>Office Supplies</t>
        </is>
      </c>
      <c r="K478" s="12" t="inlineStr">
        <is>
          <t>Storage</t>
        </is>
      </c>
      <c r="L478" s="12" t="inlineStr">
        <is>
          <t>Classic Storage 545</t>
        </is>
      </c>
      <c r="M478" s="12" t="inlineStr">
        <is>
          <t>First Class</t>
        </is>
      </c>
      <c r="N478" s="12" t="n">
        <v>3</v>
      </c>
      <c r="O478" s="12" t="n">
        <v>383.58</v>
      </c>
      <c r="P478" s="12" t="n">
        <v>0.1</v>
      </c>
      <c r="Q478" s="12" t="n">
        <v>1035.67</v>
      </c>
      <c r="R478" s="12" t="n">
        <v>595.42</v>
      </c>
      <c r="S478" s="12" t="n">
        <v>440.25</v>
      </c>
      <c r="T478" s="12" t="inlineStr">
        <is>
          <t>Paid</t>
        </is>
      </c>
      <c r="U478" s="12" t="inlineStr">
        <is>
          <t>Completed</t>
        </is>
      </c>
      <c r="V478">
        <f>IF(OR(P478="",P478&lt;0,P478&gt;0.5),0,P478)</f>
        <v/>
      </c>
      <c r="W478">
        <f>N478*O478*(1-V478)</f>
        <v/>
      </c>
      <c r="X478">
        <f>W478-R478</f>
        <v/>
      </c>
      <c r="Y478">
        <f>IF(W478=0,0,X478/W478)</f>
        <v/>
      </c>
      <c r="Z478">
        <f>C478-B478</f>
        <v/>
      </c>
      <c r="AA478">
        <f>TEXT(B478,"mmmm")</f>
        <v/>
      </c>
      <c r="AB478">
        <f>YEAR(B478)</f>
        <v/>
      </c>
      <c r="AC478">
        <f>IF(OR(P478&lt;0,P478&gt;0.5,C478&lt;B478),"INVALID","CLEAN")</f>
        <v/>
      </c>
    </row>
    <row r="479">
      <c r="A479" s="12" t="inlineStr">
        <is>
          <t>ORD-2025-10478</t>
        </is>
      </c>
      <c r="B479" s="12" t="inlineStr">
        <is>
          <t>08/23/2025</t>
        </is>
      </c>
      <c r="C479" s="12" t="inlineStr">
        <is>
          <t>28-08-2025</t>
        </is>
      </c>
      <c r="D479" s="12" t="inlineStr">
        <is>
          <t>CUST-6920</t>
        </is>
      </c>
      <c r="E479" s="12" t="inlineStr">
        <is>
          <t>Vikram Iyer</t>
        </is>
      </c>
      <c r="F479" s="12" t="inlineStr">
        <is>
          <t>Corporate</t>
        </is>
      </c>
      <c r="G479" s="12" t="inlineStr">
        <is>
          <t>West</t>
        </is>
      </c>
      <c r="H479" s="12" t="inlineStr">
        <is>
          <t>Gujarat</t>
        </is>
      </c>
      <c r="I479" s="12" t="inlineStr">
        <is>
          <t>Ahmedabad</t>
        </is>
      </c>
      <c r="J479" s="12" t="inlineStr">
        <is>
          <t>Furniture</t>
        </is>
      </c>
      <c r="K479" s="12" t="inlineStr">
        <is>
          <t>Chairs</t>
        </is>
      </c>
      <c r="L479" s="12" t="inlineStr">
        <is>
          <t>Pro Chairs 186</t>
        </is>
      </c>
      <c r="M479" s="12" t="inlineStr">
        <is>
          <t>Standard Class</t>
        </is>
      </c>
      <c r="N479" s="12" t="n">
        <v>6</v>
      </c>
      <c r="O479" s="12" t="n">
        <v>2193.23</v>
      </c>
      <c r="P479" s="12" t="n">
        <v>0.1</v>
      </c>
      <c r="Q479" s="12" t="n">
        <v>11843.44</v>
      </c>
      <c r="R479" s="12" t="n">
        <v>9356.879999999999</v>
      </c>
      <c r="S479" s="12" t="n">
        <v>2486.56</v>
      </c>
      <c r="T479" s="12" t="inlineStr">
        <is>
          <t>Paid</t>
        </is>
      </c>
      <c r="U479" s="12" t="inlineStr">
        <is>
          <t>Cancelled</t>
        </is>
      </c>
      <c r="V479">
        <f>IF(OR(P479="",P479&lt;0,P479&gt;0.5),0,P479)</f>
        <v/>
      </c>
      <c r="W479">
        <f>N479*O479*(1-V479)</f>
        <v/>
      </c>
      <c r="X479">
        <f>W479-R479</f>
        <v/>
      </c>
      <c r="Y479">
        <f>IF(W479=0,0,X479/W479)</f>
        <v/>
      </c>
      <c r="Z479">
        <f>C479-B479</f>
        <v/>
      </c>
      <c r="AA479">
        <f>TEXT(B479,"mmmm")</f>
        <v/>
      </c>
      <c r="AB479">
        <f>YEAR(B479)</f>
        <v/>
      </c>
      <c r="AC479">
        <f>IF(OR(P479&lt;0,P479&gt;0.5,C479&lt;B479),"INVALID","CLEAN")</f>
        <v/>
      </c>
    </row>
    <row r="480">
      <c r="A480" s="12" t="inlineStr">
        <is>
          <t>ORD-2024-10479</t>
        </is>
      </c>
      <c r="B480" s="12" t="inlineStr">
        <is>
          <t>06/09/2024</t>
        </is>
      </c>
      <c r="C480" s="12" t="inlineStr">
        <is>
          <t>2024-06-13</t>
        </is>
      </c>
      <c r="D480" s="12" t="inlineStr">
        <is>
          <t>CUST-4838</t>
        </is>
      </c>
      <c r="E480" s="12" t="inlineStr">
        <is>
          <t>Mira Das</t>
        </is>
      </c>
      <c r="F480" s="12" t="inlineStr">
        <is>
          <t>Home Office</t>
        </is>
      </c>
      <c r="G480" s="12" t="n"/>
      <c r="H480" s="12" t="inlineStr">
        <is>
          <t>Uttar Pradesh</t>
        </is>
      </c>
      <c r="I480" s="12" t="inlineStr">
        <is>
          <t>Noida</t>
        </is>
      </c>
      <c r="J480" s="12" t="inlineStr">
        <is>
          <t>Technology</t>
        </is>
      </c>
      <c r="K480" s="12" t="inlineStr">
        <is>
          <t>Machines</t>
        </is>
      </c>
      <c r="L480" s="12" t="inlineStr">
        <is>
          <t>Classic Machines 561</t>
        </is>
      </c>
      <c r="M480" s="12" t="inlineStr">
        <is>
          <t>Same Day</t>
        </is>
      </c>
      <c r="N480" s="12" t="n">
        <v>7</v>
      </c>
      <c r="O480" s="12" t="n">
        <v>4079.71</v>
      </c>
      <c r="P480" s="12" t="n">
        <v>0.1</v>
      </c>
      <c r="Q480" s="12" t="n">
        <v>25702.17</v>
      </c>
      <c r="R480" s="12" t="n">
        <v>14571.48</v>
      </c>
      <c r="S480" s="12" t="n">
        <v>11130.69</v>
      </c>
      <c r="T480" s="12" t="inlineStr">
        <is>
          <t>Refunded</t>
        </is>
      </c>
      <c r="U480" s="12" t="inlineStr">
        <is>
          <t>Returned</t>
        </is>
      </c>
      <c r="V480">
        <f>IF(OR(P480="",P480&lt;0,P480&gt;0.5),0,P480)</f>
        <v/>
      </c>
      <c r="W480">
        <f>N480*O480*(1-V480)</f>
        <v/>
      </c>
      <c r="X480">
        <f>W480-R480</f>
        <v/>
      </c>
      <c r="Y480">
        <f>IF(W480=0,0,X480/W480)</f>
        <v/>
      </c>
      <c r="Z480">
        <f>C480-B480</f>
        <v/>
      </c>
      <c r="AA480">
        <f>TEXT(B480,"mmmm")</f>
        <v/>
      </c>
      <c r="AB480">
        <f>YEAR(B480)</f>
        <v/>
      </c>
      <c r="AC480">
        <f>IF(OR(P480&lt;0,P480&gt;0.5,C480&lt;B480),"INVALID","CLEAN")</f>
        <v/>
      </c>
    </row>
    <row r="481">
      <c r="A481" s="12" t="inlineStr">
        <is>
          <t>ORD-2024-10480</t>
        </is>
      </c>
      <c r="B481" s="12" t="inlineStr">
        <is>
          <t>23 Feb 2024</t>
        </is>
      </c>
      <c r="C481" s="12" t="inlineStr">
        <is>
          <t>2024-02-20</t>
        </is>
      </c>
      <c r="D481" s="12" t="inlineStr">
        <is>
          <t>CUST-7520</t>
        </is>
      </c>
      <c r="E481" s="12" t="inlineStr">
        <is>
          <t>Arjun Bose</t>
        </is>
      </c>
      <c r="F481" s="12" t="inlineStr">
        <is>
          <t>Corporate</t>
        </is>
      </c>
      <c r="G481" s="12" t="inlineStr">
        <is>
          <t>East</t>
        </is>
      </c>
      <c r="H481" s="12" t="inlineStr">
        <is>
          <t>Odisha</t>
        </is>
      </c>
      <c r="I481" s="12" t="inlineStr">
        <is>
          <t>Bhubaneswar</t>
        </is>
      </c>
      <c r="J481" s="12" t="inlineStr">
        <is>
          <t>Furniture</t>
        </is>
      </c>
      <c r="K481" s="12" t="inlineStr">
        <is>
          <t>Chairs</t>
        </is>
      </c>
      <c r="L481" s="12" t="inlineStr">
        <is>
          <t>Max Chairs 594</t>
        </is>
      </c>
      <c r="M481" s="12" t="inlineStr">
        <is>
          <t>Second Class</t>
        </is>
      </c>
      <c r="N481" s="12" t="n">
        <v>1</v>
      </c>
      <c r="O481" s="12" t="n">
        <v>2202.55</v>
      </c>
      <c r="P481" s="12" t="n"/>
      <c r="Q481" s="12" t="n">
        <v>1651.91</v>
      </c>
      <c r="R481" s="12" t="n">
        <v>1034.57</v>
      </c>
      <c r="S481" s="12" t="n">
        <v>617.34</v>
      </c>
      <c r="T481" s="12" t="inlineStr">
        <is>
          <t>Paid</t>
        </is>
      </c>
      <c r="U481" s="12" t="inlineStr">
        <is>
          <t>Completed</t>
        </is>
      </c>
      <c r="V481">
        <f>IF(OR(P481="",P481&lt;0,P481&gt;0.5),0,P481)</f>
        <v/>
      </c>
      <c r="W481">
        <f>N481*O481*(1-V481)</f>
        <v/>
      </c>
      <c r="X481">
        <f>W481-R481</f>
        <v/>
      </c>
      <c r="Y481">
        <f>IF(W481=0,0,X481/W481)</f>
        <v/>
      </c>
      <c r="Z481">
        <f>C481-B481</f>
        <v/>
      </c>
      <c r="AA481">
        <f>TEXT(B481,"mmmm")</f>
        <v/>
      </c>
      <c r="AB481">
        <f>YEAR(B481)</f>
        <v/>
      </c>
      <c r="AC481">
        <f>IF(OR(P481&lt;0,P481&gt;0.5,C481&lt;B481),"INVALID","CLEAN")</f>
        <v/>
      </c>
    </row>
    <row r="482">
      <c r="A482" s="12" t="inlineStr">
        <is>
          <t>ORD-2025-10481</t>
        </is>
      </c>
      <c r="B482" s="12" t="inlineStr">
        <is>
          <t>2025-01-05</t>
        </is>
      </c>
      <c r="C482" s="12" t="inlineStr">
        <is>
          <t>09 Jan 2025</t>
        </is>
      </c>
      <c r="D482" s="12" t="inlineStr">
        <is>
          <t>CUST-9947</t>
        </is>
      </c>
      <c r="E482" s="12" t="inlineStr">
        <is>
          <t>Neha Gupta</t>
        </is>
      </c>
      <c r="F482" s="12" t="inlineStr">
        <is>
          <t>Small Business</t>
        </is>
      </c>
      <c r="G482" s="12" t="inlineStr">
        <is>
          <t>South</t>
        </is>
      </c>
      <c r="H482" s="12" t="inlineStr">
        <is>
          <t>Tamil Nadu</t>
        </is>
      </c>
      <c r="I482" s="12" t="inlineStr">
        <is>
          <t>Chennai</t>
        </is>
      </c>
      <c r="J482" s="12" t="inlineStr">
        <is>
          <t>Office Supplies</t>
        </is>
      </c>
      <c r="K482" s="12" t="inlineStr">
        <is>
          <t>Storage</t>
        </is>
      </c>
      <c r="L482" s="12" t="inlineStr">
        <is>
          <t>Eco Storage 923</t>
        </is>
      </c>
      <c r="M482" s="12" t="n"/>
      <c r="N482" s="12" t="n">
        <v>5</v>
      </c>
      <c r="O482" s="12" t="n">
        <v>905.16</v>
      </c>
      <c r="P482" s="12" t="n">
        <v>0</v>
      </c>
      <c r="Q482" s="12" t="n">
        <v>4525.8</v>
      </c>
      <c r="R482" s="12" t="n">
        <v>2714.51</v>
      </c>
      <c r="S482" s="12" t="n">
        <v>1811.29</v>
      </c>
      <c r="T482" s="12" t="inlineStr">
        <is>
          <t>Paid</t>
        </is>
      </c>
      <c r="U482" s="12" t="inlineStr">
        <is>
          <t>Completed</t>
        </is>
      </c>
      <c r="V482">
        <f>IF(OR(P482="",P482&lt;0,P482&gt;0.5),0,P482)</f>
        <v/>
      </c>
      <c r="W482">
        <f>N482*O482*(1-V482)</f>
        <v/>
      </c>
      <c r="X482">
        <f>W482-R482</f>
        <v/>
      </c>
      <c r="Y482">
        <f>IF(W482=0,0,X482/W482)</f>
        <v/>
      </c>
      <c r="Z482">
        <f>C482-B482</f>
        <v/>
      </c>
      <c r="AA482">
        <f>TEXT(B482,"mmmm")</f>
        <v/>
      </c>
      <c r="AB482">
        <f>YEAR(B482)</f>
        <v/>
      </c>
      <c r="AC482">
        <f>IF(OR(P482&lt;0,P482&gt;0.5,C482&lt;B482),"INVALID","CLEAN")</f>
        <v/>
      </c>
    </row>
    <row r="483">
      <c r="A483" s="12" t="inlineStr">
        <is>
          <t>ORD-2025-10482</t>
        </is>
      </c>
      <c r="B483" s="12" t="inlineStr">
        <is>
          <t>2025-06-05</t>
        </is>
      </c>
      <c r="C483" s="12" t="inlineStr">
        <is>
          <t>06/13/2025</t>
        </is>
      </c>
      <c r="D483" s="12" t="inlineStr">
        <is>
          <t>CUST-4403</t>
        </is>
      </c>
      <c r="E483" s="12" t="inlineStr">
        <is>
          <t>Isha Nair</t>
        </is>
      </c>
      <c r="F483" s="12" t="inlineStr">
        <is>
          <t>Consumer</t>
        </is>
      </c>
      <c r="G483" s="12" t="inlineStr">
        <is>
          <t>North</t>
        </is>
      </c>
      <c r="H483" s="12" t="inlineStr">
        <is>
          <t>Uttar Pradesh</t>
        </is>
      </c>
      <c r="I483" s="12" t="inlineStr">
        <is>
          <t>Noida</t>
        </is>
      </c>
      <c r="J483" s="12" t="inlineStr">
        <is>
          <t>Technology</t>
        </is>
      </c>
      <c r="K483" s="12" t="inlineStr">
        <is>
          <t>Machines</t>
        </is>
      </c>
      <c r="L483" s="12" t="inlineStr">
        <is>
          <t>Classic Machines 287</t>
        </is>
      </c>
      <c r="M483" s="12" t="inlineStr">
        <is>
          <t>Same Day</t>
        </is>
      </c>
      <c r="N483" s="12" t="n">
        <v>4</v>
      </c>
      <c r="O483" s="12" t="n">
        <v>2793.88</v>
      </c>
      <c r="P483" s="12" t="inlineStr">
        <is>
          <t>85%</t>
        </is>
      </c>
      <c r="Q483" s="12" t="n">
        <v>10616.74</v>
      </c>
      <c r="R483" s="12" t="n">
        <v>6353.59</v>
      </c>
      <c r="S483" s="12" t="n">
        <v>4263.15</v>
      </c>
      <c r="T483" s="12" t="inlineStr">
        <is>
          <t>Paid</t>
        </is>
      </c>
      <c r="U483" s="12" t="inlineStr">
        <is>
          <t>Completed</t>
        </is>
      </c>
      <c r="V483">
        <f>IF(OR(P483="",P483&lt;0,P483&gt;0.5),0,P483)</f>
        <v/>
      </c>
      <c r="W483">
        <f>N483*O483*(1-V483)</f>
        <v/>
      </c>
      <c r="X483">
        <f>W483-R483</f>
        <v/>
      </c>
      <c r="Y483">
        <f>IF(W483=0,0,X483/W483)</f>
        <v/>
      </c>
      <c r="Z483">
        <f>C483-B483</f>
        <v/>
      </c>
      <c r="AA483">
        <f>TEXT(B483,"mmmm")</f>
        <v/>
      </c>
      <c r="AB483">
        <f>YEAR(B483)</f>
        <v/>
      </c>
      <c r="AC483">
        <f>IF(OR(P483&lt;0,P483&gt;0.5,C483&lt;B483),"INVALID","CLEAN")</f>
        <v/>
      </c>
    </row>
    <row r="484">
      <c r="A484" s="12" t="inlineStr">
        <is>
          <t>ORD-2024-10483</t>
        </is>
      </c>
      <c r="B484" s="12" t="inlineStr">
        <is>
          <t>07/22/2024</t>
        </is>
      </c>
      <c r="C484" s="12" t="inlineStr">
        <is>
          <t>07/22/2024</t>
        </is>
      </c>
      <c r="D484" s="12" t="inlineStr">
        <is>
          <t>CUST-3583</t>
        </is>
      </c>
      <c r="E484" s="12" t="inlineStr">
        <is>
          <t>Priya Menon</t>
        </is>
      </c>
      <c r="F484" s="12" t="inlineStr">
        <is>
          <t>Consumer</t>
        </is>
      </c>
      <c r="G484" s="12" t="inlineStr">
        <is>
          <t>South</t>
        </is>
      </c>
      <c r="H484" s="12" t="inlineStr">
        <is>
          <t>Karnataka</t>
        </is>
      </c>
      <c r="I484" s="12" t="inlineStr">
        <is>
          <t>Bengaluru</t>
        </is>
      </c>
      <c r="J484" s="12" t="inlineStr">
        <is>
          <t>Technology</t>
        </is>
      </c>
      <c r="K484" s="12" t="inlineStr">
        <is>
          <t>Accessories</t>
        </is>
      </c>
      <c r="L484" s="12" t="inlineStr">
        <is>
          <t>Basic Accessories 518</t>
        </is>
      </c>
      <c r="M484" s="12" t="inlineStr">
        <is>
          <t>Second Class</t>
        </is>
      </c>
      <c r="N484" s="12" t="n">
        <v>3</v>
      </c>
      <c r="O484" s="12" t="n">
        <v>1286.22</v>
      </c>
      <c r="P484" s="12" t="n">
        <v>0.25</v>
      </c>
      <c r="Q484" s="12" t="n">
        <v>2893.99</v>
      </c>
      <c r="R484" s="12" t="n">
        <v>1856.03</v>
      </c>
      <c r="S484" s="12" t="n">
        <v>1037.96</v>
      </c>
      <c r="T484" s="12" t="inlineStr">
        <is>
          <t>Paid</t>
        </is>
      </c>
      <c r="U484" s="12" t="inlineStr">
        <is>
          <t>Completed</t>
        </is>
      </c>
      <c r="V484">
        <f>IF(OR(P484="",P484&lt;0,P484&gt;0.5),0,P484)</f>
        <v/>
      </c>
      <c r="W484">
        <f>N484*O484*(1-V484)</f>
        <v/>
      </c>
      <c r="X484">
        <f>W484-R484</f>
        <v/>
      </c>
      <c r="Y484">
        <f>IF(W484=0,0,X484/W484)</f>
        <v/>
      </c>
      <c r="Z484">
        <f>C484-B484</f>
        <v/>
      </c>
      <c r="AA484">
        <f>TEXT(B484,"mmmm")</f>
        <v/>
      </c>
      <c r="AB484">
        <f>YEAR(B484)</f>
        <v/>
      </c>
      <c r="AC484">
        <f>IF(OR(P484&lt;0,P484&gt;0.5,C484&lt;B484),"INVALID","CLEAN")</f>
        <v/>
      </c>
    </row>
    <row r="485">
      <c r="A485" s="12" t="inlineStr">
        <is>
          <t>ORD-2024-10484</t>
        </is>
      </c>
      <c r="B485" s="12" t="inlineStr">
        <is>
          <t>25 Dec 2024</t>
        </is>
      </c>
      <c r="C485" s="12" t="inlineStr">
        <is>
          <t>25-12-2024</t>
        </is>
      </c>
      <c r="D485" s="12" t="inlineStr">
        <is>
          <t>CUST-9432</t>
        </is>
      </c>
      <c r="E485" s="12" t="inlineStr">
        <is>
          <t>Mira Das</t>
        </is>
      </c>
      <c r="F485" s="12" t="inlineStr">
        <is>
          <t>Corporate</t>
        </is>
      </c>
      <c r="G485" s="12" t="inlineStr">
        <is>
          <t>East</t>
        </is>
      </c>
      <c r="H485" s="12" t="inlineStr">
        <is>
          <t>Bihar</t>
        </is>
      </c>
      <c r="I485" s="12" t="inlineStr">
        <is>
          <t>Patna</t>
        </is>
      </c>
      <c r="J485" s="12" t="inlineStr">
        <is>
          <t>Technology</t>
        </is>
      </c>
      <c r="K485" s="12" t="inlineStr">
        <is>
          <t>Copiers</t>
        </is>
      </c>
      <c r="L485" s="12" t="inlineStr">
        <is>
          <t>Pro Copiers 984</t>
        </is>
      </c>
      <c r="M485" s="12" t="inlineStr">
        <is>
          <t>Standard Class</t>
        </is>
      </c>
      <c r="N485" s="12" t="n">
        <v>1</v>
      </c>
      <c r="O485" s="12" t="n">
        <v>829.66</v>
      </c>
      <c r="P485" s="12" t="n">
        <v>0.15</v>
      </c>
      <c r="Q485" s="12" t="n">
        <v>705.21</v>
      </c>
      <c r="R485" s="12" t="n">
        <v>438.32</v>
      </c>
      <c r="S485" s="12" t="n">
        <v>266.89</v>
      </c>
      <c r="T485" s="12" t="inlineStr">
        <is>
          <t>Paid</t>
        </is>
      </c>
      <c r="U485" s="12" t="inlineStr">
        <is>
          <t>Completed</t>
        </is>
      </c>
      <c r="V485">
        <f>IF(OR(P485="",P485&lt;0,P485&gt;0.5),0,P485)</f>
        <v/>
      </c>
      <c r="W485">
        <f>N485*O485*(1-V485)</f>
        <v/>
      </c>
      <c r="X485">
        <f>W485-R485</f>
        <v/>
      </c>
      <c r="Y485">
        <f>IF(W485=0,0,X485/W485)</f>
        <v/>
      </c>
      <c r="Z485">
        <f>C485-B485</f>
        <v/>
      </c>
      <c r="AA485">
        <f>TEXT(B485,"mmmm")</f>
        <v/>
      </c>
      <c r="AB485">
        <f>YEAR(B485)</f>
        <v/>
      </c>
      <c r="AC485">
        <f>IF(OR(P485&lt;0,P485&gt;0.5,C485&lt;B485),"INVALID","CLEAN")</f>
        <v/>
      </c>
    </row>
    <row r="486">
      <c r="A486" s="12" t="inlineStr">
        <is>
          <t>ORD-2024-10485</t>
        </is>
      </c>
      <c r="B486" s="12" t="inlineStr">
        <is>
          <t>2024-12-28</t>
        </is>
      </c>
      <c r="C486" s="12" t="inlineStr">
        <is>
          <t>12/31/2024</t>
        </is>
      </c>
      <c r="D486" s="12" t="inlineStr">
        <is>
          <t>CUST-1801</t>
        </is>
      </c>
      <c r="E486" s="12" t="inlineStr">
        <is>
          <t>Mira Das</t>
        </is>
      </c>
      <c r="F486" s="12" t="inlineStr">
        <is>
          <t>Small Business</t>
        </is>
      </c>
      <c r="G486" s="12" t="inlineStr">
        <is>
          <t>South</t>
        </is>
      </c>
      <c r="H486" s="12" t="inlineStr">
        <is>
          <t>Andhra Pradesh</t>
        </is>
      </c>
      <c r="I486" s="12" t="inlineStr">
        <is>
          <t>Vijayawada</t>
        </is>
      </c>
      <c r="J486" s="12" t="inlineStr">
        <is>
          <t>Furniture</t>
        </is>
      </c>
      <c r="K486" s="12" t="inlineStr">
        <is>
          <t>Furnishings</t>
        </is>
      </c>
      <c r="L486" s="12" t="inlineStr">
        <is>
          <t>Max Furnishings 297</t>
        </is>
      </c>
      <c r="M486" s="12" t="inlineStr">
        <is>
          <t>First Class</t>
        </is>
      </c>
      <c r="N486" s="12" t="n">
        <v>6</v>
      </c>
      <c r="O486" s="12" t="n">
        <v>3641.22</v>
      </c>
      <c r="P486" s="12" t="n">
        <v>0.25</v>
      </c>
      <c r="Q486" s="12" t="n">
        <v>16385.49</v>
      </c>
      <c r="R486" s="12" t="n">
        <v>13679.24</v>
      </c>
      <c r="S486" s="12" t="n">
        <v>2706.25</v>
      </c>
      <c r="T486" s="12" t="inlineStr">
        <is>
          <t>Paid</t>
        </is>
      </c>
      <c r="U486" s="12" t="inlineStr">
        <is>
          <t>Completed</t>
        </is>
      </c>
      <c r="V486">
        <f>IF(OR(P486="",P486&lt;0,P486&gt;0.5),0,P486)</f>
        <v/>
      </c>
      <c r="W486">
        <f>N486*O486*(1-V486)</f>
        <v/>
      </c>
      <c r="X486">
        <f>W486-R486</f>
        <v/>
      </c>
      <c r="Y486">
        <f>IF(W486=0,0,X486/W486)</f>
        <v/>
      </c>
      <c r="Z486">
        <f>C486-B486</f>
        <v/>
      </c>
      <c r="AA486">
        <f>TEXT(B486,"mmmm")</f>
        <v/>
      </c>
      <c r="AB486">
        <f>YEAR(B486)</f>
        <v/>
      </c>
      <c r="AC486">
        <f>IF(OR(P486&lt;0,P486&gt;0.5,C486&lt;B486),"INVALID","CLEAN")</f>
        <v/>
      </c>
    </row>
    <row r="487">
      <c r="A487" s="12" t="inlineStr">
        <is>
          <t>ORD-2025-10486</t>
        </is>
      </c>
      <c r="B487" s="12" t="inlineStr">
        <is>
          <t>2025-01-22</t>
        </is>
      </c>
      <c r="C487" s="12" t="inlineStr">
        <is>
          <t>23 Jan 2025</t>
        </is>
      </c>
      <c r="D487" s="12" t="inlineStr">
        <is>
          <t>CUST-1594</t>
        </is>
      </c>
      <c r="E487" s="12" t="inlineStr">
        <is>
          <t>Rahul Verma</t>
        </is>
      </c>
      <c r="F487" s="12" t="inlineStr">
        <is>
          <t>Corporate</t>
        </is>
      </c>
      <c r="G487" s="12" t="inlineStr">
        <is>
          <t>West</t>
        </is>
      </c>
      <c r="H487" s="12" t="inlineStr">
        <is>
          <t>Goa</t>
        </is>
      </c>
      <c r="I487" s="12" t="inlineStr">
        <is>
          <t>Panaji</t>
        </is>
      </c>
      <c r="J487" s="12" t="inlineStr">
        <is>
          <t>Furniture</t>
        </is>
      </c>
      <c r="K487" s="12" t="inlineStr">
        <is>
          <t>Bookcases</t>
        </is>
      </c>
      <c r="L487" s="12" t="inlineStr">
        <is>
          <t>Elite Bookcases 802</t>
        </is>
      </c>
      <c r="M487" s="12" t="inlineStr">
        <is>
          <t>Standard Class</t>
        </is>
      </c>
      <c r="N487" s="12" t="n">
        <v>4</v>
      </c>
      <c r="O487" s="12" t="n">
        <v>2555.19</v>
      </c>
      <c r="P487" s="12" t="n">
        <v>0.25</v>
      </c>
      <c r="Q487" s="12" t="n">
        <v>7665.57</v>
      </c>
      <c r="R487" s="12" t="n">
        <v>5595.6</v>
      </c>
      <c r="S487" s="12" t="n">
        <v>2069.97</v>
      </c>
      <c r="T487" s="12" t="inlineStr">
        <is>
          <t>Paid</t>
        </is>
      </c>
      <c r="U487" s="12" t="inlineStr">
        <is>
          <t>Completed</t>
        </is>
      </c>
      <c r="V487">
        <f>IF(OR(P487="",P487&lt;0,P487&gt;0.5),0,P487)</f>
        <v/>
      </c>
      <c r="W487">
        <f>N487*O487*(1-V487)</f>
        <v/>
      </c>
      <c r="X487">
        <f>W487-R487</f>
        <v/>
      </c>
      <c r="Y487">
        <f>IF(W487=0,0,X487/W487)</f>
        <v/>
      </c>
      <c r="Z487">
        <f>C487-B487</f>
        <v/>
      </c>
      <c r="AA487">
        <f>TEXT(B487,"mmmm")</f>
        <v/>
      </c>
      <c r="AB487">
        <f>YEAR(B487)</f>
        <v/>
      </c>
      <c r="AC487">
        <f>IF(OR(P487&lt;0,P487&gt;0.5,C487&lt;B487),"INVALID","CLEAN")</f>
        <v/>
      </c>
    </row>
    <row r="488">
      <c r="A488" s="12" t="inlineStr">
        <is>
          <t>ORD-2025-10487</t>
        </is>
      </c>
      <c r="B488" s="12" t="inlineStr">
        <is>
          <t>22-06-2025</t>
        </is>
      </c>
      <c r="C488" s="12" t="inlineStr">
        <is>
          <t>06/26/2025</t>
        </is>
      </c>
      <c r="D488" s="12" t="inlineStr">
        <is>
          <t>CUST-8132</t>
        </is>
      </c>
      <c r="E488" s="12" t="inlineStr">
        <is>
          <t>Rahul Verma</t>
        </is>
      </c>
      <c r="F488" s="12" t="inlineStr">
        <is>
          <t>Corporate</t>
        </is>
      </c>
      <c r="G488" s="12" t="inlineStr">
        <is>
          <t>West</t>
        </is>
      </c>
      <c r="H488" s="12" t="inlineStr">
        <is>
          <t>Goa</t>
        </is>
      </c>
      <c r="I488" s="12" t="inlineStr">
        <is>
          <t>Panaji</t>
        </is>
      </c>
      <c r="J488" s="12" t="inlineStr">
        <is>
          <t>Furniture</t>
        </is>
      </c>
      <c r="K488" s="12" t="inlineStr">
        <is>
          <t>Tables</t>
        </is>
      </c>
      <c r="L488" s="12" t="inlineStr">
        <is>
          <t>Pro Tables 257</t>
        </is>
      </c>
      <c r="M488" s="12" t="inlineStr">
        <is>
          <t>Standard Class</t>
        </is>
      </c>
      <c r="N488" s="12" t="n">
        <v>3</v>
      </c>
      <c r="O488" s="12" t="n">
        <v>1946.18</v>
      </c>
      <c r="P488" s="12" t="n">
        <v>0.2</v>
      </c>
      <c r="Q488" s="12" t="n">
        <v>4670.83</v>
      </c>
      <c r="R488" s="12" t="n">
        <v>3166.49</v>
      </c>
      <c r="S488" s="12" t="n">
        <v>1504.34</v>
      </c>
      <c r="T488" s="12" t="inlineStr">
        <is>
          <t>Paid</t>
        </is>
      </c>
      <c r="U488" s="12" t="inlineStr">
        <is>
          <t>Completed</t>
        </is>
      </c>
      <c r="V488">
        <f>IF(OR(P488="",P488&lt;0,P488&gt;0.5),0,P488)</f>
        <v/>
      </c>
      <c r="W488">
        <f>N488*O488*(1-V488)</f>
        <v/>
      </c>
      <c r="X488">
        <f>W488-R488</f>
        <v/>
      </c>
      <c r="Y488">
        <f>IF(W488=0,0,X488/W488)</f>
        <v/>
      </c>
      <c r="Z488">
        <f>C488-B488</f>
        <v/>
      </c>
      <c r="AA488">
        <f>TEXT(B488,"mmmm")</f>
        <v/>
      </c>
      <c r="AB488">
        <f>YEAR(B488)</f>
        <v/>
      </c>
      <c r="AC488">
        <f>IF(OR(P488&lt;0,P488&gt;0.5,C488&lt;B488),"INVALID","CLEAN")</f>
        <v/>
      </c>
    </row>
    <row r="489">
      <c r="A489" s="12" t="inlineStr">
        <is>
          <t>ORD-2025-10488</t>
        </is>
      </c>
      <c r="B489" s="12" t="inlineStr">
        <is>
          <t>10 Jun 2025</t>
        </is>
      </c>
      <c r="C489" s="12" t="inlineStr">
        <is>
          <t>06/17/2025</t>
        </is>
      </c>
      <c r="D489" s="12" t="inlineStr">
        <is>
          <t>CUST-7685</t>
        </is>
      </c>
      <c r="E489" s="12" t="inlineStr">
        <is>
          <t>Rahul Verma</t>
        </is>
      </c>
      <c r="F489" s="12" t="inlineStr">
        <is>
          <t>Corporate</t>
        </is>
      </c>
      <c r="G489" s="12" t="inlineStr">
        <is>
          <t>South</t>
        </is>
      </c>
      <c r="H489" s="12" t="inlineStr">
        <is>
          <t>Telangana</t>
        </is>
      </c>
      <c r="I489" s="12" t="inlineStr">
        <is>
          <t>Hyderabad</t>
        </is>
      </c>
      <c r="J489" s="12" t="inlineStr">
        <is>
          <t>Furniture</t>
        </is>
      </c>
      <c r="K489" s="12" t="inlineStr">
        <is>
          <t>Furnishings</t>
        </is>
      </c>
      <c r="L489" s="12" t="inlineStr">
        <is>
          <t>Prime Furnishings 299</t>
        </is>
      </c>
      <c r="M489" s="12" t="inlineStr">
        <is>
          <t>Standard Class</t>
        </is>
      </c>
      <c r="N489" s="12" t="n">
        <v>5</v>
      </c>
      <c r="O489" s="12" t="n">
        <v>1231.1</v>
      </c>
      <c r="P489" s="12" t="n">
        <v>0</v>
      </c>
      <c r="Q489" s="12" t="n">
        <v>6155.5</v>
      </c>
      <c r="R489" s="12" t="n">
        <v>4282.09</v>
      </c>
      <c r="S489" s="12" t="n">
        <v>1873.41</v>
      </c>
      <c r="T489" s="12" t="inlineStr">
        <is>
          <t>Refunded</t>
        </is>
      </c>
      <c r="U489" s="12" t="inlineStr">
        <is>
          <t>Returned</t>
        </is>
      </c>
      <c r="V489">
        <f>IF(OR(P489="",P489&lt;0,P489&gt;0.5),0,P489)</f>
        <v/>
      </c>
      <c r="W489">
        <f>N489*O489*(1-V489)</f>
        <v/>
      </c>
      <c r="X489">
        <f>W489-R489</f>
        <v/>
      </c>
      <c r="Y489">
        <f>IF(W489=0,0,X489/W489)</f>
        <v/>
      </c>
      <c r="Z489">
        <f>C489-B489</f>
        <v/>
      </c>
      <c r="AA489">
        <f>TEXT(B489,"mmmm")</f>
        <v/>
      </c>
      <c r="AB489">
        <f>YEAR(B489)</f>
        <v/>
      </c>
      <c r="AC489">
        <f>IF(OR(P489&lt;0,P489&gt;0.5,C489&lt;B489),"INVALID","CLEAN")</f>
        <v/>
      </c>
    </row>
    <row r="490">
      <c r="A490" s="12" t="inlineStr">
        <is>
          <t>ORD-2024-10489</t>
        </is>
      </c>
      <c r="B490" s="12" t="inlineStr">
        <is>
          <t>14 Oct 2024</t>
        </is>
      </c>
      <c r="C490" s="12" t="inlineStr">
        <is>
          <t>2024-10-20</t>
        </is>
      </c>
      <c r="D490" s="12" t="inlineStr">
        <is>
          <t>CUST-2183</t>
        </is>
      </c>
      <c r="E490" s="12" t="inlineStr">
        <is>
          <t>Aditi Sen</t>
        </is>
      </c>
      <c r="F490" s="12" t="inlineStr">
        <is>
          <t>Small Business</t>
        </is>
      </c>
      <c r="G490" s="12" t="inlineStr">
        <is>
          <t xml:space="preserve">North </t>
        </is>
      </c>
      <c r="H490" s="12" t="inlineStr">
        <is>
          <t>Rajasthan</t>
        </is>
      </c>
      <c r="I490" s="12" t="inlineStr">
        <is>
          <t>Jaipur</t>
        </is>
      </c>
      <c r="J490" s="12" t="inlineStr">
        <is>
          <t>Furniture</t>
        </is>
      </c>
      <c r="K490" s="12" t="inlineStr">
        <is>
          <t>Tables</t>
        </is>
      </c>
      <c r="L490" s="12" t="inlineStr">
        <is>
          <t>Eco Tables 487</t>
        </is>
      </c>
      <c r="M490" s="12" t="inlineStr">
        <is>
          <t>Same Day</t>
        </is>
      </c>
      <c r="N490" s="12" t="n">
        <v>7</v>
      </c>
      <c r="O490" s="12" t="n">
        <v>1547.6</v>
      </c>
      <c r="P490" s="12" t="n">
        <v>0.2</v>
      </c>
      <c r="Q490" s="12" t="n">
        <v>8666.559999999999</v>
      </c>
      <c r="R490" s="12" t="n">
        <v>5967.44</v>
      </c>
      <c r="S490" s="12" t="n">
        <v>2699.12</v>
      </c>
      <c r="T490" s="12" t="inlineStr">
        <is>
          <t>Paid</t>
        </is>
      </c>
      <c r="U490" s="12" t="inlineStr">
        <is>
          <t>Completed</t>
        </is>
      </c>
      <c r="V490">
        <f>IF(OR(P490="",P490&lt;0,P490&gt;0.5),0,P490)</f>
        <v/>
      </c>
      <c r="W490">
        <f>N490*O490*(1-V490)</f>
        <v/>
      </c>
      <c r="X490">
        <f>W490-R490</f>
        <v/>
      </c>
      <c r="Y490">
        <f>IF(W490=0,0,X490/W490)</f>
        <v/>
      </c>
      <c r="Z490">
        <f>C490-B490</f>
        <v/>
      </c>
      <c r="AA490">
        <f>TEXT(B490,"mmmm")</f>
        <v/>
      </c>
      <c r="AB490">
        <f>YEAR(B490)</f>
        <v/>
      </c>
      <c r="AC490">
        <f>IF(OR(P490&lt;0,P490&gt;0.5,C490&lt;B490),"INVALID","CLEAN")</f>
        <v/>
      </c>
    </row>
    <row r="491">
      <c r="A491" s="12" t="inlineStr">
        <is>
          <t>ORD-2024-10490</t>
        </is>
      </c>
      <c r="B491" s="12" t="inlineStr">
        <is>
          <t>2024-02-07</t>
        </is>
      </c>
      <c r="C491" s="12" t="inlineStr">
        <is>
          <t>2024-02-12</t>
        </is>
      </c>
      <c r="D491" s="12" t="inlineStr">
        <is>
          <t>CUST-1636</t>
        </is>
      </c>
      <c r="E491" s="12" t="inlineStr">
        <is>
          <t>Arjun Bose</t>
        </is>
      </c>
      <c r="F491" s="12" t="inlineStr">
        <is>
          <t>Home Office</t>
        </is>
      </c>
      <c r="G491" s="12" t="inlineStr">
        <is>
          <t>East</t>
        </is>
      </c>
      <c r="H491" s="12" t="inlineStr">
        <is>
          <t>West Bengal</t>
        </is>
      </c>
      <c r="I491" s="12" t="inlineStr">
        <is>
          <t>Kolkata</t>
        </is>
      </c>
      <c r="J491" s="12" t="inlineStr">
        <is>
          <t>Technology</t>
        </is>
      </c>
      <c r="K491" s="12" t="inlineStr">
        <is>
          <t>Accessories</t>
        </is>
      </c>
      <c r="L491" s="12" t="inlineStr">
        <is>
          <t>Prime Accessories 960</t>
        </is>
      </c>
      <c r="M491" s="12" t="inlineStr">
        <is>
          <t>Second Class</t>
        </is>
      </c>
      <c r="N491" s="12" t="n">
        <v>1</v>
      </c>
      <c r="O491" s="12" t="n">
        <v>452.19</v>
      </c>
      <c r="P491" s="12" t="n">
        <v>0.2</v>
      </c>
      <c r="Q491" s="12" t="n">
        <v>361.75</v>
      </c>
      <c r="R491" s="12" t="n">
        <v>262.53</v>
      </c>
      <c r="S491" s="12" t="n">
        <v>99.22</v>
      </c>
      <c r="T491" s="12" t="inlineStr">
        <is>
          <t>Paid</t>
        </is>
      </c>
      <c r="U491" s="12" t="inlineStr">
        <is>
          <t>Completed</t>
        </is>
      </c>
      <c r="V491">
        <f>IF(OR(P491="",P491&lt;0,P491&gt;0.5),0,P491)</f>
        <v/>
      </c>
      <c r="W491">
        <f>N491*O491*(1-V491)</f>
        <v/>
      </c>
      <c r="X491">
        <f>W491-R491</f>
        <v/>
      </c>
      <c r="Y491">
        <f>IF(W491=0,0,X491/W491)</f>
        <v/>
      </c>
      <c r="Z491">
        <f>C491-B491</f>
        <v/>
      </c>
      <c r="AA491">
        <f>TEXT(B491,"mmmm")</f>
        <v/>
      </c>
      <c r="AB491">
        <f>YEAR(B491)</f>
        <v/>
      </c>
      <c r="AC491">
        <f>IF(OR(P491&lt;0,P491&gt;0.5,C491&lt;B491),"INVALID","CLEAN")</f>
        <v/>
      </c>
    </row>
    <row r="492">
      <c r="A492" s="12" t="inlineStr">
        <is>
          <t>ORD-2024-10491</t>
        </is>
      </c>
      <c r="B492" s="12" t="inlineStr">
        <is>
          <t>2024-09-16</t>
        </is>
      </c>
      <c r="C492" s="12" t="inlineStr">
        <is>
          <t>09/19/2024</t>
        </is>
      </c>
      <c r="D492" s="12" t="inlineStr">
        <is>
          <t>CUST-1350</t>
        </is>
      </c>
      <c r="E492" s="12" t="inlineStr">
        <is>
          <t>Aditi Sen</t>
        </is>
      </c>
      <c r="F492" s="12" t="inlineStr">
        <is>
          <t>Consumer</t>
        </is>
      </c>
      <c r="G492" s="12" t="inlineStr">
        <is>
          <t>West</t>
        </is>
      </c>
      <c r="H492" s="12" t="inlineStr">
        <is>
          <t>Rajasthan</t>
        </is>
      </c>
      <c r="I492" s="12" t="inlineStr">
        <is>
          <t>Udaipur</t>
        </is>
      </c>
      <c r="J492" s="12" t="inlineStr">
        <is>
          <t>Office Supplies</t>
        </is>
      </c>
      <c r="K492" s="12" t="inlineStr">
        <is>
          <t>Binders</t>
        </is>
      </c>
      <c r="L492" s="12" t="inlineStr">
        <is>
          <t>Smart Binders 191</t>
        </is>
      </c>
      <c r="M492" s="12" t="inlineStr">
        <is>
          <t>First Class</t>
        </is>
      </c>
      <c r="N492" s="12" t="n">
        <v>7</v>
      </c>
      <c r="O492" s="12" t="n">
        <v>406.42</v>
      </c>
      <c r="P492" s="12" t="n">
        <v>0.15</v>
      </c>
      <c r="Q492" s="12" t="n">
        <v>2418.2</v>
      </c>
      <c r="R492" s="12" t="n">
        <v>1613.82</v>
      </c>
      <c r="S492" s="12" t="n">
        <v>804.38</v>
      </c>
      <c r="T492" s="12" t="inlineStr">
        <is>
          <t>Paid</t>
        </is>
      </c>
      <c r="U492" s="12" t="inlineStr">
        <is>
          <t>Completed</t>
        </is>
      </c>
      <c r="V492">
        <f>IF(OR(P492="",P492&lt;0,P492&gt;0.5),0,P492)</f>
        <v/>
      </c>
      <c r="W492">
        <f>N492*O492*(1-V492)</f>
        <v/>
      </c>
      <c r="X492">
        <f>W492-R492</f>
        <v/>
      </c>
      <c r="Y492">
        <f>IF(W492=0,0,X492/W492)</f>
        <v/>
      </c>
      <c r="Z492">
        <f>C492-B492</f>
        <v/>
      </c>
      <c r="AA492">
        <f>TEXT(B492,"mmmm")</f>
        <v/>
      </c>
      <c r="AB492">
        <f>YEAR(B492)</f>
        <v/>
      </c>
      <c r="AC492">
        <f>IF(OR(P492&lt;0,P492&gt;0.5,C492&lt;B492),"INVALID","CLEAN")</f>
        <v/>
      </c>
    </row>
    <row r="493">
      <c r="A493" s="12" t="inlineStr">
        <is>
          <t>ORD-2025-10492</t>
        </is>
      </c>
      <c r="B493" s="12" t="inlineStr">
        <is>
          <t>2025-04-29</t>
        </is>
      </c>
      <c r="C493" s="12" t="inlineStr">
        <is>
          <t>30-04-2025</t>
        </is>
      </c>
      <c r="D493" s="12" t="inlineStr">
        <is>
          <t>CUST-4101</t>
        </is>
      </c>
      <c r="E493" s="12" t="inlineStr">
        <is>
          <t>Mira Das</t>
        </is>
      </c>
      <c r="F493" s="12" t="inlineStr">
        <is>
          <t>Corporate</t>
        </is>
      </c>
      <c r="G493" s="12" t="inlineStr">
        <is>
          <t>South</t>
        </is>
      </c>
      <c r="H493" s="12" t="inlineStr">
        <is>
          <t>Kerala</t>
        </is>
      </c>
      <c r="I493" s="12" t="inlineStr">
        <is>
          <t>Kochi</t>
        </is>
      </c>
      <c r="J493" s="12" t="inlineStr">
        <is>
          <t>Technology</t>
        </is>
      </c>
      <c r="K493" s="12" t="inlineStr">
        <is>
          <t>Accessories</t>
        </is>
      </c>
      <c r="L493" s="12" t="inlineStr">
        <is>
          <t>Prime Accessories 118</t>
        </is>
      </c>
      <c r="M493" s="12" t="inlineStr">
        <is>
          <t>Standard Class</t>
        </is>
      </c>
      <c r="N493" s="12" t="n">
        <v>4</v>
      </c>
      <c r="O493" s="12" t="n">
        <v>606.58</v>
      </c>
      <c r="P493" s="12" t="n">
        <v>0.2</v>
      </c>
      <c r="Q493" s="12" t="n">
        <v>1941.06</v>
      </c>
      <c r="R493" s="12" t="n">
        <v>1207.42</v>
      </c>
      <c r="S493" s="12" t="n">
        <v>733.64</v>
      </c>
      <c r="T493" s="12" t="inlineStr">
        <is>
          <t>Paid</t>
        </is>
      </c>
      <c r="U493" s="12" t="inlineStr">
        <is>
          <t>Completed</t>
        </is>
      </c>
      <c r="V493">
        <f>IF(OR(P493="",P493&lt;0,P493&gt;0.5),0,P493)</f>
        <v/>
      </c>
      <c r="W493">
        <f>N493*O493*(1-V493)</f>
        <v/>
      </c>
      <c r="X493">
        <f>W493-R493</f>
        <v/>
      </c>
      <c r="Y493">
        <f>IF(W493=0,0,X493/W493)</f>
        <v/>
      </c>
      <c r="Z493">
        <f>C493-B493</f>
        <v/>
      </c>
      <c r="AA493">
        <f>TEXT(B493,"mmmm")</f>
        <v/>
      </c>
      <c r="AB493">
        <f>YEAR(B493)</f>
        <v/>
      </c>
      <c r="AC493">
        <f>IF(OR(P493&lt;0,P493&gt;0.5,C493&lt;B493),"INVALID","CLEAN")</f>
        <v/>
      </c>
    </row>
    <row r="494">
      <c r="A494" s="12" t="inlineStr">
        <is>
          <t>ORD-2025-10493</t>
        </is>
      </c>
      <c r="B494" s="12" t="inlineStr">
        <is>
          <t>28-06-2025</t>
        </is>
      </c>
      <c r="C494" s="12" t="inlineStr">
        <is>
          <t>07/02/2025</t>
        </is>
      </c>
      <c r="D494" s="12" t="inlineStr">
        <is>
          <t>CUST-4679</t>
        </is>
      </c>
      <c r="E494" s="12" t="inlineStr">
        <is>
          <t>Ananya Rao</t>
        </is>
      </c>
      <c r="F494" s="12" t="inlineStr">
        <is>
          <t>Corporate</t>
        </is>
      </c>
      <c r="G494" s="12" t="inlineStr">
        <is>
          <t>South</t>
        </is>
      </c>
      <c r="H494" s="12" t="inlineStr">
        <is>
          <t>Andhra Pradesh</t>
        </is>
      </c>
      <c r="I494" s="12" t="inlineStr">
        <is>
          <t>Vijayawada</t>
        </is>
      </c>
      <c r="J494" s="12" t="inlineStr">
        <is>
          <t>Office Supplies</t>
        </is>
      </c>
      <c r="K494" s="12" t="inlineStr">
        <is>
          <t>Storage</t>
        </is>
      </c>
      <c r="L494" s="12" t="inlineStr">
        <is>
          <t>Elite Storage 331</t>
        </is>
      </c>
      <c r="M494" s="12" t="inlineStr">
        <is>
          <t>Second Class</t>
        </is>
      </c>
      <c r="N494" s="12" t="n">
        <v>2</v>
      </c>
      <c r="O494" s="12" t="n">
        <v>2725.44</v>
      </c>
      <c r="P494" s="12" t="n">
        <v>0.25</v>
      </c>
      <c r="Q494" s="12" t="n">
        <v>4088.16</v>
      </c>
      <c r="R494" s="12" t="n">
        <v>3205.68</v>
      </c>
      <c r="S494" s="12" t="n">
        <v>882.48</v>
      </c>
      <c r="T494" s="12" t="inlineStr">
        <is>
          <t>Paid</t>
        </is>
      </c>
      <c r="U494" s="12" t="inlineStr">
        <is>
          <t>Completed</t>
        </is>
      </c>
      <c r="V494">
        <f>IF(OR(P494="",P494&lt;0,P494&gt;0.5),0,P494)</f>
        <v/>
      </c>
      <c r="W494">
        <f>N494*O494*(1-V494)</f>
        <v/>
      </c>
      <c r="X494">
        <f>W494-R494</f>
        <v/>
      </c>
      <c r="Y494">
        <f>IF(W494=0,0,X494/W494)</f>
        <v/>
      </c>
      <c r="Z494">
        <f>C494-B494</f>
        <v/>
      </c>
      <c r="AA494">
        <f>TEXT(B494,"mmmm")</f>
        <v/>
      </c>
      <c r="AB494">
        <f>YEAR(B494)</f>
        <v/>
      </c>
      <c r="AC494">
        <f>IF(OR(P494&lt;0,P494&gt;0.5,C494&lt;B494),"INVALID","CLEAN")</f>
        <v/>
      </c>
    </row>
    <row r="495">
      <c r="A495" s="12" t="inlineStr">
        <is>
          <t>ORD-2025-10494</t>
        </is>
      </c>
      <c r="B495" s="12" t="inlineStr">
        <is>
          <t>13 Feb 2025</t>
        </is>
      </c>
      <c r="C495" s="12" t="inlineStr">
        <is>
          <t>2025-02-13</t>
        </is>
      </c>
      <c r="D495" s="12" t="inlineStr">
        <is>
          <t>CUST-3765</t>
        </is>
      </c>
      <c r="E495" s="12" t="inlineStr">
        <is>
          <t>Kabir Singh</t>
        </is>
      </c>
      <c r="F495" s="12" t="inlineStr">
        <is>
          <t>Corporate</t>
        </is>
      </c>
      <c r="G495" s="12" t="inlineStr">
        <is>
          <t>East</t>
        </is>
      </c>
      <c r="H495" s="12" t="inlineStr">
        <is>
          <t>Odisha</t>
        </is>
      </c>
      <c r="I495" s="12" t="inlineStr">
        <is>
          <t>Bhubaneswar</t>
        </is>
      </c>
      <c r="J495" s="12" t="inlineStr">
        <is>
          <t>Office Supplies</t>
        </is>
      </c>
      <c r="K495" s="12" t="inlineStr">
        <is>
          <t>Paper</t>
        </is>
      </c>
      <c r="L495" s="12" t="inlineStr">
        <is>
          <t>Prime Paper 996</t>
        </is>
      </c>
      <c r="M495" s="12" t="inlineStr">
        <is>
          <t>Second Class</t>
        </is>
      </c>
      <c r="N495" s="12" t="n">
        <v>7</v>
      </c>
      <c r="O495" s="12" t="n">
        <v>2296.7</v>
      </c>
      <c r="P495" s="12" t="n">
        <v>0.05</v>
      </c>
      <c r="Q495" s="12" t="n">
        <v>15273.05</v>
      </c>
      <c r="R495" s="12" t="n">
        <v>11088.76</v>
      </c>
      <c r="S495" s="12" t="n">
        <v>4184.29</v>
      </c>
      <c r="T495" s="12" t="inlineStr">
        <is>
          <t>Paid</t>
        </is>
      </c>
      <c r="U495" s="12" t="inlineStr">
        <is>
          <t>COMPLETED</t>
        </is>
      </c>
      <c r="V495">
        <f>IF(OR(P495="",P495&lt;0,P495&gt;0.5),0,P495)</f>
        <v/>
      </c>
      <c r="W495">
        <f>N495*O495*(1-V495)</f>
        <v/>
      </c>
      <c r="X495">
        <f>W495-R495</f>
        <v/>
      </c>
      <c r="Y495">
        <f>IF(W495=0,0,X495/W495)</f>
        <v/>
      </c>
      <c r="Z495">
        <f>C495-B495</f>
        <v/>
      </c>
      <c r="AA495">
        <f>TEXT(B495,"mmmm")</f>
        <v/>
      </c>
      <c r="AB495">
        <f>YEAR(B495)</f>
        <v/>
      </c>
      <c r="AC495">
        <f>IF(OR(P495&lt;0,P495&gt;0.5,C495&lt;B495),"INVALID","CLEAN")</f>
        <v/>
      </c>
    </row>
    <row r="496">
      <c r="A496" s="12" t="inlineStr">
        <is>
          <t>ORD-2024-10495</t>
        </is>
      </c>
      <c r="B496" s="12" t="inlineStr">
        <is>
          <t>2024-11-14</t>
        </is>
      </c>
      <c r="C496" s="12" t="inlineStr">
        <is>
          <t>2024-11-22</t>
        </is>
      </c>
      <c r="D496" s="12" t="inlineStr">
        <is>
          <t>CUST-9056</t>
        </is>
      </c>
      <c r="E496" s="12" t="inlineStr">
        <is>
          <t>Isha Nair</t>
        </is>
      </c>
      <c r="F496" s="12" t="inlineStr">
        <is>
          <t>Consumer</t>
        </is>
      </c>
      <c r="G496" s="12" t="inlineStr">
        <is>
          <t>West</t>
        </is>
      </c>
      <c r="H496" s="12" t="inlineStr">
        <is>
          <t>Madhya Pradesh</t>
        </is>
      </c>
      <c r="I496" s="12" t="inlineStr">
        <is>
          <t>Indore</t>
        </is>
      </c>
      <c r="J496" s="12" t="inlineStr">
        <is>
          <t>Technology</t>
        </is>
      </c>
      <c r="K496" s="12" t="inlineStr">
        <is>
          <t>Phones</t>
        </is>
      </c>
      <c r="L496" s="12" t="inlineStr">
        <is>
          <t>Smart Phones 125</t>
        </is>
      </c>
      <c r="M496" s="12" t="inlineStr">
        <is>
          <t>Standard Class</t>
        </is>
      </c>
      <c r="N496" s="12" t="n">
        <v>3</v>
      </c>
      <c r="O496" s="12" t="n">
        <v>671.6799999999999</v>
      </c>
      <c r="P496" s="12" t="n">
        <v>-0.13</v>
      </c>
      <c r="Q496" s="12" t="n">
        <v>1712.78</v>
      </c>
      <c r="R496" s="12" t="n">
        <v>1569.38</v>
      </c>
      <c r="S496" s="12" t="n">
        <v>360.66</v>
      </c>
      <c r="T496" s="12" t="inlineStr">
        <is>
          <t>Failed</t>
        </is>
      </c>
      <c r="U496" s="12" t="inlineStr">
        <is>
          <t>Cancelled</t>
        </is>
      </c>
      <c r="V496">
        <f>IF(OR(P496="",P496&lt;0,P496&gt;0.5),0,P496)</f>
        <v/>
      </c>
      <c r="W496">
        <f>N496*O496*(1-V496)</f>
        <v/>
      </c>
      <c r="X496">
        <f>W496-R496</f>
        <v/>
      </c>
      <c r="Y496">
        <f>IF(W496=0,0,X496/W496)</f>
        <v/>
      </c>
      <c r="Z496">
        <f>C496-B496</f>
        <v/>
      </c>
      <c r="AA496">
        <f>TEXT(B496,"mmmm")</f>
        <v/>
      </c>
      <c r="AB496">
        <f>YEAR(B496)</f>
        <v/>
      </c>
      <c r="AC496">
        <f>IF(OR(P496&lt;0,P496&gt;0.5,C496&lt;B496),"INVALID","CLEAN")</f>
        <v/>
      </c>
    </row>
    <row r="497">
      <c r="A497" s="12" t="inlineStr">
        <is>
          <t>ORD-2024-10496</t>
        </is>
      </c>
      <c r="B497" s="12" t="inlineStr">
        <is>
          <t>05/09/2024</t>
        </is>
      </c>
      <c r="C497" s="12" t="inlineStr">
        <is>
          <t>05/15/2024</t>
        </is>
      </c>
      <c r="D497" s="12" t="inlineStr">
        <is>
          <t>CUST-9801</t>
        </is>
      </c>
      <c r="E497" s="12" t="inlineStr">
        <is>
          <t>Mira Das</t>
        </is>
      </c>
      <c r="F497" s="12" t="inlineStr">
        <is>
          <t>Small Business</t>
        </is>
      </c>
      <c r="G497" s="12" t="inlineStr">
        <is>
          <t>East</t>
        </is>
      </c>
      <c r="H497" s="12" t="inlineStr">
        <is>
          <t>Assam</t>
        </is>
      </c>
      <c r="I497" s="12" t="inlineStr">
        <is>
          <t>Guwahati</t>
        </is>
      </c>
      <c r="J497" s="12" t="inlineStr">
        <is>
          <t>Technology</t>
        </is>
      </c>
      <c r="K497" s="12" t="inlineStr">
        <is>
          <t>Phones</t>
        </is>
      </c>
      <c r="L497" s="12" t="inlineStr">
        <is>
          <t>Eco Phones 220</t>
        </is>
      </c>
      <c r="M497" s="12" t="inlineStr">
        <is>
          <t>Second Class</t>
        </is>
      </c>
      <c r="N497" s="12" t="n">
        <v>4</v>
      </c>
      <c r="O497" s="12" t="n">
        <v>995.98</v>
      </c>
      <c r="P497" s="12" t="n">
        <v>0.05</v>
      </c>
      <c r="Q497" s="12" t="n">
        <v>3784.72</v>
      </c>
      <c r="R497" s="12" t="n">
        <v>2419.24</v>
      </c>
      <c r="S497" s="12" t="n">
        <v>1365.48</v>
      </c>
      <c r="T497" s="12" t="inlineStr">
        <is>
          <t>Refunded</t>
        </is>
      </c>
      <c r="U497" s="12" t="inlineStr">
        <is>
          <t>Returned</t>
        </is>
      </c>
      <c r="V497">
        <f>IF(OR(P497="",P497&lt;0,P497&gt;0.5),0,P497)</f>
        <v/>
      </c>
      <c r="W497">
        <f>N497*O497*(1-V497)</f>
        <v/>
      </c>
      <c r="X497">
        <f>W497-R497</f>
        <v/>
      </c>
      <c r="Y497">
        <f>IF(W497=0,0,X497/W497)</f>
        <v/>
      </c>
      <c r="Z497">
        <f>C497-B497</f>
        <v/>
      </c>
      <c r="AA497">
        <f>TEXT(B497,"mmmm")</f>
        <v/>
      </c>
      <c r="AB497">
        <f>YEAR(B497)</f>
        <v/>
      </c>
      <c r="AC497">
        <f>IF(OR(P497&lt;0,P497&gt;0.5,C497&lt;B497),"INVALID","CLEAN")</f>
        <v/>
      </c>
    </row>
    <row r="498">
      <c r="A498" s="12" t="inlineStr">
        <is>
          <t>ORD-2025-10497</t>
        </is>
      </c>
      <c r="B498" s="12" t="inlineStr">
        <is>
          <t>2025-07-04</t>
        </is>
      </c>
      <c r="C498" s="12" t="inlineStr">
        <is>
          <t>2025-07-06</t>
        </is>
      </c>
      <c r="D498" s="12" t="inlineStr">
        <is>
          <t>CUST-2038</t>
        </is>
      </c>
      <c r="E498" s="12" t="inlineStr">
        <is>
          <t>Kabir Singh</t>
        </is>
      </c>
      <c r="F498" s="12" t="inlineStr">
        <is>
          <t>Small Business</t>
        </is>
      </c>
      <c r="G498" s="12" t="inlineStr">
        <is>
          <t>East</t>
        </is>
      </c>
      <c r="H498" s="12" t="inlineStr">
        <is>
          <t>Jharkhand</t>
        </is>
      </c>
      <c r="I498" s="12" t="inlineStr">
        <is>
          <t>Ranchi</t>
        </is>
      </c>
      <c r="J498" s="12" t="inlineStr">
        <is>
          <t>Furniture</t>
        </is>
      </c>
      <c r="K498" s="12" t="inlineStr">
        <is>
          <t>Chairs</t>
        </is>
      </c>
      <c r="L498" s="12" t="inlineStr">
        <is>
          <t>Eco Chairs 795</t>
        </is>
      </c>
      <c r="M498" s="12" t="inlineStr">
        <is>
          <t>Second Class</t>
        </is>
      </c>
      <c r="N498" s="12" t="n">
        <v>2</v>
      </c>
      <c r="O498" s="12" t="n">
        <v>3686.42</v>
      </c>
      <c r="P498" s="12" t="n">
        <v>0.1</v>
      </c>
      <c r="Q498" s="12" t="n">
        <v>6635.56</v>
      </c>
      <c r="R498" s="12" t="n">
        <v>3652.91</v>
      </c>
      <c r="S498" s="12" t="n">
        <v>2982.65</v>
      </c>
      <c r="T498" s="12" t="inlineStr">
        <is>
          <t>Paid</t>
        </is>
      </c>
      <c r="U498" s="12" t="inlineStr">
        <is>
          <t>Completed</t>
        </is>
      </c>
      <c r="V498">
        <f>IF(OR(P498="",P498&lt;0,P498&gt;0.5),0,P498)</f>
        <v/>
      </c>
      <c r="W498">
        <f>N498*O498*(1-V498)</f>
        <v/>
      </c>
      <c r="X498">
        <f>W498-R498</f>
        <v/>
      </c>
      <c r="Y498">
        <f>IF(W498=0,0,X498/W498)</f>
        <v/>
      </c>
      <c r="Z498">
        <f>C498-B498</f>
        <v/>
      </c>
      <c r="AA498">
        <f>TEXT(B498,"mmmm")</f>
        <v/>
      </c>
      <c r="AB498">
        <f>YEAR(B498)</f>
        <v/>
      </c>
      <c r="AC498">
        <f>IF(OR(P498&lt;0,P498&gt;0.5,C498&lt;B498),"INVALID","CLEAN")</f>
        <v/>
      </c>
    </row>
    <row r="499">
      <c r="A499" s="12" t="inlineStr">
        <is>
          <t>ORD-2024-10498</t>
        </is>
      </c>
      <c r="B499" s="12" t="inlineStr">
        <is>
          <t>29 Aug 2024</t>
        </is>
      </c>
      <c r="C499" s="12" t="inlineStr">
        <is>
          <t>29 Aug 2024</t>
        </is>
      </c>
      <c r="D499" s="12" t="inlineStr">
        <is>
          <t>CUST-1567</t>
        </is>
      </c>
      <c r="E499" s="12" t="inlineStr">
        <is>
          <t>Sneha Kapoor</t>
        </is>
      </c>
      <c r="F499" s="12" t="inlineStr">
        <is>
          <t>Small Business</t>
        </is>
      </c>
      <c r="G499" s="12" t="inlineStr">
        <is>
          <t>NORTH</t>
        </is>
      </c>
      <c r="H499" s="12" t="inlineStr">
        <is>
          <t>Uttar Pradesh</t>
        </is>
      </c>
      <c r="I499" s="12" t="inlineStr">
        <is>
          <t>Noida</t>
        </is>
      </c>
      <c r="J499" s="12" t="inlineStr">
        <is>
          <t>Technology</t>
        </is>
      </c>
      <c r="K499" s="12" t="inlineStr">
        <is>
          <t>Accessories</t>
        </is>
      </c>
      <c r="L499" s="12" t="inlineStr">
        <is>
          <t>Smart Accessories 896</t>
        </is>
      </c>
      <c r="M499" s="12" t="inlineStr">
        <is>
          <t>Second Class</t>
        </is>
      </c>
      <c r="N499" s="12" t="n">
        <v>1</v>
      </c>
      <c r="O499" s="12" t="n">
        <v>3106.88</v>
      </c>
      <c r="P499" s="12" t="n">
        <v>0.2</v>
      </c>
      <c r="Q499" s="12" t="n">
        <v>2485.5</v>
      </c>
      <c r="R499" s="12" t="n">
        <v>2028.43</v>
      </c>
      <c r="S499" s="12" t="n">
        <v>457.07</v>
      </c>
      <c r="T499" s="12" t="inlineStr">
        <is>
          <t>Paid</t>
        </is>
      </c>
      <c r="U499" s="12" t="inlineStr">
        <is>
          <t>Cancelled</t>
        </is>
      </c>
      <c r="V499">
        <f>IF(OR(P499="",P499&lt;0,P499&gt;0.5),0,P499)</f>
        <v/>
      </c>
      <c r="W499">
        <f>N499*O499*(1-V499)</f>
        <v/>
      </c>
      <c r="X499">
        <f>W499-R499</f>
        <v/>
      </c>
      <c r="Y499">
        <f>IF(W499=0,0,X499/W499)</f>
        <v/>
      </c>
      <c r="Z499">
        <f>C499-B499</f>
        <v/>
      </c>
      <c r="AA499">
        <f>TEXT(B499,"mmmm")</f>
        <v/>
      </c>
      <c r="AB499">
        <f>YEAR(B499)</f>
        <v/>
      </c>
      <c r="AC499">
        <f>IF(OR(P499&lt;0,P499&gt;0.5,C499&lt;B499),"INVALID","CLEAN")</f>
        <v/>
      </c>
    </row>
    <row r="500">
      <c r="A500" s="12" t="inlineStr">
        <is>
          <t>ORD-2025-10499</t>
        </is>
      </c>
      <c r="B500" s="12" t="inlineStr">
        <is>
          <t>2025-09-07</t>
        </is>
      </c>
      <c r="C500" s="12" t="inlineStr">
        <is>
          <t>10 Sep 2025</t>
        </is>
      </c>
      <c r="D500" s="12" t="inlineStr">
        <is>
          <t>CUST-1190</t>
        </is>
      </c>
      <c r="E500" s="12" t="inlineStr">
        <is>
          <t>Karan Malhotra</t>
        </is>
      </c>
      <c r="F500" s="12" t="inlineStr">
        <is>
          <t>Consumer</t>
        </is>
      </c>
      <c r="G500" s="12" t="inlineStr">
        <is>
          <t>North</t>
        </is>
      </c>
      <c r="H500" s="12" t="inlineStr">
        <is>
          <t>Punjab</t>
        </is>
      </c>
      <c r="I500" s="12" t="inlineStr">
        <is>
          <t>Ludhiana</t>
        </is>
      </c>
      <c r="J500" s="12" t="inlineStr">
        <is>
          <t>Furniture</t>
        </is>
      </c>
      <c r="K500" s="12" t="inlineStr">
        <is>
          <t>Chairs</t>
        </is>
      </c>
      <c r="L500" s="12" t="inlineStr">
        <is>
          <t>Basic Chairs 255</t>
        </is>
      </c>
      <c r="M500" s="12" t="inlineStr">
        <is>
          <t>Same Day</t>
        </is>
      </c>
      <c r="N500" s="12" t="n">
        <v>2</v>
      </c>
      <c r="O500" s="12" t="n">
        <v>447.55</v>
      </c>
      <c r="P500" s="12" t="n">
        <v>0.05</v>
      </c>
      <c r="Q500" s="12" t="n">
        <v>850.35</v>
      </c>
      <c r="R500" s="12" t="n">
        <v>600.98</v>
      </c>
      <c r="S500" s="12" t="n">
        <v>249.37</v>
      </c>
      <c r="T500" s="12" t="inlineStr">
        <is>
          <t>Refunded</t>
        </is>
      </c>
      <c r="U500" s="12" t="inlineStr">
        <is>
          <t>cancelled</t>
        </is>
      </c>
      <c r="V500">
        <f>IF(OR(P500="",P500&lt;0,P500&gt;0.5),0,P500)</f>
        <v/>
      </c>
      <c r="W500">
        <f>N500*O500*(1-V500)</f>
        <v/>
      </c>
      <c r="X500">
        <f>W500-R500</f>
        <v/>
      </c>
      <c r="Y500">
        <f>IF(W500=0,0,X500/W500)</f>
        <v/>
      </c>
      <c r="Z500">
        <f>C500-B500</f>
        <v/>
      </c>
      <c r="AA500">
        <f>TEXT(B500,"mmmm")</f>
        <v/>
      </c>
      <c r="AB500">
        <f>YEAR(B500)</f>
        <v/>
      </c>
      <c r="AC500">
        <f>IF(OR(P500&lt;0,P500&gt;0.5,C500&lt;B500),"INVALID","CLEAN")</f>
        <v/>
      </c>
    </row>
    <row r="501">
      <c r="A501" s="12" t="inlineStr">
        <is>
          <t>ORD-2024-10500</t>
        </is>
      </c>
      <c r="B501" s="12" t="inlineStr">
        <is>
          <t>2024-12-22</t>
        </is>
      </c>
      <c r="C501" s="12" t="inlineStr">
        <is>
          <t>26-12-2024</t>
        </is>
      </c>
      <c r="D501" s="12" t="inlineStr">
        <is>
          <t>CUST-5604</t>
        </is>
      </c>
      <c r="E501" s="12" t="inlineStr">
        <is>
          <t>Rahul Verma</t>
        </is>
      </c>
      <c r="F501" s="12" t="inlineStr">
        <is>
          <t>Home Office</t>
        </is>
      </c>
      <c r="G501" s="12" t="inlineStr">
        <is>
          <t>North</t>
        </is>
      </c>
      <c r="H501" s="12" t="inlineStr">
        <is>
          <t>Uttar Pradesh</t>
        </is>
      </c>
      <c r="I501" s="12" t="inlineStr">
        <is>
          <t>Noida</t>
        </is>
      </c>
      <c r="J501" s="12" t="inlineStr">
        <is>
          <t>Furniture</t>
        </is>
      </c>
      <c r="K501" s="12" t="inlineStr">
        <is>
          <t>Chairs</t>
        </is>
      </c>
      <c r="L501" s="12" t="inlineStr">
        <is>
          <t>Eco Chairs 210</t>
        </is>
      </c>
      <c r="M501" s="12" t="inlineStr">
        <is>
          <t>Standard Class</t>
        </is>
      </c>
      <c r="N501" s="12" t="n">
        <v>9</v>
      </c>
      <c r="O501" s="12" t="n">
        <v>1110.87</v>
      </c>
      <c r="P501" s="12" t="n"/>
      <c r="Q501" s="12" t="n">
        <v>7498.37</v>
      </c>
      <c r="R501" s="12" t="n">
        <v>6059.07</v>
      </c>
      <c r="S501" s="12" t="n">
        <v>1439.3</v>
      </c>
      <c r="T501" s="12" t="inlineStr">
        <is>
          <t>Paid</t>
        </is>
      </c>
      <c r="U501" s="12" t="inlineStr">
        <is>
          <t>Cancelled</t>
        </is>
      </c>
      <c r="V501">
        <f>IF(OR(P501="",P501&lt;0,P501&gt;0.5),0,P501)</f>
        <v/>
      </c>
      <c r="W501">
        <f>N501*O501*(1-V501)</f>
        <v/>
      </c>
      <c r="X501">
        <f>W501-R501</f>
        <v/>
      </c>
      <c r="Y501">
        <f>IF(W501=0,0,X501/W501)</f>
        <v/>
      </c>
      <c r="Z501">
        <f>C501-B501</f>
        <v/>
      </c>
      <c r="AA501">
        <f>TEXT(B501,"mmmm")</f>
        <v/>
      </c>
      <c r="AB501">
        <f>YEAR(B501)</f>
        <v/>
      </c>
      <c r="AC501">
        <f>IF(OR(P501&lt;0,P501&gt;0.5,C501&lt;B501),"INVALID","CLEAN")</f>
        <v/>
      </c>
    </row>
    <row r="502">
      <c r="A502" s="12" t="inlineStr">
        <is>
          <t>ORD-2024-10501</t>
        </is>
      </c>
      <c r="B502" s="12" t="inlineStr">
        <is>
          <t>05/17/2024</t>
        </is>
      </c>
      <c r="C502" s="12" t="inlineStr">
        <is>
          <t>05/22/2024</t>
        </is>
      </c>
      <c r="D502" s="12" t="inlineStr">
        <is>
          <t>CUST-7661</t>
        </is>
      </c>
      <c r="E502" s="12" t="inlineStr">
        <is>
          <t>Sneha Kapoor</t>
        </is>
      </c>
      <c r="F502" s="12" t="inlineStr">
        <is>
          <t>Consumer</t>
        </is>
      </c>
      <c r="G502" s="12" t="inlineStr">
        <is>
          <t>South</t>
        </is>
      </c>
      <c r="H502" s="12" t="inlineStr">
        <is>
          <t>Kerala</t>
        </is>
      </c>
      <c r="I502" s="12" t="inlineStr">
        <is>
          <t>Kochi</t>
        </is>
      </c>
      <c r="J502" s="12" t="inlineStr">
        <is>
          <t>Technology</t>
        </is>
      </c>
      <c r="K502" s="12" t="inlineStr">
        <is>
          <t>Phones</t>
        </is>
      </c>
      <c r="L502" s="12" t="inlineStr">
        <is>
          <t>Prime Phones 533</t>
        </is>
      </c>
      <c r="M502" s="12" t="inlineStr">
        <is>
          <t>Same Day</t>
        </is>
      </c>
      <c r="N502" s="12" t="n">
        <v>9</v>
      </c>
      <c r="O502" s="12" t="n">
        <v>3795.99</v>
      </c>
      <c r="P502" s="12" t="inlineStr">
        <is>
          <t>85%</t>
        </is>
      </c>
      <c r="Q502" s="12" t="n">
        <v>34163.91</v>
      </c>
      <c r="R502" s="12" t="n">
        <v>28577.15</v>
      </c>
      <c r="S502" s="12" t="n">
        <v>5586.76</v>
      </c>
      <c r="T502" s="12" t="inlineStr">
        <is>
          <t>Paid</t>
        </is>
      </c>
      <c r="U502" s="12" t="inlineStr">
        <is>
          <t>Completed</t>
        </is>
      </c>
      <c r="V502">
        <f>IF(OR(P502="",P502&lt;0,P502&gt;0.5),0,P502)</f>
        <v/>
      </c>
      <c r="W502">
        <f>N502*O502*(1-V502)</f>
        <v/>
      </c>
      <c r="X502">
        <f>W502-R502</f>
        <v/>
      </c>
      <c r="Y502">
        <f>IF(W502=0,0,X502/W502)</f>
        <v/>
      </c>
      <c r="Z502">
        <f>C502-B502</f>
        <v/>
      </c>
      <c r="AA502">
        <f>TEXT(B502,"mmmm")</f>
        <v/>
      </c>
      <c r="AB502">
        <f>YEAR(B502)</f>
        <v/>
      </c>
      <c r="AC502">
        <f>IF(OR(P502&lt;0,P502&gt;0.5,C502&lt;B502),"INVALID","CLEAN")</f>
        <v/>
      </c>
    </row>
    <row r="503">
      <c r="A503" s="12" t="inlineStr">
        <is>
          <t>ORD-2024-10502</t>
        </is>
      </c>
      <c r="B503" s="12" t="inlineStr">
        <is>
          <t>11 Aug 2024</t>
        </is>
      </c>
      <c r="C503" s="12" t="inlineStr">
        <is>
          <t>08/17/2024</t>
        </is>
      </c>
      <c r="D503" s="12" t="inlineStr">
        <is>
          <t>CUST-3710</t>
        </is>
      </c>
      <c r="E503" s="12" t="inlineStr">
        <is>
          <t>Neha Gupta</t>
        </is>
      </c>
      <c r="F503" s="12" t="inlineStr">
        <is>
          <t>Consumer</t>
        </is>
      </c>
      <c r="G503" s="12" t="inlineStr">
        <is>
          <t>East</t>
        </is>
      </c>
      <c r="H503" s="12" t="inlineStr">
        <is>
          <t>Jharkhand</t>
        </is>
      </c>
      <c r="I503" s="12" t="inlineStr">
        <is>
          <t>Ranchi</t>
        </is>
      </c>
      <c r="J503" s="12" t="inlineStr">
        <is>
          <t>Office Supplies</t>
        </is>
      </c>
      <c r="K503" s="12" t="inlineStr">
        <is>
          <t>Art</t>
        </is>
      </c>
      <c r="L503" s="12" t="inlineStr">
        <is>
          <t>Elite Art 325</t>
        </is>
      </c>
      <c r="M503" s="12" t="inlineStr">
        <is>
          <t>Second Class</t>
        </is>
      </c>
      <c r="N503" s="12" t="n">
        <v>6</v>
      </c>
      <c r="O503" s="12" t="n">
        <v>3497.54</v>
      </c>
      <c r="P503" s="12" t="n">
        <v>0.15</v>
      </c>
      <c r="Q503" s="12" t="n">
        <v>17837.45</v>
      </c>
      <c r="R503" s="12" t="n">
        <v>13627.02</v>
      </c>
      <c r="S503" s="12" t="n">
        <v>4210.43</v>
      </c>
      <c r="T503" s="12" t="inlineStr">
        <is>
          <t>Paid</t>
        </is>
      </c>
      <c r="U503" s="12" t="inlineStr">
        <is>
          <t>Completed</t>
        </is>
      </c>
      <c r="V503">
        <f>IF(OR(P503="",P503&lt;0,P503&gt;0.5),0,P503)</f>
        <v/>
      </c>
      <c r="W503">
        <f>N503*O503*(1-V503)</f>
        <v/>
      </c>
      <c r="X503">
        <f>W503-R503</f>
        <v/>
      </c>
      <c r="Y503">
        <f>IF(W503=0,0,X503/W503)</f>
        <v/>
      </c>
      <c r="Z503">
        <f>C503-B503</f>
        <v/>
      </c>
      <c r="AA503">
        <f>TEXT(B503,"mmmm")</f>
        <v/>
      </c>
      <c r="AB503">
        <f>YEAR(B503)</f>
        <v/>
      </c>
      <c r="AC503">
        <f>IF(OR(P503&lt;0,P503&gt;0.5,C503&lt;B503),"INVALID","CLEAN")</f>
        <v/>
      </c>
    </row>
    <row r="504">
      <c r="A504" s="12" t="inlineStr">
        <is>
          <t>ORD-2024-10503</t>
        </is>
      </c>
      <c r="B504" s="12" t="inlineStr">
        <is>
          <t>04/01/2024</t>
        </is>
      </c>
      <c r="C504" s="12" t="inlineStr">
        <is>
          <t>2024-04-09</t>
        </is>
      </c>
      <c r="D504" s="12" t="inlineStr">
        <is>
          <t>CUST-1534</t>
        </is>
      </c>
      <c r="E504" s="12" t="inlineStr">
        <is>
          <t>Priya Menon</t>
        </is>
      </c>
      <c r="F504" s="12" t="inlineStr">
        <is>
          <t>Small Business</t>
        </is>
      </c>
      <c r="G504" s="12" t="inlineStr">
        <is>
          <t xml:space="preserve">  East </t>
        </is>
      </c>
      <c r="H504" s="12" t="inlineStr">
        <is>
          <t>Odisha</t>
        </is>
      </c>
      <c r="I504" s="12" t="inlineStr">
        <is>
          <t>Bhubaneswar</t>
        </is>
      </c>
      <c r="J504" s="12" t="inlineStr">
        <is>
          <t>Technology</t>
        </is>
      </c>
      <c r="K504" s="12" t="inlineStr">
        <is>
          <t>Copiers</t>
        </is>
      </c>
      <c r="L504" s="12" t="inlineStr">
        <is>
          <t>Prime Copiers 557</t>
        </is>
      </c>
      <c r="M504" s="12" t="inlineStr">
        <is>
          <t>Second Class</t>
        </is>
      </c>
      <c r="N504" s="12" t="n">
        <v>6</v>
      </c>
      <c r="O504" s="12" t="n">
        <v>826.9299999999999</v>
      </c>
      <c r="P504" s="12" t="n">
        <v>0.1</v>
      </c>
      <c r="Q504" s="12" t="n">
        <v>4465.42</v>
      </c>
      <c r="R504" s="12" t="n">
        <v>3377.1</v>
      </c>
      <c r="S504" s="12" t="n">
        <v>1088.32</v>
      </c>
      <c r="T504" s="12" t="inlineStr">
        <is>
          <t>Paid</t>
        </is>
      </c>
      <c r="U504" s="12" t="inlineStr">
        <is>
          <t>Completed</t>
        </is>
      </c>
      <c r="V504">
        <f>IF(OR(P504="",P504&lt;0,P504&gt;0.5),0,P504)</f>
        <v/>
      </c>
      <c r="W504">
        <f>N504*O504*(1-V504)</f>
        <v/>
      </c>
      <c r="X504">
        <f>W504-R504</f>
        <v/>
      </c>
      <c r="Y504">
        <f>IF(W504=0,0,X504/W504)</f>
        <v/>
      </c>
      <c r="Z504">
        <f>C504-B504</f>
        <v/>
      </c>
      <c r="AA504">
        <f>TEXT(B504,"mmmm")</f>
        <v/>
      </c>
      <c r="AB504">
        <f>YEAR(B504)</f>
        <v/>
      </c>
      <c r="AC504">
        <f>IF(OR(P504&lt;0,P504&gt;0.5,C504&lt;B504),"INVALID","CLEAN")</f>
        <v/>
      </c>
    </row>
    <row r="505">
      <c r="A505" s="12" t="inlineStr">
        <is>
          <t>ORD-2024-10504</t>
        </is>
      </c>
      <c r="B505" s="12" t="inlineStr">
        <is>
          <t>2024-09-28</t>
        </is>
      </c>
      <c r="C505" s="12" t="inlineStr">
        <is>
          <t>2024-10-05</t>
        </is>
      </c>
      <c r="D505" s="12" t="inlineStr">
        <is>
          <t>CUST-7422</t>
        </is>
      </c>
      <c r="E505" s="12" t="inlineStr">
        <is>
          <t>Aarav Sharma</t>
        </is>
      </c>
      <c r="F505" s="12" t="inlineStr">
        <is>
          <t>Consumer</t>
        </is>
      </c>
      <c r="G505" s="12" t="inlineStr">
        <is>
          <t>South</t>
        </is>
      </c>
      <c r="H505" s="12" t="inlineStr">
        <is>
          <t>Tamil Nadu</t>
        </is>
      </c>
      <c r="I505" s="12" t="inlineStr">
        <is>
          <t>Chennai</t>
        </is>
      </c>
      <c r="J505" s="12" t="inlineStr">
        <is>
          <t>Technology</t>
        </is>
      </c>
      <c r="K505" s="12" t="inlineStr">
        <is>
          <t>Phones</t>
        </is>
      </c>
      <c r="L505" s="12" t="inlineStr">
        <is>
          <t>Smart Phones 674</t>
        </is>
      </c>
      <c r="M505" s="12" t="inlineStr">
        <is>
          <t>Standard Class</t>
        </is>
      </c>
      <c r="N505" s="12" t="n">
        <v>7</v>
      </c>
      <c r="O505" s="12" t="n">
        <v>1681.6</v>
      </c>
      <c r="P505" s="12" t="n">
        <v>0.1</v>
      </c>
      <c r="Q505" s="12" t="n">
        <v>10594.08</v>
      </c>
      <c r="R505" s="12" t="n">
        <v>7160.31</v>
      </c>
      <c r="S505" s="12" t="n">
        <v>3433.77</v>
      </c>
      <c r="T505" s="12" t="inlineStr">
        <is>
          <t>Paid</t>
        </is>
      </c>
      <c r="U505" s="12" t="inlineStr">
        <is>
          <t>Completed</t>
        </is>
      </c>
      <c r="V505">
        <f>IF(OR(P505="",P505&lt;0,P505&gt;0.5),0,P505)</f>
        <v/>
      </c>
      <c r="W505">
        <f>N505*O505*(1-V505)</f>
        <v/>
      </c>
      <c r="X505">
        <f>W505-R505</f>
        <v/>
      </c>
      <c r="Y505">
        <f>IF(W505=0,0,X505/W505)</f>
        <v/>
      </c>
      <c r="Z505">
        <f>C505-B505</f>
        <v/>
      </c>
      <c r="AA505">
        <f>TEXT(B505,"mmmm")</f>
        <v/>
      </c>
      <c r="AB505">
        <f>YEAR(B505)</f>
        <v/>
      </c>
      <c r="AC505">
        <f>IF(OR(P505&lt;0,P505&gt;0.5,C505&lt;B505),"INVALID","CLEAN")</f>
        <v/>
      </c>
    </row>
    <row r="506">
      <c r="A506" s="12" t="inlineStr">
        <is>
          <t>ORD-2025-10505</t>
        </is>
      </c>
      <c r="B506" s="12" t="inlineStr">
        <is>
          <t>2025-02-12</t>
        </is>
      </c>
      <c r="C506" s="12" t="inlineStr">
        <is>
          <t>2025-02-17</t>
        </is>
      </c>
      <c r="D506" s="12" t="inlineStr">
        <is>
          <t>CUST-9693</t>
        </is>
      </c>
      <c r="E506" s="12" t="inlineStr">
        <is>
          <t>Arjun Bose</t>
        </is>
      </c>
      <c r="F506" s="12" t="inlineStr">
        <is>
          <t>Corporate</t>
        </is>
      </c>
      <c r="G506" s="12" t="inlineStr">
        <is>
          <t>West</t>
        </is>
      </c>
      <c r="H506" s="12" t="inlineStr">
        <is>
          <t>Gujarat</t>
        </is>
      </c>
      <c r="I506" s="12" t="inlineStr">
        <is>
          <t>Ahmedabad</t>
        </is>
      </c>
      <c r="J506" s="12" t="inlineStr">
        <is>
          <t>Office Supplies</t>
        </is>
      </c>
      <c r="K506" s="12" t="inlineStr">
        <is>
          <t>Art</t>
        </is>
      </c>
      <c r="L506" s="12" t="inlineStr">
        <is>
          <t>Elite Art 553</t>
        </is>
      </c>
      <c r="M506" s="12" t="inlineStr">
        <is>
          <t>Standard Class</t>
        </is>
      </c>
      <c r="N506" s="12" t="n">
        <v>4</v>
      </c>
      <c r="O506" s="12" t="n">
        <v>4328.12</v>
      </c>
      <c r="P506" s="12" t="n">
        <v>0</v>
      </c>
      <c r="Q506" s="12" t="n">
        <v>17312.48</v>
      </c>
      <c r="R506" s="12" t="n">
        <v>14424.22</v>
      </c>
      <c r="S506" s="12" t="n">
        <v>2888.26</v>
      </c>
      <c r="T506" s="12" t="inlineStr">
        <is>
          <t>Paid</t>
        </is>
      </c>
      <c r="U506" s="12" t="inlineStr">
        <is>
          <t>Completed</t>
        </is>
      </c>
      <c r="V506">
        <f>IF(OR(P506="",P506&lt;0,P506&gt;0.5),0,P506)</f>
        <v/>
      </c>
      <c r="W506">
        <f>N506*O506*(1-V506)</f>
        <v/>
      </c>
      <c r="X506">
        <f>W506-R506</f>
        <v/>
      </c>
      <c r="Y506">
        <f>IF(W506=0,0,X506/W506)</f>
        <v/>
      </c>
      <c r="Z506">
        <f>C506-B506</f>
        <v/>
      </c>
      <c r="AA506">
        <f>TEXT(B506,"mmmm")</f>
        <v/>
      </c>
      <c r="AB506">
        <f>YEAR(B506)</f>
        <v/>
      </c>
      <c r="AC506">
        <f>IF(OR(P506&lt;0,P506&gt;0.5,C506&lt;B506),"INVALID","CLEAN")</f>
        <v/>
      </c>
    </row>
    <row r="507">
      <c r="A507" s="12" t="inlineStr">
        <is>
          <t>ORD-2024-10506</t>
        </is>
      </c>
      <c r="B507" s="12" t="inlineStr">
        <is>
          <t>2024-11-09</t>
        </is>
      </c>
      <c r="C507" s="12" t="inlineStr">
        <is>
          <t>14 Nov 2024</t>
        </is>
      </c>
      <c r="D507" s="12" t="inlineStr">
        <is>
          <t>CUST-5458</t>
        </is>
      </c>
      <c r="E507" s="12" t="inlineStr">
        <is>
          <t>Neha Gupta</t>
        </is>
      </c>
      <c r="F507" s="12" t="inlineStr">
        <is>
          <t>Corporate</t>
        </is>
      </c>
      <c r="G507" s="12" t="inlineStr">
        <is>
          <t>West</t>
        </is>
      </c>
      <c r="H507" s="12" t="inlineStr">
        <is>
          <t>Madhya Pradesh</t>
        </is>
      </c>
      <c r="I507" s="12" t="inlineStr">
        <is>
          <t>Indore</t>
        </is>
      </c>
      <c r="J507" s="12" t="inlineStr">
        <is>
          <t>Office Supplies</t>
        </is>
      </c>
      <c r="K507" s="12" t="inlineStr">
        <is>
          <t>Art</t>
        </is>
      </c>
      <c r="L507" s="12" t="inlineStr">
        <is>
          <t>Classic Art 339</t>
        </is>
      </c>
      <c r="M507" s="12" t="inlineStr">
        <is>
          <t>First Class</t>
        </is>
      </c>
      <c r="N507" s="12" t="n">
        <v>9</v>
      </c>
      <c r="O507" s="12" t="n">
        <v>2438.29</v>
      </c>
      <c r="P507" s="12" t="n">
        <v>0.2</v>
      </c>
      <c r="Q507" s="12" t="n">
        <v>17555.69</v>
      </c>
      <c r="R507" s="12" t="n">
        <v>13293.2</v>
      </c>
      <c r="S507" s="12" t="n">
        <v>4262.49</v>
      </c>
      <c r="T507" s="12" t="inlineStr">
        <is>
          <t>Paid</t>
        </is>
      </c>
      <c r="U507" s="12" t="inlineStr">
        <is>
          <t>Cancelled</t>
        </is>
      </c>
      <c r="V507">
        <f>IF(OR(P507="",P507&lt;0,P507&gt;0.5),0,P507)</f>
        <v/>
      </c>
      <c r="W507">
        <f>N507*O507*(1-V507)</f>
        <v/>
      </c>
      <c r="X507">
        <f>W507-R507</f>
        <v/>
      </c>
      <c r="Y507">
        <f>IF(W507=0,0,X507/W507)</f>
        <v/>
      </c>
      <c r="Z507">
        <f>C507-B507</f>
        <v/>
      </c>
      <c r="AA507">
        <f>TEXT(B507,"mmmm")</f>
        <v/>
      </c>
      <c r="AB507">
        <f>YEAR(B507)</f>
        <v/>
      </c>
      <c r="AC507">
        <f>IF(OR(P507&lt;0,P507&gt;0.5,C507&lt;B507),"INVALID","CLEAN")</f>
        <v/>
      </c>
    </row>
    <row r="508">
      <c r="A508" s="12" t="inlineStr">
        <is>
          <t>ORD-2024-10507</t>
        </is>
      </c>
      <c r="B508" s="12" t="inlineStr">
        <is>
          <t>15-12-2024</t>
        </is>
      </c>
      <c r="C508" s="12" t="inlineStr">
        <is>
          <t>2024-12-15</t>
        </is>
      </c>
      <c r="D508" s="12" t="inlineStr">
        <is>
          <t>CUST-3011</t>
        </is>
      </c>
      <c r="E508" s="12" t="inlineStr">
        <is>
          <t>Aarav Sharma</t>
        </is>
      </c>
      <c r="F508" s="12" t="inlineStr">
        <is>
          <t>Small Business</t>
        </is>
      </c>
      <c r="G508" s="12" t="inlineStr">
        <is>
          <t>North</t>
        </is>
      </c>
      <c r="H508" s="12" t="inlineStr">
        <is>
          <t>Punjab</t>
        </is>
      </c>
      <c r="I508" s="12" t="inlineStr">
        <is>
          <t>Ludhiana</t>
        </is>
      </c>
      <c r="J508" s="12" t="inlineStr">
        <is>
          <t>Furniture</t>
        </is>
      </c>
      <c r="K508" s="12" t="inlineStr">
        <is>
          <t>Furnishings</t>
        </is>
      </c>
      <c r="L508" s="12" t="inlineStr">
        <is>
          <t>Smart Furnishings 352</t>
        </is>
      </c>
      <c r="M508" s="12" t="inlineStr">
        <is>
          <t>First Class</t>
        </is>
      </c>
      <c r="N508" s="12" t="n">
        <v>2</v>
      </c>
      <c r="O508" s="12" t="n">
        <v>669.8</v>
      </c>
      <c r="P508" s="12" t="n">
        <v>0.1</v>
      </c>
      <c r="Q508" s="12" t="n">
        <v>1205.64</v>
      </c>
      <c r="R508" s="12" t="n">
        <v>842.0700000000001</v>
      </c>
      <c r="S508" s="12" t="n">
        <v>363.57</v>
      </c>
      <c r="T508" s="12" t="inlineStr">
        <is>
          <t>Refunded</t>
        </is>
      </c>
      <c r="U508" s="12" t="inlineStr">
        <is>
          <t>Returned</t>
        </is>
      </c>
      <c r="V508">
        <f>IF(OR(P508="",P508&lt;0,P508&gt;0.5),0,P508)</f>
        <v/>
      </c>
      <c r="W508">
        <f>N508*O508*(1-V508)</f>
        <v/>
      </c>
      <c r="X508">
        <f>W508-R508</f>
        <v/>
      </c>
      <c r="Y508">
        <f>IF(W508=0,0,X508/W508)</f>
        <v/>
      </c>
      <c r="Z508">
        <f>C508-B508</f>
        <v/>
      </c>
      <c r="AA508">
        <f>TEXT(B508,"mmmm")</f>
        <v/>
      </c>
      <c r="AB508">
        <f>YEAR(B508)</f>
        <v/>
      </c>
      <c r="AC508">
        <f>IF(OR(P508&lt;0,P508&gt;0.5,C508&lt;B508),"INVALID","CLEAN")</f>
        <v/>
      </c>
    </row>
    <row r="509">
      <c r="A509" s="12" t="inlineStr">
        <is>
          <t>ORD-2025-10508</t>
        </is>
      </c>
      <c r="B509" s="12" t="inlineStr">
        <is>
          <t>2025-04-15</t>
        </is>
      </c>
      <c r="C509" s="12" t="inlineStr">
        <is>
          <t>2025-04-22</t>
        </is>
      </c>
      <c r="D509" s="12" t="inlineStr">
        <is>
          <t>CUST-1826</t>
        </is>
      </c>
      <c r="E509" s="12" t="inlineStr">
        <is>
          <t>Isha Nair</t>
        </is>
      </c>
      <c r="F509" s="12" t="inlineStr">
        <is>
          <t>Small Business</t>
        </is>
      </c>
      <c r="G509" s="12" t="inlineStr">
        <is>
          <t>North</t>
        </is>
      </c>
      <c r="H509" s="12" t="inlineStr">
        <is>
          <t>Haryana</t>
        </is>
      </c>
      <c r="I509" s="12" t="inlineStr">
        <is>
          <t>Gurugram</t>
        </is>
      </c>
      <c r="J509" s="12" t="inlineStr">
        <is>
          <t>Office Supplies</t>
        </is>
      </c>
      <c r="K509" s="12" t="inlineStr">
        <is>
          <t>Binders</t>
        </is>
      </c>
      <c r="L509" s="12" t="inlineStr">
        <is>
          <t>Classic Binders 602</t>
        </is>
      </c>
      <c r="M509" s="12" t="inlineStr">
        <is>
          <t>Same Day</t>
        </is>
      </c>
      <c r="N509" s="12" t="n">
        <v>4</v>
      </c>
      <c r="O509" s="12" t="n">
        <v>2990.42</v>
      </c>
      <c r="P509" s="12" t="n">
        <v>0.25</v>
      </c>
      <c r="Q509" s="12" t="n">
        <v>8971.26</v>
      </c>
      <c r="R509" s="12" t="n">
        <v>6814.35</v>
      </c>
      <c r="S509" s="12" t="n">
        <v>2156.91</v>
      </c>
      <c r="T509" s="12" t="inlineStr">
        <is>
          <t>Paid</t>
        </is>
      </c>
      <c r="U509" s="12" t="inlineStr">
        <is>
          <t>Completed</t>
        </is>
      </c>
      <c r="V509">
        <f>IF(OR(P509="",P509&lt;0,P509&gt;0.5),0,P509)</f>
        <v/>
      </c>
      <c r="W509">
        <f>N509*O509*(1-V509)</f>
        <v/>
      </c>
      <c r="X509">
        <f>W509-R509</f>
        <v/>
      </c>
      <c r="Y509">
        <f>IF(W509=0,0,X509/W509)</f>
        <v/>
      </c>
      <c r="Z509">
        <f>C509-B509</f>
        <v/>
      </c>
      <c r="AA509">
        <f>TEXT(B509,"mmmm")</f>
        <v/>
      </c>
      <c r="AB509">
        <f>YEAR(B509)</f>
        <v/>
      </c>
      <c r="AC509">
        <f>IF(OR(P509&lt;0,P509&gt;0.5,C509&lt;B509),"INVALID","CLEAN")</f>
        <v/>
      </c>
    </row>
    <row r="510">
      <c r="A510" s="12" t="inlineStr">
        <is>
          <t>ORD-2024-10509</t>
        </is>
      </c>
      <c r="B510" s="12" t="inlineStr">
        <is>
          <t>31 Mar 2024</t>
        </is>
      </c>
      <c r="C510" s="12" t="inlineStr">
        <is>
          <t>07-04-2024</t>
        </is>
      </c>
      <c r="D510" s="12" t="inlineStr">
        <is>
          <t>CUST-3333</t>
        </is>
      </c>
      <c r="E510" s="12" t="inlineStr">
        <is>
          <t>Isha Nair</t>
        </is>
      </c>
      <c r="F510" s="12" t="inlineStr">
        <is>
          <t>Small Business</t>
        </is>
      </c>
      <c r="G510" s="12" t="inlineStr">
        <is>
          <t>North</t>
        </is>
      </c>
      <c r="H510" s="12" t="inlineStr">
        <is>
          <t>Haryana</t>
        </is>
      </c>
      <c r="I510" s="12" t="inlineStr">
        <is>
          <t>Gurugram</t>
        </is>
      </c>
      <c r="J510" s="12" t="inlineStr">
        <is>
          <t>Technology</t>
        </is>
      </c>
      <c r="K510" s="12" t="inlineStr">
        <is>
          <t>Machines</t>
        </is>
      </c>
      <c r="L510" s="12" t="inlineStr">
        <is>
          <t>Smart Machines 853</t>
        </is>
      </c>
      <c r="M510" s="12" t="inlineStr">
        <is>
          <t>Second Class</t>
        </is>
      </c>
      <c r="N510" s="12" t="n">
        <v>4</v>
      </c>
      <c r="O510" s="12" t="n">
        <v>1831</v>
      </c>
      <c r="P510" s="12" t="n">
        <v>0</v>
      </c>
      <c r="Q510" s="12" t="n">
        <v>7324</v>
      </c>
      <c r="R510" s="12" t="n">
        <v>4179.63</v>
      </c>
      <c r="S510" s="12" t="n">
        <v>3144.37</v>
      </c>
      <c r="T510" s="12" t="inlineStr">
        <is>
          <t>Paid</t>
        </is>
      </c>
      <c r="U510" s="12" t="inlineStr">
        <is>
          <t>Completed</t>
        </is>
      </c>
      <c r="V510">
        <f>IF(OR(P510="",P510&lt;0,P510&gt;0.5),0,P510)</f>
        <v/>
      </c>
      <c r="W510">
        <f>N510*O510*(1-V510)</f>
        <v/>
      </c>
      <c r="X510">
        <f>W510-R510</f>
        <v/>
      </c>
      <c r="Y510">
        <f>IF(W510=0,0,X510/W510)</f>
        <v/>
      </c>
      <c r="Z510">
        <f>C510-B510</f>
        <v/>
      </c>
      <c r="AA510">
        <f>TEXT(B510,"mmmm")</f>
        <v/>
      </c>
      <c r="AB510">
        <f>YEAR(B510)</f>
        <v/>
      </c>
      <c r="AC510">
        <f>IF(OR(P510&lt;0,P510&gt;0.5,C510&lt;B510),"INVALID","CLEAN")</f>
        <v/>
      </c>
    </row>
    <row r="511">
      <c r="A511" s="12" t="inlineStr">
        <is>
          <t>ORD-2025-10510</t>
        </is>
      </c>
      <c r="B511" s="12" t="inlineStr">
        <is>
          <t>2025-05-12</t>
        </is>
      </c>
      <c r="C511" s="12" t="inlineStr">
        <is>
          <t>05/14/2025</t>
        </is>
      </c>
      <c r="D511" s="12" t="inlineStr">
        <is>
          <t>CUST-7901</t>
        </is>
      </c>
      <c r="E511" s="12" t="inlineStr">
        <is>
          <t>Neha Gupta</t>
        </is>
      </c>
      <c r="F511" s="12" t="inlineStr">
        <is>
          <t>Consumer</t>
        </is>
      </c>
      <c r="G511" s="12" t="inlineStr">
        <is>
          <t>West</t>
        </is>
      </c>
      <c r="H511" s="12" t="inlineStr">
        <is>
          <t>Gujarat</t>
        </is>
      </c>
      <c r="I511" s="12" t="inlineStr">
        <is>
          <t>Ahmedabad</t>
        </is>
      </c>
      <c r="J511" s="12" t="inlineStr">
        <is>
          <t>Technology</t>
        </is>
      </c>
      <c r="K511" s="12" t="inlineStr">
        <is>
          <t>Machines</t>
        </is>
      </c>
      <c r="L511" s="12" t="inlineStr">
        <is>
          <t>Classic Machines 599</t>
        </is>
      </c>
      <c r="M511" s="12" t="inlineStr">
        <is>
          <t>Same Day</t>
        </is>
      </c>
      <c r="N511" s="12" t="n">
        <v>8</v>
      </c>
      <c r="O511" s="12" t="n">
        <v>3631.44</v>
      </c>
      <c r="P511" s="12" t="n">
        <v>0.2</v>
      </c>
      <c r="Q511" s="12" t="n">
        <v>23241.22</v>
      </c>
      <c r="R511" s="12" t="n">
        <v>17220.9</v>
      </c>
      <c r="S511" s="12" t="n">
        <v>6020.32</v>
      </c>
      <c r="T511" s="12" t="inlineStr">
        <is>
          <t>Paid</t>
        </is>
      </c>
      <c r="U511" s="12" t="inlineStr">
        <is>
          <t>Completed</t>
        </is>
      </c>
      <c r="V511">
        <f>IF(OR(P511="",P511&lt;0,P511&gt;0.5),0,P511)</f>
        <v/>
      </c>
      <c r="W511">
        <f>N511*O511*(1-V511)</f>
        <v/>
      </c>
      <c r="X511">
        <f>W511-R511</f>
        <v/>
      </c>
      <c r="Y511">
        <f>IF(W511=0,0,X511/W511)</f>
        <v/>
      </c>
      <c r="Z511">
        <f>C511-B511</f>
        <v/>
      </c>
      <c r="AA511">
        <f>TEXT(B511,"mmmm")</f>
        <v/>
      </c>
      <c r="AB511">
        <f>YEAR(B511)</f>
        <v/>
      </c>
      <c r="AC511">
        <f>IF(OR(P511&lt;0,P511&gt;0.5,C511&lt;B511),"INVALID","CLEAN")</f>
        <v/>
      </c>
    </row>
    <row r="512">
      <c r="A512" s="12" t="inlineStr">
        <is>
          <t>ORD-2024-10511</t>
        </is>
      </c>
      <c r="B512" s="12" t="inlineStr">
        <is>
          <t>10/18/2024</t>
        </is>
      </c>
      <c r="C512" s="12" t="inlineStr">
        <is>
          <t>21-10-2024</t>
        </is>
      </c>
      <c r="D512" s="12" t="inlineStr">
        <is>
          <t>CUST-9759</t>
        </is>
      </c>
      <c r="E512" s="12" t="inlineStr">
        <is>
          <t>Aarav  Sharma</t>
        </is>
      </c>
      <c r="F512" s="12" t="inlineStr">
        <is>
          <t>Consumer</t>
        </is>
      </c>
      <c r="G512" s="12" t="inlineStr">
        <is>
          <t>South</t>
        </is>
      </c>
      <c r="H512" s="12" t="inlineStr">
        <is>
          <t>Karnataka</t>
        </is>
      </c>
      <c r="I512" s="12" t="inlineStr">
        <is>
          <t>Bengaluru</t>
        </is>
      </c>
      <c r="J512" s="12" t="inlineStr">
        <is>
          <t>Office Supplies</t>
        </is>
      </c>
      <c r="K512" s="12" t="inlineStr">
        <is>
          <t>Storage</t>
        </is>
      </c>
      <c r="L512" s="12" t="inlineStr">
        <is>
          <t>Pro Storage 373</t>
        </is>
      </c>
      <c r="M512" s="12" t="inlineStr">
        <is>
          <t>Second Class</t>
        </is>
      </c>
      <c r="N512" s="12" t="n">
        <v>2</v>
      </c>
      <c r="O512" s="12" t="n">
        <v>4238.51</v>
      </c>
      <c r="P512" s="12" t="n">
        <v>0</v>
      </c>
      <c r="Q512" s="12" t="n">
        <v>8477.02</v>
      </c>
      <c r="R512" s="12" t="n">
        <v>6884.96</v>
      </c>
      <c r="S512" s="12" t="n">
        <v>1592.06</v>
      </c>
      <c r="T512" s="12" t="inlineStr">
        <is>
          <t>Paid</t>
        </is>
      </c>
      <c r="U512" s="12" t="inlineStr">
        <is>
          <t>Completed</t>
        </is>
      </c>
      <c r="V512">
        <f>IF(OR(P512="",P512&lt;0,P512&gt;0.5),0,P512)</f>
        <v/>
      </c>
      <c r="W512">
        <f>N512*O512*(1-V512)</f>
        <v/>
      </c>
      <c r="X512">
        <f>W512-R512</f>
        <v/>
      </c>
      <c r="Y512">
        <f>IF(W512=0,0,X512/W512)</f>
        <v/>
      </c>
      <c r="Z512">
        <f>C512-B512</f>
        <v/>
      </c>
      <c r="AA512">
        <f>TEXT(B512,"mmmm")</f>
        <v/>
      </c>
      <c r="AB512">
        <f>YEAR(B512)</f>
        <v/>
      </c>
      <c r="AC512">
        <f>IF(OR(P512&lt;0,P512&gt;0.5,C512&lt;B512),"INVALID","CLEAN")</f>
        <v/>
      </c>
    </row>
    <row r="513">
      <c r="A513" s="12" t="inlineStr">
        <is>
          <t>ORD-2024-10512</t>
        </is>
      </c>
      <c r="B513" s="12" t="inlineStr">
        <is>
          <t>10/23/2024</t>
        </is>
      </c>
      <c r="C513" s="12" t="inlineStr">
        <is>
          <t>26 Oct 2024</t>
        </is>
      </c>
      <c r="D513" s="12" t="inlineStr">
        <is>
          <t>CUST-7232</t>
        </is>
      </c>
      <c r="E513" s="12" t="inlineStr">
        <is>
          <t>Sneha Kapoor</t>
        </is>
      </c>
      <c r="F513" s="12" t="inlineStr">
        <is>
          <t>Consumer</t>
        </is>
      </c>
      <c r="G513" s="12" t="inlineStr">
        <is>
          <t>West</t>
        </is>
      </c>
      <c r="H513" s="12" t="inlineStr">
        <is>
          <t>Madhya Pradesh</t>
        </is>
      </c>
      <c r="I513" s="12" t="inlineStr">
        <is>
          <t>Indore</t>
        </is>
      </c>
      <c r="J513" s="12" t="inlineStr">
        <is>
          <t>Furniture</t>
        </is>
      </c>
      <c r="K513" s="12" t="inlineStr">
        <is>
          <t>Bookcases</t>
        </is>
      </c>
      <c r="L513" s="12" t="inlineStr">
        <is>
          <t>Smart Bookcases 920</t>
        </is>
      </c>
      <c r="M513" s="12" t="inlineStr">
        <is>
          <t>Standard Class</t>
        </is>
      </c>
      <c r="N513" s="12" t="n">
        <v>9</v>
      </c>
      <c r="O513" s="12" t="n">
        <v>544.27</v>
      </c>
      <c r="P513" s="12" t="n">
        <v>0.25</v>
      </c>
      <c r="Q513" s="12" t="n">
        <v>3673.82</v>
      </c>
      <c r="R513" s="12" t="n">
        <v>2088.15</v>
      </c>
      <c r="S513" s="12" t="n">
        <v>1585.67</v>
      </c>
      <c r="T513" s="12" t="inlineStr">
        <is>
          <t>Paid</t>
        </is>
      </c>
      <c r="U513" s="12" t="inlineStr">
        <is>
          <t>Completed</t>
        </is>
      </c>
      <c r="V513">
        <f>IF(OR(P513="",P513&lt;0,P513&gt;0.5),0,P513)</f>
        <v/>
      </c>
      <c r="W513">
        <f>N513*O513*(1-V513)</f>
        <v/>
      </c>
      <c r="X513">
        <f>W513-R513</f>
        <v/>
      </c>
      <c r="Y513">
        <f>IF(W513=0,0,X513/W513)</f>
        <v/>
      </c>
      <c r="Z513">
        <f>C513-B513</f>
        <v/>
      </c>
      <c r="AA513">
        <f>TEXT(B513,"mmmm")</f>
        <v/>
      </c>
      <c r="AB513">
        <f>YEAR(B513)</f>
        <v/>
      </c>
      <c r="AC513">
        <f>IF(OR(P513&lt;0,P513&gt;0.5,C513&lt;B513),"INVALID","CLEAN")</f>
        <v/>
      </c>
    </row>
    <row r="514">
      <c r="A514" s="12" t="inlineStr">
        <is>
          <t>ORD-2025-10513</t>
        </is>
      </c>
      <c r="B514" s="12" t="inlineStr">
        <is>
          <t>03/02/2025</t>
        </is>
      </c>
      <c r="C514" s="12" t="inlineStr">
        <is>
          <t>2025-03-03</t>
        </is>
      </c>
      <c r="D514" s="12" t="inlineStr">
        <is>
          <t>CUST-9943</t>
        </is>
      </c>
      <c r="E514" s="12" t="inlineStr">
        <is>
          <t>Isha Nair</t>
        </is>
      </c>
      <c r="F514" s="12" t="inlineStr">
        <is>
          <t>Corporate</t>
        </is>
      </c>
      <c r="G514" s="12" t="inlineStr">
        <is>
          <t>South</t>
        </is>
      </c>
      <c r="H514" s="12" t="inlineStr">
        <is>
          <t>Kerala</t>
        </is>
      </c>
      <c r="I514" s="12" t="inlineStr">
        <is>
          <t>Kochi</t>
        </is>
      </c>
      <c r="J514" s="12" t="inlineStr">
        <is>
          <t>Office Supplies</t>
        </is>
      </c>
      <c r="K514" s="12" t="inlineStr">
        <is>
          <t>Labels</t>
        </is>
      </c>
      <c r="L514" s="12" t="inlineStr">
        <is>
          <t>Pro Labels 849</t>
        </is>
      </c>
      <c r="M514" s="12" t="inlineStr">
        <is>
          <t>Second Class</t>
        </is>
      </c>
      <c r="N514" s="12" t="n">
        <v>2</v>
      </c>
      <c r="O514" s="12" t="n">
        <v>4031.45</v>
      </c>
      <c r="P514" s="12" t="n">
        <v>0.25</v>
      </c>
      <c r="Q514" s="12" t="n">
        <v>6047.17</v>
      </c>
      <c r="R514" s="12" t="n">
        <v>3368.79</v>
      </c>
      <c r="S514" s="12" t="n">
        <v>2678.38</v>
      </c>
      <c r="T514" s="12" t="inlineStr">
        <is>
          <t>Paid</t>
        </is>
      </c>
      <c r="U514" s="12" t="inlineStr">
        <is>
          <t>Completed</t>
        </is>
      </c>
      <c r="V514">
        <f>IF(OR(P514="",P514&lt;0,P514&gt;0.5),0,P514)</f>
        <v/>
      </c>
      <c r="W514">
        <f>N514*O514*(1-V514)</f>
        <v/>
      </c>
      <c r="X514">
        <f>W514-R514</f>
        <v/>
      </c>
      <c r="Y514">
        <f>IF(W514=0,0,X514/W514)</f>
        <v/>
      </c>
      <c r="Z514">
        <f>C514-B514</f>
        <v/>
      </c>
      <c r="AA514">
        <f>TEXT(B514,"mmmm")</f>
        <v/>
      </c>
      <c r="AB514">
        <f>YEAR(B514)</f>
        <v/>
      </c>
      <c r="AC514">
        <f>IF(OR(P514&lt;0,P514&gt;0.5,C514&lt;B514),"INVALID","CLEAN")</f>
        <v/>
      </c>
    </row>
    <row r="515">
      <c r="A515" s="12" t="inlineStr">
        <is>
          <t>ORD-2025-10514</t>
        </is>
      </c>
      <c r="B515" s="12" t="inlineStr">
        <is>
          <t>27-06-2025</t>
        </is>
      </c>
      <c r="C515" s="12" t="inlineStr">
        <is>
          <t>07/02/2025</t>
        </is>
      </c>
      <c r="D515" s="12" t="inlineStr">
        <is>
          <t>CUST-8993</t>
        </is>
      </c>
      <c r="E515" s="12" t="inlineStr">
        <is>
          <t>Aarav Sharma</t>
        </is>
      </c>
      <c r="F515" s="12" t="inlineStr">
        <is>
          <t>Corporate</t>
        </is>
      </c>
      <c r="G515" s="12" t="inlineStr">
        <is>
          <t>South</t>
        </is>
      </c>
      <c r="H515" s="12" t="inlineStr">
        <is>
          <t>Kerala</t>
        </is>
      </c>
      <c r="I515" s="12" t="inlineStr">
        <is>
          <t>Kochi</t>
        </is>
      </c>
      <c r="J515" s="12" t="inlineStr">
        <is>
          <t>Technology</t>
        </is>
      </c>
      <c r="K515" s="12" t="inlineStr">
        <is>
          <t xml:space="preserve">Accessories </t>
        </is>
      </c>
      <c r="L515" s="12" t="inlineStr">
        <is>
          <t>Prime Accessories 849</t>
        </is>
      </c>
      <c r="M515" s="12" t="inlineStr">
        <is>
          <t>First Class</t>
        </is>
      </c>
      <c r="N515" s="12" t="n">
        <v>6</v>
      </c>
      <c r="O515" s="12" t="n">
        <v>1099.49</v>
      </c>
      <c r="P515" s="12" t="n">
        <v>0.1</v>
      </c>
      <c r="Q515" s="12" t="n">
        <v>6212.38</v>
      </c>
      <c r="R515" s="12" t="n">
        <v>4088.46</v>
      </c>
      <c r="S515" s="12" t="n">
        <v>1848.79</v>
      </c>
      <c r="T515" s="12" t="inlineStr">
        <is>
          <t>Paid</t>
        </is>
      </c>
      <c r="U515" s="12" t="inlineStr">
        <is>
          <t>Completed</t>
        </is>
      </c>
      <c r="V515">
        <f>IF(OR(P515="",P515&lt;0,P515&gt;0.5),0,P515)</f>
        <v/>
      </c>
      <c r="W515">
        <f>N515*O515*(1-V515)</f>
        <v/>
      </c>
      <c r="X515">
        <f>W515-R515</f>
        <v/>
      </c>
      <c r="Y515">
        <f>IF(W515=0,0,X515/W515)</f>
        <v/>
      </c>
      <c r="Z515">
        <f>C515-B515</f>
        <v/>
      </c>
      <c r="AA515">
        <f>TEXT(B515,"mmmm")</f>
        <v/>
      </c>
      <c r="AB515">
        <f>YEAR(B515)</f>
        <v/>
      </c>
      <c r="AC515">
        <f>IF(OR(P515&lt;0,P515&gt;0.5,C515&lt;B515),"INVALID","CLEAN")</f>
        <v/>
      </c>
    </row>
    <row r="516">
      <c r="A516" s="12" t="inlineStr">
        <is>
          <t>ORD-2024-10515</t>
        </is>
      </c>
      <c r="B516" s="12" t="inlineStr">
        <is>
          <t>18 Nov 2024</t>
        </is>
      </c>
      <c r="C516" s="12" t="inlineStr">
        <is>
          <t>2024-11-22</t>
        </is>
      </c>
      <c r="D516" s="12" t="inlineStr">
        <is>
          <t>CUST-7729</t>
        </is>
      </c>
      <c r="E516" s="12" t="inlineStr">
        <is>
          <t>Karan Malhotra</t>
        </is>
      </c>
      <c r="F516" s="12" t="inlineStr">
        <is>
          <t>Home Office</t>
        </is>
      </c>
      <c r="G516" s="12" t="inlineStr">
        <is>
          <t>South</t>
        </is>
      </c>
      <c r="H516" s="12" t="inlineStr">
        <is>
          <t>Kerala</t>
        </is>
      </c>
      <c r="I516" s="12" t="inlineStr">
        <is>
          <t>Kochi</t>
        </is>
      </c>
      <c r="J516" s="12" t="inlineStr">
        <is>
          <t>Technology</t>
        </is>
      </c>
      <c r="K516" s="12" t="inlineStr">
        <is>
          <t>Accessories</t>
        </is>
      </c>
      <c r="L516" s="12" t="inlineStr">
        <is>
          <t>Smart Accessories 388</t>
        </is>
      </c>
      <c r="M516" s="12" t="inlineStr">
        <is>
          <t>Standard Class</t>
        </is>
      </c>
      <c r="N516" s="12" t="n">
        <v>6</v>
      </c>
      <c r="O516" s="12" t="n">
        <v>3872.94</v>
      </c>
      <c r="P516" s="12" t="n">
        <v>0.1</v>
      </c>
      <c r="Q516" s="12" t="n">
        <v>20913.88</v>
      </c>
      <c r="R516" s="12" t="n">
        <v>11684.68</v>
      </c>
      <c r="S516" s="12" t="n">
        <v>9229.200000000001</v>
      </c>
      <c r="T516" s="12" t="inlineStr">
        <is>
          <t>Paid</t>
        </is>
      </c>
      <c r="U516" s="12" t="inlineStr">
        <is>
          <t>Completed</t>
        </is>
      </c>
      <c r="V516">
        <f>IF(OR(P516="",P516&lt;0,P516&gt;0.5),0,P516)</f>
        <v/>
      </c>
      <c r="W516">
        <f>N516*O516*(1-V516)</f>
        <v/>
      </c>
      <c r="X516">
        <f>W516-R516</f>
        <v/>
      </c>
      <c r="Y516">
        <f>IF(W516=0,0,X516/W516)</f>
        <v/>
      </c>
      <c r="Z516">
        <f>C516-B516</f>
        <v/>
      </c>
      <c r="AA516">
        <f>TEXT(B516,"mmmm")</f>
        <v/>
      </c>
      <c r="AB516">
        <f>YEAR(B516)</f>
        <v/>
      </c>
      <c r="AC516">
        <f>IF(OR(P516&lt;0,P516&gt;0.5,C516&lt;B516),"INVALID","CLEAN")</f>
        <v/>
      </c>
    </row>
    <row r="517">
      <c r="A517" s="12" t="inlineStr">
        <is>
          <t>ORD-2025-10516</t>
        </is>
      </c>
      <c r="B517" s="12" t="inlineStr">
        <is>
          <t>04/11/2025</t>
        </is>
      </c>
      <c r="C517" s="12" t="inlineStr">
        <is>
          <t>2025-04-11</t>
        </is>
      </c>
      <c r="D517" s="12" t="inlineStr">
        <is>
          <t>CUST-9986</t>
        </is>
      </c>
      <c r="E517" s="12" t="inlineStr">
        <is>
          <t>Rahul Verma</t>
        </is>
      </c>
      <c r="F517" s="12" t="inlineStr">
        <is>
          <t>Corporate</t>
        </is>
      </c>
      <c r="G517" s="12" t="inlineStr">
        <is>
          <t>North</t>
        </is>
      </c>
      <c r="H517" s="12" t="inlineStr">
        <is>
          <t>Delhi</t>
        </is>
      </c>
      <c r="I517" s="12" t="inlineStr">
        <is>
          <t>New Delhi</t>
        </is>
      </c>
      <c r="J517" s="12" t="inlineStr">
        <is>
          <t>Office Supplies</t>
        </is>
      </c>
      <c r="K517" s="12" t="inlineStr">
        <is>
          <t>Paper</t>
        </is>
      </c>
      <c r="L517" s="12" t="inlineStr">
        <is>
          <t>Classic Paper 752</t>
        </is>
      </c>
      <c r="M517" s="12" t="inlineStr">
        <is>
          <t>Standard Class</t>
        </is>
      </c>
      <c r="N517" s="12" t="n">
        <v>1</v>
      </c>
      <c r="O517" s="12" t="n">
        <v>4458.49</v>
      </c>
      <c r="P517" s="12" t="n">
        <v>-0.07000000000000001</v>
      </c>
      <c r="Q517" s="12" t="n">
        <v>3566.79</v>
      </c>
      <c r="R517" s="12" t="n">
        <v>2083.41</v>
      </c>
      <c r="S517" s="12" t="n">
        <v>1483.38</v>
      </c>
      <c r="T517" s="12" t="inlineStr">
        <is>
          <t>Paid</t>
        </is>
      </c>
      <c r="U517" s="12" t="inlineStr">
        <is>
          <t>Completed</t>
        </is>
      </c>
      <c r="V517">
        <f>IF(OR(P517="",P517&lt;0,P517&gt;0.5),0,P517)</f>
        <v/>
      </c>
      <c r="W517">
        <f>N517*O517*(1-V517)</f>
        <v/>
      </c>
      <c r="X517">
        <f>W517-R517</f>
        <v/>
      </c>
      <c r="Y517">
        <f>IF(W517=0,0,X517/W517)</f>
        <v/>
      </c>
      <c r="Z517">
        <f>C517-B517</f>
        <v/>
      </c>
      <c r="AA517">
        <f>TEXT(B517,"mmmm")</f>
        <v/>
      </c>
      <c r="AB517">
        <f>YEAR(B517)</f>
        <v/>
      </c>
      <c r="AC517">
        <f>IF(OR(P517&lt;0,P517&gt;0.5,C517&lt;B517),"INVALID","CLEAN")</f>
        <v/>
      </c>
    </row>
    <row r="518">
      <c r="A518" s="12" t="inlineStr">
        <is>
          <t>ORD-2024-10517</t>
        </is>
      </c>
      <c r="B518" s="12" t="inlineStr">
        <is>
          <t>09/28/2024</t>
        </is>
      </c>
      <c r="C518" s="12" t="inlineStr">
        <is>
          <t>04 Oct 2024</t>
        </is>
      </c>
      <c r="D518" s="12" t="inlineStr">
        <is>
          <t>CUST-2731</t>
        </is>
      </c>
      <c r="E518" s="12" t="inlineStr">
        <is>
          <t>Kabir Singh</t>
        </is>
      </c>
      <c r="F518" s="12" t="inlineStr">
        <is>
          <t>Home Office</t>
        </is>
      </c>
      <c r="G518" s="12" t="inlineStr">
        <is>
          <t>North</t>
        </is>
      </c>
      <c r="H518" s="12" t="inlineStr">
        <is>
          <t>Delhi</t>
        </is>
      </c>
      <c r="I518" s="12" t="inlineStr">
        <is>
          <t>New Delhi</t>
        </is>
      </c>
      <c r="J518" s="12" t="inlineStr">
        <is>
          <t>Technology</t>
        </is>
      </c>
      <c r="K518" s="12" t="inlineStr">
        <is>
          <t>Copiers</t>
        </is>
      </c>
      <c r="L518" s="12" t="inlineStr">
        <is>
          <t>Classic Copiers 143</t>
        </is>
      </c>
      <c r="M518" s="12" t="inlineStr">
        <is>
          <t>Standard Class</t>
        </is>
      </c>
      <c r="N518" s="12" t="n">
        <v>1</v>
      </c>
      <c r="O518" s="12" t="n">
        <v>2233.18</v>
      </c>
      <c r="P518" s="12" t="n">
        <v>0</v>
      </c>
      <c r="Q518" s="12" t="n">
        <v>2233.18</v>
      </c>
      <c r="R518" s="12" t="n">
        <v>1585.82</v>
      </c>
      <c r="S518" s="12" t="n">
        <v>647.36</v>
      </c>
      <c r="T518" s="12" t="inlineStr">
        <is>
          <t>Failed</t>
        </is>
      </c>
      <c r="U518" s="12" t="inlineStr">
        <is>
          <t>Returned</t>
        </is>
      </c>
      <c r="V518">
        <f>IF(OR(P518="",P518&lt;0,P518&gt;0.5),0,P518)</f>
        <v/>
      </c>
      <c r="W518">
        <f>N518*O518*(1-V518)</f>
        <v/>
      </c>
      <c r="X518">
        <f>W518-R518</f>
        <v/>
      </c>
      <c r="Y518">
        <f>IF(W518=0,0,X518/W518)</f>
        <v/>
      </c>
      <c r="Z518">
        <f>C518-B518</f>
        <v/>
      </c>
      <c r="AA518">
        <f>TEXT(B518,"mmmm")</f>
        <v/>
      </c>
      <c r="AB518">
        <f>YEAR(B518)</f>
        <v/>
      </c>
      <c r="AC518">
        <f>IF(OR(P518&lt;0,P518&gt;0.5,C518&lt;B518),"INVALID","CLEAN")</f>
        <v/>
      </c>
    </row>
    <row r="519">
      <c r="A519" s="12" t="inlineStr">
        <is>
          <t>ORD-2025-10518</t>
        </is>
      </c>
      <c r="B519" s="12" t="inlineStr">
        <is>
          <t>2025-05-25</t>
        </is>
      </c>
      <c r="C519" s="12" t="inlineStr">
        <is>
          <t>27 May 2025</t>
        </is>
      </c>
      <c r="D519" s="12" t="inlineStr">
        <is>
          <t>CUST-4235</t>
        </is>
      </c>
      <c r="E519" s="12" t="inlineStr">
        <is>
          <t>Rahul Verma</t>
        </is>
      </c>
      <c r="F519" s="12" t="inlineStr">
        <is>
          <t>Consumer</t>
        </is>
      </c>
      <c r="G519" s="12" t="inlineStr">
        <is>
          <t>East</t>
        </is>
      </c>
      <c r="H519" s="12" t="inlineStr">
        <is>
          <t>Odisha</t>
        </is>
      </c>
      <c r="I519" s="12" t="inlineStr">
        <is>
          <t>Bhubaneswar</t>
        </is>
      </c>
      <c r="J519" s="12" t="inlineStr">
        <is>
          <t>Furniture</t>
        </is>
      </c>
      <c r="K519" s="12" t="inlineStr">
        <is>
          <t>Furnishings</t>
        </is>
      </c>
      <c r="L519" s="12" t="inlineStr">
        <is>
          <t>Basic Furnishings 386</t>
        </is>
      </c>
      <c r="M519" s="12" t="inlineStr">
        <is>
          <t>Second Class</t>
        </is>
      </c>
      <c r="N519" s="12" t="n">
        <v>7</v>
      </c>
      <c r="O519" s="12" t="n">
        <v>2123.28</v>
      </c>
      <c r="P519" s="12" t="n">
        <v>0.2</v>
      </c>
      <c r="Q519" s="12" t="n">
        <v>11890.37</v>
      </c>
      <c r="R519" s="12" t="n">
        <v>9234.530000000001</v>
      </c>
      <c r="S519" s="12" t="n">
        <v>2655.84</v>
      </c>
      <c r="T519" s="12" t="inlineStr">
        <is>
          <t>Refunded</t>
        </is>
      </c>
      <c r="U519" s="12" t="inlineStr">
        <is>
          <t>Returned</t>
        </is>
      </c>
      <c r="V519">
        <f>IF(OR(P519="",P519&lt;0,P519&gt;0.5),0,P519)</f>
        <v/>
      </c>
      <c r="W519">
        <f>N519*O519*(1-V519)</f>
        <v/>
      </c>
      <c r="X519">
        <f>W519-R519</f>
        <v/>
      </c>
      <c r="Y519">
        <f>IF(W519=0,0,X519/W519)</f>
        <v/>
      </c>
      <c r="Z519">
        <f>C519-B519</f>
        <v/>
      </c>
      <c r="AA519">
        <f>TEXT(B519,"mmmm")</f>
        <v/>
      </c>
      <c r="AB519">
        <f>YEAR(B519)</f>
        <v/>
      </c>
      <c r="AC519">
        <f>IF(OR(P519&lt;0,P519&gt;0.5,C519&lt;B519),"INVALID","CLEAN")</f>
        <v/>
      </c>
    </row>
    <row r="520">
      <c r="A520" s="12" t="inlineStr">
        <is>
          <t>ORD-2025-10519</t>
        </is>
      </c>
      <c r="B520" s="12" t="inlineStr">
        <is>
          <t>30-04-2025</t>
        </is>
      </c>
      <c r="C520" s="12" t="inlineStr">
        <is>
          <t>26 Apr 2025</t>
        </is>
      </c>
      <c r="D520" s="12" t="inlineStr">
        <is>
          <t>CUST-3377</t>
        </is>
      </c>
      <c r="E520" s="12" t="inlineStr">
        <is>
          <t>Diya Patel</t>
        </is>
      </c>
      <c r="F520" s="12" t="inlineStr">
        <is>
          <t>Corporate</t>
        </is>
      </c>
      <c r="G520" s="12" t="inlineStr">
        <is>
          <t>East</t>
        </is>
      </c>
      <c r="H520" s="12" t="inlineStr">
        <is>
          <t>Odisha</t>
        </is>
      </c>
      <c r="I520" s="12" t="inlineStr">
        <is>
          <t>Bhubaneswar</t>
        </is>
      </c>
      <c r="J520" s="12" t="inlineStr">
        <is>
          <t>Furniture</t>
        </is>
      </c>
      <c r="K520" s="12" t="inlineStr">
        <is>
          <t>Tables</t>
        </is>
      </c>
      <c r="L520" s="12" t="inlineStr">
        <is>
          <t>Classic Tables 592</t>
        </is>
      </c>
      <c r="M520" s="12" t="inlineStr">
        <is>
          <t>First Class</t>
        </is>
      </c>
      <c r="N520" s="12" t="n">
        <v>7</v>
      </c>
      <c r="O520" s="12" t="n">
        <v>1604.13</v>
      </c>
      <c r="P520" s="12" t="n">
        <v>0.25</v>
      </c>
      <c r="Q520" s="12" t="n">
        <v>8421.68</v>
      </c>
      <c r="R520" s="12" t="n">
        <v>6534.47</v>
      </c>
      <c r="S520" s="12" t="n">
        <v>1887.21</v>
      </c>
      <c r="T520" s="12" t="inlineStr">
        <is>
          <t>Paid</t>
        </is>
      </c>
      <c r="U520" s="12" t="inlineStr">
        <is>
          <t>Cancelled</t>
        </is>
      </c>
      <c r="V520">
        <f>IF(OR(P520="",P520&lt;0,P520&gt;0.5),0,P520)</f>
        <v/>
      </c>
      <c r="W520">
        <f>N520*O520*(1-V520)</f>
        <v/>
      </c>
      <c r="X520">
        <f>W520-R520</f>
        <v/>
      </c>
      <c r="Y520">
        <f>IF(W520=0,0,X520/W520)</f>
        <v/>
      </c>
      <c r="Z520">
        <f>C520-B520</f>
        <v/>
      </c>
      <c r="AA520">
        <f>TEXT(B520,"mmmm")</f>
        <v/>
      </c>
      <c r="AB520">
        <f>YEAR(B520)</f>
        <v/>
      </c>
      <c r="AC520">
        <f>IF(OR(P520&lt;0,P520&gt;0.5,C520&lt;B520),"INVALID","CLEAN")</f>
        <v/>
      </c>
    </row>
    <row r="521">
      <c r="A521" s="12" t="inlineStr">
        <is>
          <t>ORD-2025-10520</t>
        </is>
      </c>
      <c r="B521" s="12" t="inlineStr">
        <is>
          <t>03-07-2025</t>
        </is>
      </c>
      <c r="C521" s="12" t="inlineStr">
        <is>
          <t>2025-07-07</t>
        </is>
      </c>
      <c r="D521" s="12" t="inlineStr">
        <is>
          <t>CUST-3258</t>
        </is>
      </c>
      <c r="E521" s="12" t="inlineStr">
        <is>
          <t>Priya Menon</t>
        </is>
      </c>
      <c r="F521" s="12" t="inlineStr">
        <is>
          <t>Consumer</t>
        </is>
      </c>
      <c r="G521" s="12" t="inlineStr">
        <is>
          <t>North</t>
        </is>
      </c>
      <c r="H521" s="12" t="inlineStr">
        <is>
          <t>Uttar Pradesh</t>
        </is>
      </c>
      <c r="I521" s="12" t="inlineStr">
        <is>
          <t>Noida</t>
        </is>
      </c>
      <c r="J521" s="12" t="inlineStr">
        <is>
          <t>Furniture</t>
        </is>
      </c>
      <c r="K521" s="12" t="inlineStr">
        <is>
          <t>Tables</t>
        </is>
      </c>
      <c r="L521" s="12" t="inlineStr">
        <is>
          <t>Pro Tables 412</t>
        </is>
      </c>
      <c r="M521" s="12" t="inlineStr">
        <is>
          <t>Standard Class</t>
        </is>
      </c>
      <c r="N521" s="12" t="n">
        <v>4</v>
      </c>
      <c r="O521" s="12" t="n">
        <v>4365.21</v>
      </c>
      <c r="P521" s="12" t="n">
        <v>0.2</v>
      </c>
      <c r="Q521" s="12" t="n">
        <v>13968.67</v>
      </c>
      <c r="R521" s="12" t="n">
        <v>8857.58</v>
      </c>
      <c r="S521" s="12" t="n">
        <v>5111.09</v>
      </c>
      <c r="T521" s="12" t="inlineStr">
        <is>
          <t>Pending</t>
        </is>
      </c>
      <c r="U521" s="12" t="inlineStr">
        <is>
          <t>Cancelled</t>
        </is>
      </c>
      <c r="V521">
        <f>IF(OR(P521="",P521&lt;0,P521&gt;0.5),0,P521)</f>
        <v/>
      </c>
      <c r="W521">
        <f>N521*O521*(1-V521)</f>
        <v/>
      </c>
      <c r="X521">
        <f>W521-R521</f>
        <v/>
      </c>
      <c r="Y521">
        <f>IF(W521=0,0,X521/W521)</f>
        <v/>
      </c>
      <c r="Z521">
        <f>C521-B521</f>
        <v/>
      </c>
      <c r="AA521">
        <f>TEXT(B521,"mmmm")</f>
        <v/>
      </c>
      <c r="AB521">
        <f>YEAR(B521)</f>
        <v/>
      </c>
      <c r="AC521">
        <f>IF(OR(P521&lt;0,P521&gt;0.5,C521&lt;B521),"INVALID","CLEAN")</f>
        <v/>
      </c>
    </row>
    <row r="522">
      <c r="A522" s="12" t="inlineStr">
        <is>
          <t>ORD-2024-10521</t>
        </is>
      </c>
      <c r="B522" s="12" t="inlineStr">
        <is>
          <t>2024-07-16</t>
        </is>
      </c>
      <c r="C522" s="12" t="inlineStr">
        <is>
          <t>23 Jul 2024</t>
        </is>
      </c>
      <c r="D522" s="12" t="inlineStr">
        <is>
          <t>CUST-2155</t>
        </is>
      </c>
      <c r="E522" s="12" t="inlineStr">
        <is>
          <t>Aarav Sharma</t>
        </is>
      </c>
      <c r="F522" s="12" t="inlineStr">
        <is>
          <t>Home Office</t>
        </is>
      </c>
      <c r="G522" s="12" t="inlineStr">
        <is>
          <t>South</t>
        </is>
      </c>
      <c r="H522" s="12" t="inlineStr">
        <is>
          <t>Karnataka</t>
        </is>
      </c>
      <c r="I522" s="12" t="inlineStr">
        <is>
          <t>Bengaluru</t>
        </is>
      </c>
      <c r="J522" s="12" t="inlineStr">
        <is>
          <t>Technology</t>
        </is>
      </c>
      <c r="K522" s="12" t="inlineStr">
        <is>
          <t>Machines</t>
        </is>
      </c>
      <c r="L522" s="12" t="inlineStr">
        <is>
          <t>Prime Machines 393</t>
        </is>
      </c>
      <c r="M522" s="12" t="inlineStr">
        <is>
          <t>Same Day</t>
        </is>
      </c>
      <c r="N522" s="12" t="n">
        <v>1</v>
      </c>
      <c r="O522" s="12" t="n">
        <v>1695.91</v>
      </c>
      <c r="P522" s="12" t="n">
        <v>0.05</v>
      </c>
      <c r="Q522" s="12" t="n">
        <v>1611.11</v>
      </c>
      <c r="R522" s="12" t="n">
        <v>895.15</v>
      </c>
      <c r="S522" s="12" t="n">
        <v>715.96</v>
      </c>
      <c r="T522" s="12" t="inlineStr">
        <is>
          <t>Paid</t>
        </is>
      </c>
      <c r="U522" s="12" t="inlineStr">
        <is>
          <t>Completed</t>
        </is>
      </c>
      <c r="V522">
        <f>IF(OR(P522="",P522&lt;0,P522&gt;0.5),0,P522)</f>
        <v/>
      </c>
      <c r="W522">
        <f>N522*O522*(1-V522)</f>
        <v/>
      </c>
      <c r="X522">
        <f>W522-R522</f>
        <v/>
      </c>
      <c r="Y522">
        <f>IF(W522=0,0,X522/W522)</f>
        <v/>
      </c>
      <c r="Z522">
        <f>C522-B522</f>
        <v/>
      </c>
      <c r="AA522">
        <f>TEXT(B522,"mmmm")</f>
        <v/>
      </c>
      <c r="AB522">
        <f>YEAR(B522)</f>
        <v/>
      </c>
      <c r="AC522">
        <f>IF(OR(P522&lt;0,P522&gt;0.5,C522&lt;B522),"INVALID","CLEAN")</f>
        <v/>
      </c>
    </row>
    <row r="523">
      <c r="A523" s="12" t="inlineStr">
        <is>
          <t>ORD-2025-10522</t>
        </is>
      </c>
      <c r="B523" s="12" t="inlineStr">
        <is>
          <t>2025-03-25</t>
        </is>
      </c>
      <c r="C523" s="12" t="inlineStr">
        <is>
          <t>2025-04-01</t>
        </is>
      </c>
      <c r="D523" s="12" t="inlineStr">
        <is>
          <t>CUST-8012</t>
        </is>
      </c>
      <c r="E523" s="12" t="inlineStr">
        <is>
          <t>Diya Patel</t>
        </is>
      </c>
      <c r="F523" s="12" t="inlineStr">
        <is>
          <t>Consumer</t>
        </is>
      </c>
      <c r="G523" s="12" t="inlineStr">
        <is>
          <t>North</t>
        </is>
      </c>
      <c r="H523" s="12" t="inlineStr">
        <is>
          <t>Punjab</t>
        </is>
      </c>
      <c r="I523" s="12" t="inlineStr">
        <is>
          <t>Ludhiana</t>
        </is>
      </c>
      <c r="J523" s="12" t="inlineStr">
        <is>
          <t>Office Supplies</t>
        </is>
      </c>
      <c r="K523" s="12" t="inlineStr">
        <is>
          <t>Labels</t>
        </is>
      </c>
      <c r="L523" s="12" t="inlineStr">
        <is>
          <t>Classic Labels 776</t>
        </is>
      </c>
      <c r="M523" s="12" t="inlineStr">
        <is>
          <t>Second Class</t>
        </is>
      </c>
      <c r="N523" s="12" t="n">
        <v>6</v>
      </c>
      <c r="O523" s="12" t="n">
        <v>2192.11</v>
      </c>
      <c r="P523" s="12" t="n">
        <v>0.05</v>
      </c>
      <c r="Q523" s="12" t="n">
        <v>12495.03</v>
      </c>
      <c r="R523" s="12" t="n">
        <v>9184.52</v>
      </c>
      <c r="S523" s="12" t="n">
        <v>3310.51</v>
      </c>
      <c r="T523" s="12" t="inlineStr">
        <is>
          <t>Paid</t>
        </is>
      </c>
      <c r="U523" s="12" t="inlineStr">
        <is>
          <t>Completed</t>
        </is>
      </c>
      <c r="V523">
        <f>IF(OR(P523="",P523&lt;0,P523&gt;0.5),0,P523)</f>
        <v/>
      </c>
      <c r="W523">
        <f>N523*O523*(1-V523)</f>
        <v/>
      </c>
      <c r="X523">
        <f>W523-R523</f>
        <v/>
      </c>
      <c r="Y523">
        <f>IF(W523=0,0,X523/W523)</f>
        <v/>
      </c>
      <c r="Z523">
        <f>C523-B523</f>
        <v/>
      </c>
      <c r="AA523">
        <f>TEXT(B523,"mmmm")</f>
        <v/>
      </c>
      <c r="AB523">
        <f>YEAR(B523)</f>
        <v/>
      </c>
      <c r="AC523">
        <f>IF(OR(P523&lt;0,P523&gt;0.5,C523&lt;B523),"INVALID","CLEAN")</f>
        <v/>
      </c>
    </row>
    <row r="524">
      <c r="A524" s="12" t="inlineStr">
        <is>
          <t>ORD-2025-10523</t>
        </is>
      </c>
      <c r="B524" s="12" t="inlineStr">
        <is>
          <t>02/28/2025</t>
        </is>
      </c>
      <c r="C524" s="12" t="inlineStr">
        <is>
          <t>08 Mar 2025</t>
        </is>
      </c>
      <c r="D524" s="12" t="inlineStr">
        <is>
          <t>CUST-2917</t>
        </is>
      </c>
      <c r="E524" s="12" t="inlineStr">
        <is>
          <t>Neha Gupta</t>
        </is>
      </c>
      <c r="F524" s="12" t="inlineStr">
        <is>
          <t>Small Business</t>
        </is>
      </c>
      <c r="G524" s="12" t="inlineStr">
        <is>
          <t>East</t>
        </is>
      </c>
      <c r="H524" s="12" t="inlineStr">
        <is>
          <t>Jharkhand</t>
        </is>
      </c>
      <c r="I524" s="12" t="inlineStr">
        <is>
          <t>Ranchi</t>
        </is>
      </c>
      <c r="J524" s="12" t="inlineStr">
        <is>
          <t>Technology</t>
        </is>
      </c>
      <c r="K524" s="12" t="inlineStr">
        <is>
          <t>Phones</t>
        </is>
      </c>
      <c r="L524" s="12" t="inlineStr">
        <is>
          <t>Max Phones 612</t>
        </is>
      </c>
      <c r="M524" s="12" t="inlineStr">
        <is>
          <t>First Class</t>
        </is>
      </c>
      <c r="N524" s="12" t="n">
        <v>9</v>
      </c>
      <c r="O524" s="12" t="n">
        <v>3670.54</v>
      </c>
      <c r="P524" s="12" t="n">
        <v>0</v>
      </c>
      <c r="Q524" s="12" t="n">
        <v>33034.86</v>
      </c>
      <c r="R524" s="12" t="n">
        <v>24539.83</v>
      </c>
      <c r="S524" s="12" t="n">
        <v>8495.030000000001</v>
      </c>
      <c r="T524" s="12" t="inlineStr">
        <is>
          <t>Paid</t>
        </is>
      </c>
      <c r="U524" s="12" t="inlineStr">
        <is>
          <t>Completed</t>
        </is>
      </c>
      <c r="V524">
        <f>IF(OR(P524="",P524&lt;0,P524&gt;0.5),0,P524)</f>
        <v/>
      </c>
      <c r="W524">
        <f>N524*O524*(1-V524)</f>
        <v/>
      </c>
      <c r="X524">
        <f>W524-R524</f>
        <v/>
      </c>
      <c r="Y524">
        <f>IF(W524=0,0,X524/W524)</f>
        <v/>
      </c>
      <c r="Z524">
        <f>C524-B524</f>
        <v/>
      </c>
      <c r="AA524">
        <f>TEXT(B524,"mmmm")</f>
        <v/>
      </c>
      <c r="AB524">
        <f>YEAR(B524)</f>
        <v/>
      </c>
      <c r="AC524">
        <f>IF(OR(P524&lt;0,P524&gt;0.5,C524&lt;B524),"INVALID","CLEAN")</f>
        <v/>
      </c>
    </row>
    <row r="525">
      <c r="A525" s="12" t="inlineStr">
        <is>
          <t>ORD-2024-10524</t>
        </is>
      </c>
      <c r="B525" s="12" t="inlineStr">
        <is>
          <t>02-04-2024</t>
        </is>
      </c>
      <c r="C525" s="12" t="inlineStr">
        <is>
          <t>2024-04-03</t>
        </is>
      </c>
      <c r="D525" s="12" t="inlineStr">
        <is>
          <t>CUST-4653</t>
        </is>
      </c>
      <c r="E525" s="12" t="inlineStr">
        <is>
          <t>Kabir Singh</t>
        </is>
      </c>
      <c r="F525" s="12" t="inlineStr">
        <is>
          <t>Home Office</t>
        </is>
      </c>
      <c r="G525" s="12" t="inlineStr">
        <is>
          <t>West</t>
        </is>
      </c>
      <c r="H525" s="12" t="inlineStr">
        <is>
          <t>Goa</t>
        </is>
      </c>
      <c r="I525" s="12" t="inlineStr">
        <is>
          <t>Panaji</t>
        </is>
      </c>
      <c r="J525" s="12" t="inlineStr">
        <is>
          <t>Office Supplies</t>
        </is>
      </c>
      <c r="K525" s="12" t="inlineStr">
        <is>
          <t>Paper</t>
        </is>
      </c>
      <c r="L525" s="12" t="inlineStr">
        <is>
          <t>Basic Paper 315</t>
        </is>
      </c>
      <c r="M525" s="12" t="inlineStr">
        <is>
          <t>Second Class</t>
        </is>
      </c>
      <c r="N525" s="12" t="n">
        <v>2</v>
      </c>
      <c r="O525" s="12" t="n">
        <v>2902.63</v>
      </c>
      <c r="P525" s="12" t="n">
        <v>0</v>
      </c>
      <c r="Q525" s="12" t="n">
        <v>5805.26</v>
      </c>
      <c r="R525" s="12" t="n">
        <v>4654.36</v>
      </c>
      <c r="S525" s="12" t="n">
        <v>1150.9</v>
      </c>
      <c r="T525" s="12" t="inlineStr">
        <is>
          <t>Paid</t>
        </is>
      </c>
      <c r="U525" s="12" t="inlineStr">
        <is>
          <t>Returned</t>
        </is>
      </c>
      <c r="V525">
        <f>IF(OR(P525="",P525&lt;0,P525&gt;0.5),0,P525)</f>
        <v/>
      </c>
      <c r="W525">
        <f>N525*O525*(1-V525)</f>
        <v/>
      </c>
      <c r="X525">
        <f>W525-R525</f>
        <v/>
      </c>
      <c r="Y525">
        <f>IF(W525=0,0,X525/W525)</f>
        <v/>
      </c>
      <c r="Z525">
        <f>C525-B525</f>
        <v/>
      </c>
      <c r="AA525">
        <f>TEXT(B525,"mmmm")</f>
        <v/>
      </c>
      <c r="AB525">
        <f>YEAR(B525)</f>
        <v/>
      </c>
      <c r="AC525">
        <f>IF(OR(P525&lt;0,P525&gt;0.5,C525&lt;B525),"INVALID","CLEAN")</f>
        <v/>
      </c>
    </row>
    <row r="526">
      <c r="A526" s="12" t="inlineStr">
        <is>
          <t>ORD-2024-10525</t>
        </is>
      </c>
      <c r="B526" s="12" t="inlineStr">
        <is>
          <t>30 Nov 2024</t>
        </is>
      </c>
      <c r="C526" s="12" t="inlineStr">
        <is>
          <t>01 Dec 2024</t>
        </is>
      </c>
      <c r="D526" s="12" t="inlineStr">
        <is>
          <t>CUST-3311</t>
        </is>
      </c>
      <c r="E526" s="12" t="inlineStr">
        <is>
          <t>Ananya Rao</t>
        </is>
      </c>
      <c r="F526" s="12" t="inlineStr">
        <is>
          <t>Corporate</t>
        </is>
      </c>
      <c r="G526" s="12" t="inlineStr">
        <is>
          <t>West</t>
        </is>
      </c>
      <c r="H526" s="12" t="inlineStr">
        <is>
          <t>Gujarat</t>
        </is>
      </c>
      <c r="I526" s="12" t="inlineStr">
        <is>
          <t>Ahmedabad</t>
        </is>
      </c>
      <c r="J526" s="12" t="inlineStr">
        <is>
          <t>Furniture</t>
        </is>
      </c>
      <c r="K526" s="12" t="inlineStr">
        <is>
          <t>Chairs</t>
        </is>
      </c>
      <c r="L526" s="12" t="inlineStr">
        <is>
          <t>Basic Chairs 333</t>
        </is>
      </c>
      <c r="M526" s="12" t="inlineStr">
        <is>
          <t>First Class</t>
        </is>
      </c>
      <c r="N526" s="12" t="n">
        <v>9</v>
      </c>
      <c r="O526" s="12" t="n">
        <v>4207.36</v>
      </c>
      <c r="P526" s="12" t="n">
        <v>0.1</v>
      </c>
      <c r="Q526" s="12" t="n">
        <v>34079.62</v>
      </c>
      <c r="R526" s="12" t="n">
        <v>21871.39</v>
      </c>
      <c r="S526" s="12" t="n">
        <v>12208.23</v>
      </c>
      <c r="T526" s="12" t="inlineStr">
        <is>
          <t>Paid</t>
        </is>
      </c>
      <c r="U526" s="12" t="inlineStr">
        <is>
          <t>Completed</t>
        </is>
      </c>
      <c r="V526">
        <f>IF(OR(P526="",P526&lt;0,P526&gt;0.5),0,P526)</f>
        <v/>
      </c>
      <c r="W526">
        <f>N526*O526*(1-V526)</f>
        <v/>
      </c>
      <c r="X526">
        <f>W526-R526</f>
        <v/>
      </c>
      <c r="Y526">
        <f>IF(W526=0,0,X526/W526)</f>
        <v/>
      </c>
      <c r="Z526">
        <f>C526-B526</f>
        <v/>
      </c>
      <c r="AA526">
        <f>TEXT(B526,"mmmm")</f>
        <v/>
      </c>
      <c r="AB526">
        <f>YEAR(B526)</f>
        <v/>
      </c>
      <c r="AC526">
        <f>IF(OR(P526&lt;0,P526&gt;0.5,C526&lt;B526),"INVALID","CLEAN")</f>
        <v/>
      </c>
    </row>
    <row r="527">
      <c r="A527" s="12" t="inlineStr">
        <is>
          <t>ORD-2024-10526</t>
        </is>
      </c>
      <c r="B527" s="12" t="inlineStr">
        <is>
          <t>10/17/2024</t>
        </is>
      </c>
      <c r="C527" s="12" t="inlineStr">
        <is>
          <t>2024-10-17</t>
        </is>
      </c>
      <c r="D527" s="12" t="inlineStr">
        <is>
          <t>CUST-2924</t>
        </is>
      </c>
      <c r="E527" s="12" t="inlineStr">
        <is>
          <t>Priya Menon</t>
        </is>
      </c>
      <c r="F527" s="12" t="inlineStr">
        <is>
          <t>Home Office</t>
        </is>
      </c>
      <c r="G527" s="12" t="inlineStr">
        <is>
          <t>East</t>
        </is>
      </c>
      <c r="H527" s="12" t="inlineStr">
        <is>
          <t>West Bengal</t>
        </is>
      </c>
      <c r="I527" s="12" t="inlineStr">
        <is>
          <t>Kolkata</t>
        </is>
      </c>
      <c r="J527" s="12" t="inlineStr">
        <is>
          <t>Furniture</t>
        </is>
      </c>
      <c r="K527" s="12" t="inlineStr">
        <is>
          <t>Chairs</t>
        </is>
      </c>
      <c r="L527" s="12" t="inlineStr">
        <is>
          <t>Prime Chairs 215</t>
        </is>
      </c>
      <c r="M527" s="12" t="inlineStr">
        <is>
          <t>Standard Class</t>
        </is>
      </c>
      <c r="N527" s="12" t="n">
        <v>5</v>
      </c>
      <c r="O527" s="12" t="n">
        <v>2524.4</v>
      </c>
      <c r="P527" s="12" t="n">
        <v>0.1</v>
      </c>
      <c r="Q527" s="12" t="n">
        <v>11359.8</v>
      </c>
      <c r="R527" s="12" t="n">
        <v>7062.44</v>
      </c>
      <c r="S527" s="12" t="n">
        <v>4297.36</v>
      </c>
      <c r="T527" s="12" t="inlineStr">
        <is>
          <t>Paid</t>
        </is>
      </c>
      <c r="U527" s="12" t="inlineStr">
        <is>
          <t>Completed</t>
        </is>
      </c>
      <c r="V527">
        <f>IF(OR(P527="",P527&lt;0,P527&gt;0.5),0,P527)</f>
        <v/>
      </c>
      <c r="W527">
        <f>N527*O527*(1-V527)</f>
        <v/>
      </c>
      <c r="X527">
        <f>W527-R527</f>
        <v/>
      </c>
      <c r="Y527">
        <f>IF(W527=0,0,X527/W527)</f>
        <v/>
      </c>
      <c r="Z527">
        <f>C527-B527</f>
        <v/>
      </c>
      <c r="AA527">
        <f>TEXT(B527,"mmmm")</f>
        <v/>
      </c>
      <c r="AB527">
        <f>YEAR(B527)</f>
        <v/>
      </c>
      <c r="AC527">
        <f>IF(OR(P527&lt;0,P527&gt;0.5,C527&lt;B527),"INVALID","CLEAN")</f>
        <v/>
      </c>
    </row>
    <row r="528">
      <c r="A528" s="12" t="inlineStr">
        <is>
          <t>ORD-2025-10527</t>
        </is>
      </c>
      <c r="B528" s="12" t="inlineStr">
        <is>
          <t>2025-07-18</t>
        </is>
      </c>
      <c r="C528" s="12" t="inlineStr">
        <is>
          <t>21 Jul 2025</t>
        </is>
      </c>
      <c r="D528" s="12" t="inlineStr">
        <is>
          <t>CUST-7198</t>
        </is>
      </c>
      <c r="E528" s="12" t="inlineStr">
        <is>
          <t>Priya Menon</t>
        </is>
      </c>
      <c r="F528" s="12" t="inlineStr">
        <is>
          <t>Consumer</t>
        </is>
      </c>
      <c r="G528" s="12" t="inlineStr">
        <is>
          <t>East</t>
        </is>
      </c>
      <c r="H528" s="12" t="inlineStr">
        <is>
          <t>Odisha</t>
        </is>
      </c>
      <c r="I528" s="12" t="inlineStr">
        <is>
          <t>Bhubaneswar</t>
        </is>
      </c>
      <c r="J528" s="12" t="inlineStr">
        <is>
          <t>Furniture</t>
        </is>
      </c>
      <c r="K528" s="12" t="inlineStr">
        <is>
          <t>Tables</t>
        </is>
      </c>
      <c r="L528" s="12" t="inlineStr">
        <is>
          <t>Elite Tables 815</t>
        </is>
      </c>
      <c r="M528" s="12" t="inlineStr">
        <is>
          <t>Second Class</t>
        </is>
      </c>
      <c r="N528" s="12" t="n">
        <v>4</v>
      </c>
      <c r="O528" s="12" t="n">
        <v>284.04</v>
      </c>
      <c r="P528" s="12" t="n"/>
      <c r="Q528" s="12" t="n">
        <v>908.9299999999999</v>
      </c>
      <c r="R528" s="12" t="n">
        <v>572.08</v>
      </c>
      <c r="S528" s="12" t="n">
        <v>336.85</v>
      </c>
      <c r="T528" s="12" t="inlineStr">
        <is>
          <t>Paid</t>
        </is>
      </c>
      <c r="U528" s="12" t="inlineStr">
        <is>
          <t>Completed</t>
        </is>
      </c>
      <c r="V528">
        <f>IF(OR(P528="",P528&lt;0,P528&gt;0.5),0,P528)</f>
        <v/>
      </c>
      <c r="W528">
        <f>N528*O528*(1-V528)</f>
        <v/>
      </c>
      <c r="X528">
        <f>W528-R528</f>
        <v/>
      </c>
      <c r="Y528">
        <f>IF(W528=0,0,X528/W528)</f>
        <v/>
      </c>
      <c r="Z528">
        <f>C528-B528</f>
        <v/>
      </c>
      <c r="AA528">
        <f>TEXT(B528,"mmmm")</f>
        <v/>
      </c>
      <c r="AB528">
        <f>YEAR(B528)</f>
        <v/>
      </c>
      <c r="AC528">
        <f>IF(OR(P528&lt;0,P528&gt;0.5,C528&lt;B528),"INVALID","CLEAN")</f>
        <v/>
      </c>
    </row>
    <row r="529">
      <c r="A529" s="12" t="inlineStr">
        <is>
          <t>ORD-2025-10528</t>
        </is>
      </c>
      <c r="B529" s="12" t="inlineStr">
        <is>
          <t>01-10-2025</t>
        </is>
      </c>
      <c r="C529" s="12" t="inlineStr">
        <is>
          <t>2025-10-05</t>
        </is>
      </c>
      <c r="D529" s="12" t="inlineStr">
        <is>
          <t>CUST-3419</t>
        </is>
      </c>
      <c r="E529" s="12" t="inlineStr">
        <is>
          <t>Aditi Sen</t>
        </is>
      </c>
      <c r="F529" s="12" t="inlineStr">
        <is>
          <t>Home Office</t>
        </is>
      </c>
      <c r="G529" s="12" t="inlineStr">
        <is>
          <t>North</t>
        </is>
      </c>
      <c r="H529" s="12" t="inlineStr">
        <is>
          <t>Haryana</t>
        </is>
      </c>
      <c r="I529" s="12" t="inlineStr">
        <is>
          <t>Gurugram</t>
        </is>
      </c>
      <c r="J529" s="12" t="inlineStr">
        <is>
          <t>Office Supplies</t>
        </is>
      </c>
      <c r="K529" s="12" t="inlineStr">
        <is>
          <t>Paper</t>
        </is>
      </c>
      <c r="L529" s="12" t="inlineStr">
        <is>
          <t>Basic Paper 388</t>
        </is>
      </c>
      <c r="M529" s="12" t="inlineStr">
        <is>
          <t>First Class</t>
        </is>
      </c>
      <c r="N529" s="12" t="n">
        <v>5</v>
      </c>
      <c r="O529" s="12" t="n">
        <v>3247.56</v>
      </c>
      <c r="P529" s="12" t="n">
        <v>0.15</v>
      </c>
      <c r="Q529" s="12" t="n">
        <v>13802.13</v>
      </c>
      <c r="R529" s="12" t="n">
        <v>10075.93</v>
      </c>
      <c r="S529" s="12" t="n">
        <v>3726.2</v>
      </c>
      <c r="T529" s="12" t="inlineStr">
        <is>
          <t>Paid</t>
        </is>
      </c>
      <c r="U529" s="12" t="inlineStr">
        <is>
          <t>Completed</t>
        </is>
      </c>
      <c r="V529">
        <f>IF(OR(P529="",P529&lt;0,P529&gt;0.5),0,P529)</f>
        <v/>
      </c>
      <c r="W529">
        <f>N529*O529*(1-V529)</f>
        <v/>
      </c>
      <c r="X529">
        <f>W529-R529</f>
        <v/>
      </c>
      <c r="Y529">
        <f>IF(W529=0,0,X529/W529)</f>
        <v/>
      </c>
      <c r="Z529">
        <f>C529-B529</f>
        <v/>
      </c>
      <c r="AA529">
        <f>TEXT(B529,"mmmm")</f>
        <v/>
      </c>
      <c r="AB529">
        <f>YEAR(B529)</f>
        <v/>
      </c>
      <c r="AC529">
        <f>IF(OR(P529&lt;0,P529&gt;0.5,C529&lt;B529),"INVALID","CLEAN")</f>
        <v/>
      </c>
    </row>
    <row r="530">
      <c r="A530" s="12" t="inlineStr">
        <is>
          <t>ORD-2024-10529</t>
        </is>
      </c>
      <c r="B530" s="12" t="inlineStr">
        <is>
          <t>2024-10-07</t>
        </is>
      </c>
      <c r="C530" s="12" t="inlineStr">
        <is>
          <t>09-10-2024</t>
        </is>
      </c>
      <c r="D530" s="12" t="inlineStr">
        <is>
          <t>CUST-2390</t>
        </is>
      </c>
      <c r="E530" s="12" t="inlineStr">
        <is>
          <t>Diya Patel</t>
        </is>
      </c>
      <c r="F530" s="12" t="inlineStr">
        <is>
          <t>Consumer</t>
        </is>
      </c>
      <c r="G530" s="12" t="inlineStr">
        <is>
          <t>South</t>
        </is>
      </c>
      <c r="H530" s="12" t="inlineStr">
        <is>
          <t>Tamil Nadu</t>
        </is>
      </c>
      <c r="I530" s="12" t="inlineStr">
        <is>
          <t>Chennai</t>
        </is>
      </c>
      <c r="J530" s="12" t="inlineStr">
        <is>
          <t>Office Supplies</t>
        </is>
      </c>
      <c r="K530" s="12" t="inlineStr">
        <is>
          <t>Binders</t>
        </is>
      </c>
      <c r="L530" s="12" t="inlineStr">
        <is>
          <t>Eco Binders 855</t>
        </is>
      </c>
      <c r="M530" s="12" t="inlineStr">
        <is>
          <t>Standard Class</t>
        </is>
      </c>
      <c r="N530" s="12" t="n">
        <v>9</v>
      </c>
      <c r="O530" s="12" t="n">
        <v>3457.09</v>
      </c>
      <c r="P530" s="12" t="n">
        <v>0.05</v>
      </c>
      <c r="Q530" s="12" t="n">
        <v>29558.12</v>
      </c>
      <c r="R530" s="12" t="n">
        <v>21302.13</v>
      </c>
      <c r="S530" s="12" t="n">
        <v>8255.99</v>
      </c>
      <c r="T530" s="12" t="inlineStr">
        <is>
          <t>Pending</t>
        </is>
      </c>
      <c r="U530" s="12" t="inlineStr">
        <is>
          <t>Returned</t>
        </is>
      </c>
      <c r="V530">
        <f>IF(OR(P530="",P530&lt;0,P530&gt;0.5),0,P530)</f>
        <v/>
      </c>
      <c r="W530">
        <f>N530*O530*(1-V530)</f>
        <v/>
      </c>
      <c r="X530">
        <f>W530-R530</f>
        <v/>
      </c>
      <c r="Y530">
        <f>IF(W530=0,0,X530/W530)</f>
        <v/>
      </c>
      <c r="Z530">
        <f>C530-B530</f>
        <v/>
      </c>
      <c r="AA530">
        <f>TEXT(B530,"mmmm")</f>
        <v/>
      </c>
      <c r="AB530">
        <f>YEAR(B530)</f>
        <v/>
      </c>
      <c r="AC530">
        <f>IF(OR(P530&lt;0,P530&gt;0.5,C530&lt;B530),"INVALID","CLEAN")</f>
        <v/>
      </c>
    </row>
    <row r="531">
      <c r="A531" s="12" t="inlineStr">
        <is>
          <t>ORD-2024-10530</t>
        </is>
      </c>
      <c r="B531" s="12" t="inlineStr">
        <is>
          <t>2024-02-06</t>
        </is>
      </c>
      <c r="C531" s="12" t="inlineStr">
        <is>
          <t>2024-02-08</t>
        </is>
      </c>
      <c r="D531" s="12" t="inlineStr">
        <is>
          <t>CUST-3362</t>
        </is>
      </c>
      <c r="E531" s="12" t="inlineStr">
        <is>
          <t>Karan Malhotra</t>
        </is>
      </c>
      <c r="F531" s="12" t="inlineStr">
        <is>
          <t>Consumer</t>
        </is>
      </c>
      <c r="G531" s="12" t="inlineStr">
        <is>
          <t>East</t>
        </is>
      </c>
      <c r="H531" s="12" t="inlineStr">
        <is>
          <t>Jharkhand</t>
        </is>
      </c>
      <c r="I531" s="12" t="inlineStr">
        <is>
          <t>Ranchi</t>
        </is>
      </c>
      <c r="J531" s="12" t="inlineStr">
        <is>
          <t>Furniture</t>
        </is>
      </c>
      <c r="K531" s="12" t="inlineStr">
        <is>
          <t>Bookcases</t>
        </is>
      </c>
      <c r="L531" s="12" t="inlineStr">
        <is>
          <t>Classic Bookcases 947</t>
        </is>
      </c>
      <c r="M531" s="12" t="inlineStr">
        <is>
          <t>Second Class</t>
        </is>
      </c>
      <c r="N531" s="12" t="n">
        <v>9</v>
      </c>
      <c r="O531" s="12" t="n">
        <v>1822.25</v>
      </c>
      <c r="P531" s="12" t="n">
        <v>0</v>
      </c>
      <c r="Q531" s="12" t="n">
        <v>16400.25</v>
      </c>
      <c r="R531" s="12" t="n">
        <v>12146.96</v>
      </c>
      <c r="S531" s="12" t="n">
        <v>4253.29</v>
      </c>
      <c r="T531" s="12" t="inlineStr">
        <is>
          <t>Paid</t>
        </is>
      </c>
      <c r="U531" s="12" t="inlineStr">
        <is>
          <t>Completed</t>
        </is>
      </c>
      <c r="V531">
        <f>IF(OR(P531="",P531&lt;0,P531&gt;0.5),0,P531)</f>
        <v/>
      </c>
      <c r="W531">
        <f>N531*O531*(1-V531)</f>
        <v/>
      </c>
      <c r="X531">
        <f>W531-R531</f>
        <v/>
      </c>
      <c r="Y531">
        <f>IF(W531=0,0,X531/W531)</f>
        <v/>
      </c>
      <c r="Z531">
        <f>C531-B531</f>
        <v/>
      </c>
      <c r="AA531">
        <f>TEXT(B531,"mmmm")</f>
        <v/>
      </c>
      <c r="AB531">
        <f>YEAR(B531)</f>
        <v/>
      </c>
      <c r="AC531">
        <f>IF(OR(P531&lt;0,P531&gt;0.5,C531&lt;B531),"INVALID","CLEAN")</f>
        <v/>
      </c>
    </row>
    <row r="532">
      <c r="A532" s="12" t="inlineStr">
        <is>
          <t>ORD-2025-10531</t>
        </is>
      </c>
      <c r="B532" s="12" t="inlineStr">
        <is>
          <t>05/30/2025</t>
        </is>
      </c>
      <c r="C532" s="12" t="inlineStr">
        <is>
          <t>2025-06-01</t>
        </is>
      </c>
      <c r="D532" s="12" t="inlineStr">
        <is>
          <t>CUST-8177</t>
        </is>
      </c>
      <c r="E532" s="12" t="inlineStr">
        <is>
          <t>Rahul Verma</t>
        </is>
      </c>
      <c r="F532" s="12" t="inlineStr">
        <is>
          <t>Home Office</t>
        </is>
      </c>
      <c r="G532" s="12" t="inlineStr">
        <is>
          <t>South</t>
        </is>
      </c>
      <c r="H532" s="12" t="inlineStr">
        <is>
          <t>Tamil Nadu</t>
        </is>
      </c>
      <c r="I532" s="12" t="inlineStr">
        <is>
          <t>Chennai</t>
        </is>
      </c>
      <c r="J532" s="12" t="inlineStr">
        <is>
          <t>Office Supplies</t>
        </is>
      </c>
      <c r="K532" s="12" t="inlineStr">
        <is>
          <t>Binders</t>
        </is>
      </c>
      <c r="L532" s="12" t="inlineStr">
        <is>
          <t>Eco Binders 352</t>
        </is>
      </c>
      <c r="M532" s="12" t="inlineStr">
        <is>
          <t>Standard Class</t>
        </is>
      </c>
      <c r="N532" s="12" t="n">
        <v>9</v>
      </c>
      <c r="O532" s="12" t="n">
        <v>1994.51</v>
      </c>
      <c r="P532" s="12" t="n">
        <v>0.05</v>
      </c>
      <c r="Q532" s="12" t="n">
        <v>17053.06</v>
      </c>
      <c r="R532" s="12" t="n">
        <v>10742.38</v>
      </c>
      <c r="S532" s="12" t="n">
        <v>6310.68</v>
      </c>
      <c r="T532" s="12" t="inlineStr">
        <is>
          <t>Paid</t>
        </is>
      </c>
      <c r="U532" s="12" t="inlineStr">
        <is>
          <t>Completed</t>
        </is>
      </c>
      <c r="V532">
        <f>IF(OR(P532="",P532&lt;0,P532&gt;0.5),0,P532)</f>
        <v/>
      </c>
      <c r="W532">
        <f>N532*O532*(1-V532)</f>
        <v/>
      </c>
      <c r="X532">
        <f>W532-R532</f>
        <v/>
      </c>
      <c r="Y532">
        <f>IF(W532=0,0,X532/W532)</f>
        <v/>
      </c>
      <c r="Z532">
        <f>C532-B532</f>
        <v/>
      </c>
      <c r="AA532">
        <f>TEXT(B532,"mmmm")</f>
        <v/>
      </c>
      <c r="AB532">
        <f>YEAR(B532)</f>
        <v/>
      </c>
      <c r="AC532">
        <f>IF(OR(P532&lt;0,P532&gt;0.5,C532&lt;B532),"INVALID","CLEAN")</f>
        <v/>
      </c>
    </row>
    <row r="533">
      <c r="A533" s="12" t="inlineStr">
        <is>
          <t>ORD-2024-10532</t>
        </is>
      </c>
      <c r="B533" s="12" t="inlineStr">
        <is>
          <t>01 Aug 2024</t>
        </is>
      </c>
      <c r="C533" s="12" t="inlineStr">
        <is>
          <t>08-08-2024</t>
        </is>
      </c>
      <c r="D533" s="12" t="inlineStr">
        <is>
          <t>CUST-6357</t>
        </is>
      </c>
      <c r="E533" s="12" t="inlineStr">
        <is>
          <t>Diya Patel</t>
        </is>
      </c>
      <c r="F533" s="12" t="inlineStr">
        <is>
          <t>Small Business</t>
        </is>
      </c>
      <c r="G533" s="12" t="inlineStr">
        <is>
          <t>West</t>
        </is>
      </c>
      <c r="H533" s="12" t="inlineStr">
        <is>
          <t>Maharashtra</t>
        </is>
      </c>
      <c r="I533" s="12" t="inlineStr">
        <is>
          <t>Mumbai</t>
        </is>
      </c>
      <c r="J533" s="12" t="inlineStr">
        <is>
          <t>Office Supplies</t>
        </is>
      </c>
      <c r="K533" s="12" t="inlineStr">
        <is>
          <t>Storage</t>
        </is>
      </c>
      <c r="L533" s="12" t="inlineStr">
        <is>
          <t>Pro Storage 364</t>
        </is>
      </c>
      <c r="M533" s="12" t="n"/>
      <c r="N533" s="12" t="n">
        <v>1</v>
      </c>
      <c r="O533" s="12" t="n">
        <v>442.97</v>
      </c>
      <c r="P533" s="12" t="n">
        <v>0.1</v>
      </c>
      <c r="Q533" s="12" t="n">
        <v>398.67</v>
      </c>
      <c r="R533" s="12" t="n">
        <v>311.66</v>
      </c>
      <c r="S533" s="12" t="n">
        <v>87.01000000000001</v>
      </c>
      <c r="T533" s="12" t="inlineStr">
        <is>
          <t>Paid</t>
        </is>
      </c>
      <c r="U533" s="12" t="inlineStr">
        <is>
          <t>Completed</t>
        </is>
      </c>
      <c r="V533">
        <f>IF(OR(P533="",P533&lt;0,P533&gt;0.5),0,P533)</f>
        <v/>
      </c>
      <c r="W533">
        <f>N533*O533*(1-V533)</f>
        <v/>
      </c>
      <c r="X533">
        <f>W533-R533</f>
        <v/>
      </c>
      <c r="Y533">
        <f>IF(W533=0,0,X533/W533)</f>
        <v/>
      </c>
      <c r="Z533">
        <f>C533-B533</f>
        <v/>
      </c>
      <c r="AA533">
        <f>TEXT(B533,"mmmm")</f>
        <v/>
      </c>
      <c r="AB533">
        <f>YEAR(B533)</f>
        <v/>
      </c>
      <c r="AC533">
        <f>IF(OR(P533&lt;0,P533&gt;0.5,C533&lt;B533),"INVALID","CLEAN")</f>
        <v/>
      </c>
    </row>
    <row r="534">
      <c r="A534" s="12" t="inlineStr">
        <is>
          <t>ORD-2025-10533</t>
        </is>
      </c>
      <c r="B534" s="12" t="inlineStr">
        <is>
          <t>2025-10-05</t>
        </is>
      </c>
      <c r="C534" s="12" t="inlineStr">
        <is>
          <t>2025-10-10</t>
        </is>
      </c>
      <c r="D534" s="12" t="inlineStr">
        <is>
          <t>CUST-7690</t>
        </is>
      </c>
      <c r="E534" s="12" t="inlineStr">
        <is>
          <t>Priya Menon</t>
        </is>
      </c>
      <c r="F534" s="12" t="inlineStr">
        <is>
          <t>Corporate</t>
        </is>
      </c>
      <c r="G534" s="12" t="inlineStr">
        <is>
          <t>East</t>
        </is>
      </c>
      <c r="H534" s="12" t="inlineStr">
        <is>
          <t>Assam</t>
        </is>
      </c>
      <c r="I534" s="12" t="inlineStr">
        <is>
          <t>Guwahati</t>
        </is>
      </c>
      <c r="J534" s="12" t="inlineStr">
        <is>
          <t>Furniture</t>
        </is>
      </c>
      <c r="K534" s="12" t="inlineStr">
        <is>
          <t>Tables</t>
        </is>
      </c>
      <c r="L534" s="12" t="inlineStr">
        <is>
          <t>Classic Tables 213</t>
        </is>
      </c>
      <c r="M534" s="12" t="inlineStr">
        <is>
          <t>Second Class</t>
        </is>
      </c>
      <c r="N534" s="12" t="n">
        <v>9</v>
      </c>
      <c r="O534" s="12" t="n">
        <v>2089.14</v>
      </c>
      <c r="P534" s="12" t="n">
        <v>0.05</v>
      </c>
      <c r="Q534" s="12" t="n">
        <v>17862.15</v>
      </c>
      <c r="R534" s="12" t="n">
        <v>9892.209999999999</v>
      </c>
      <c r="S534" s="12" t="n">
        <v>7969.94</v>
      </c>
      <c r="T534" s="12" t="inlineStr">
        <is>
          <t>Failed</t>
        </is>
      </c>
      <c r="U534" s="12" t="inlineStr">
        <is>
          <t>Cancelled</t>
        </is>
      </c>
      <c r="V534">
        <f>IF(OR(P534="",P534&lt;0,P534&gt;0.5),0,P534)</f>
        <v/>
      </c>
      <c r="W534">
        <f>N534*O534*(1-V534)</f>
        <v/>
      </c>
      <c r="X534">
        <f>W534-R534</f>
        <v/>
      </c>
      <c r="Y534">
        <f>IF(W534=0,0,X534/W534)</f>
        <v/>
      </c>
      <c r="Z534">
        <f>C534-B534</f>
        <v/>
      </c>
      <c r="AA534">
        <f>TEXT(B534,"mmmm")</f>
        <v/>
      </c>
      <c r="AB534">
        <f>YEAR(B534)</f>
        <v/>
      </c>
      <c r="AC534">
        <f>IF(OR(P534&lt;0,P534&gt;0.5,C534&lt;B534),"INVALID","CLEAN")</f>
        <v/>
      </c>
    </row>
    <row r="535">
      <c r="A535" s="12" t="inlineStr">
        <is>
          <t>ORD-2024-10534</t>
        </is>
      </c>
      <c r="B535" s="12" t="inlineStr">
        <is>
          <t>25 Aug 2024</t>
        </is>
      </c>
      <c r="C535" s="12" t="inlineStr">
        <is>
          <t>2024-09-01</t>
        </is>
      </c>
      <c r="D535" s="12" t="inlineStr">
        <is>
          <t>CUST-4487</t>
        </is>
      </c>
      <c r="E535" s="12" t="inlineStr">
        <is>
          <t>Isha Nair</t>
        </is>
      </c>
      <c r="F535" s="12" t="inlineStr">
        <is>
          <t>Home Office</t>
        </is>
      </c>
      <c r="G535" s="12" t="inlineStr">
        <is>
          <t>North</t>
        </is>
      </c>
      <c r="H535" s="12" t="inlineStr">
        <is>
          <t>Rajasthan</t>
        </is>
      </c>
      <c r="I535" s="12" t="inlineStr">
        <is>
          <t>Jaipur</t>
        </is>
      </c>
      <c r="J535" s="12" t="inlineStr">
        <is>
          <t>Furniture</t>
        </is>
      </c>
      <c r="K535" s="12" t="inlineStr">
        <is>
          <t>Tables</t>
        </is>
      </c>
      <c r="L535" s="12" t="inlineStr">
        <is>
          <t>Smart Tables 659</t>
        </is>
      </c>
      <c r="M535" s="12" t="inlineStr">
        <is>
          <t>Same Day</t>
        </is>
      </c>
      <c r="N535" s="12" t="n">
        <v>6</v>
      </c>
      <c r="O535" s="12" t="n">
        <v>481.3</v>
      </c>
      <c r="P535" s="12" t="n">
        <v>0.25</v>
      </c>
      <c r="Q535" s="12" t="n">
        <v>2165.85</v>
      </c>
      <c r="R535" s="12" t="n">
        <v>2124.48</v>
      </c>
      <c r="S535" s="12" t="n">
        <v>430.45</v>
      </c>
      <c r="T535" s="12" t="inlineStr">
        <is>
          <t>Paid</t>
        </is>
      </c>
      <c r="U535" s="12" t="inlineStr">
        <is>
          <t>Completed</t>
        </is>
      </c>
      <c r="V535">
        <f>IF(OR(P535="",P535&lt;0,P535&gt;0.5),0,P535)</f>
        <v/>
      </c>
      <c r="W535">
        <f>N535*O535*(1-V535)</f>
        <v/>
      </c>
      <c r="X535">
        <f>W535-R535</f>
        <v/>
      </c>
      <c r="Y535">
        <f>IF(W535=0,0,X535/W535)</f>
        <v/>
      </c>
      <c r="Z535">
        <f>C535-B535</f>
        <v/>
      </c>
      <c r="AA535">
        <f>TEXT(B535,"mmmm")</f>
        <v/>
      </c>
      <c r="AB535">
        <f>YEAR(B535)</f>
        <v/>
      </c>
      <c r="AC535">
        <f>IF(OR(P535&lt;0,P535&gt;0.5,C535&lt;B535),"INVALID","CLEAN")</f>
        <v/>
      </c>
    </row>
    <row r="536">
      <c r="A536" s="12" t="inlineStr">
        <is>
          <t>ORD-2025-10535</t>
        </is>
      </c>
      <c r="B536" s="12" t="inlineStr">
        <is>
          <t>04/27/2025</t>
        </is>
      </c>
      <c r="C536" s="12" t="inlineStr">
        <is>
          <t>2025-05-05</t>
        </is>
      </c>
      <c r="D536" s="12" t="inlineStr">
        <is>
          <t>CUST-8204</t>
        </is>
      </c>
      <c r="E536" s="12" t="inlineStr">
        <is>
          <t>Rohan Mehta</t>
        </is>
      </c>
      <c r="F536" s="12" t="inlineStr">
        <is>
          <t>Home Office</t>
        </is>
      </c>
      <c r="G536" s="12" t="inlineStr">
        <is>
          <t>East</t>
        </is>
      </c>
      <c r="H536" s="12" t="inlineStr">
        <is>
          <t>Bihar</t>
        </is>
      </c>
      <c r="I536" s="12" t="inlineStr">
        <is>
          <t>Patna</t>
        </is>
      </c>
      <c r="J536" s="12" t="inlineStr">
        <is>
          <t>Technology</t>
        </is>
      </c>
      <c r="K536" s="12" t="inlineStr">
        <is>
          <t>Accessories</t>
        </is>
      </c>
      <c r="L536" s="12" t="inlineStr">
        <is>
          <t>Classic Accessories 325</t>
        </is>
      </c>
      <c r="M536" s="12" t="inlineStr">
        <is>
          <t>Second Class</t>
        </is>
      </c>
      <c r="N536" s="12" t="n">
        <v>4</v>
      </c>
      <c r="O536" s="12" t="n">
        <v>3963.39</v>
      </c>
      <c r="P536" s="12" t="n">
        <v>0.1</v>
      </c>
      <c r="Q536" s="12" t="n">
        <v>14268.2</v>
      </c>
      <c r="R536" s="12" t="n">
        <v>11705.3</v>
      </c>
      <c r="S536" s="12" t="n">
        <v>2562.9</v>
      </c>
      <c r="T536" s="12" t="inlineStr">
        <is>
          <t>Pending</t>
        </is>
      </c>
      <c r="U536" s="12" t="inlineStr">
        <is>
          <t>Returned</t>
        </is>
      </c>
      <c r="V536">
        <f>IF(OR(P536="",P536&lt;0,P536&gt;0.5),0,P536)</f>
        <v/>
      </c>
      <c r="W536">
        <f>N536*O536*(1-V536)</f>
        <v/>
      </c>
      <c r="X536">
        <f>W536-R536</f>
        <v/>
      </c>
      <c r="Y536">
        <f>IF(W536=0,0,X536/W536)</f>
        <v/>
      </c>
      <c r="Z536">
        <f>C536-B536</f>
        <v/>
      </c>
      <c r="AA536">
        <f>TEXT(B536,"mmmm")</f>
        <v/>
      </c>
      <c r="AB536">
        <f>YEAR(B536)</f>
        <v/>
      </c>
      <c r="AC536">
        <f>IF(OR(P536&lt;0,P536&gt;0.5,C536&lt;B536),"INVALID","CLEAN")</f>
        <v/>
      </c>
    </row>
    <row r="537">
      <c r="A537" s="12" t="inlineStr">
        <is>
          <t>ORD-2024-10536</t>
        </is>
      </c>
      <c r="B537" s="12" t="inlineStr">
        <is>
          <t>19-05-2024</t>
        </is>
      </c>
      <c r="C537" s="12" t="inlineStr">
        <is>
          <t>21 May 2024</t>
        </is>
      </c>
      <c r="D537" s="12" t="inlineStr">
        <is>
          <t>CUST-1729</t>
        </is>
      </c>
      <c r="E537" s="12" t="inlineStr">
        <is>
          <t>Diya Patel</t>
        </is>
      </c>
      <c r="F537" s="12" t="inlineStr">
        <is>
          <t>Small Business</t>
        </is>
      </c>
      <c r="G537" s="12" t="inlineStr">
        <is>
          <t>West</t>
        </is>
      </c>
      <c r="H537" s="12" t="inlineStr">
        <is>
          <t>Maharashtra</t>
        </is>
      </c>
      <c r="I537" s="12" t="inlineStr">
        <is>
          <t>Mumbai</t>
        </is>
      </c>
      <c r="J537" s="12" t="inlineStr">
        <is>
          <t>Technology</t>
        </is>
      </c>
      <c r="K537" s="12" t="inlineStr">
        <is>
          <t>Copiers</t>
        </is>
      </c>
      <c r="L537" s="12" t="inlineStr">
        <is>
          <t>Eco Copiers 243</t>
        </is>
      </c>
      <c r="M537" s="12" t="inlineStr">
        <is>
          <t>First Class</t>
        </is>
      </c>
      <c r="N537" s="12" t="n">
        <v>3</v>
      </c>
      <c r="O537" s="12" t="n">
        <v>4000.98</v>
      </c>
      <c r="P537" s="12" t="n">
        <v>0.2</v>
      </c>
      <c r="Q537" s="12" t="n">
        <v>9602.35</v>
      </c>
      <c r="R537" s="12" t="n">
        <v>7387.57</v>
      </c>
      <c r="S537" s="12" t="n">
        <v>2214.78</v>
      </c>
      <c r="T537" s="12" t="inlineStr">
        <is>
          <t>Paid</t>
        </is>
      </c>
      <c r="U537" s="12" t="inlineStr">
        <is>
          <t>Completed</t>
        </is>
      </c>
      <c r="V537">
        <f>IF(OR(P537="",P537&lt;0,P537&gt;0.5),0,P537)</f>
        <v/>
      </c>
      <c r="W537">
        <f>N537*O537*(1-V537)</f>
        <v/>
      </c>
      <c r="X537">
        <f>W537-R537</f>
        <v/>
      </c>
      <c r="Y537">
        <f>IF(W537=0,0,X537/W537)</f>
        <v/>
      </c>
      <c r="Z537">
        <f>C537-B537</f>
        <v/>
      </c>
      <c r="AA537">
        <f>TEXT(B537,"mmmm")</f>
        <v/>
      </c>
      <c r="AB537">
        <f>YEAR(B537)</f>
        <v/>
      </c>
      <c r="AC537">
        <f>IF(OR(P537&lt;0,P537&gt;0.5,C537&lt;B537),"INVALID","CLEAN")</f>
        <v/>
      </c>
    </row>
    <row r="538">
      <c r="A538" s="12" t="inlineStr">
        <is>
          <t>ORD-2025-10537</t>
        </is>
      </c>
      <c r="B538" s="12" t="inlineStr">
        <is>
          <t>2025-04-10</t>
        </is>
      </c>
      <c r="C538" s="12" t="inlineStr">
        <is>
          <t>2025-04-17</t>
        </is>
      </c>
      <c r="D538" s="12" t="inlineStr">
        <is>
          <t>CUST-4269</t>
        </is>
      </c>
      <c r="E538" s="12" t="inlineStr">
        <is>
          <t>Ananya Rao</t>
        </is>
      </c>
      <c r="F538" s="12" t="inlineStr">
        <is>
          <t>Small Business</t>
        </is>
      </c>
      <c r="G538" s="12" t="inlineStr">
        <is>
          <t>West</t>
        </is>
      </c>
      <c r="H538" s="12" t="inlineStr">
        <is>
          <t>Rajasthan</t>
        </is>
      </c>
      <c r="I538" s="12" t="inlineStr">
        <is>
          <t>Udaipur</t>
        </is>
      </c>
      <c r="J538" s="12" t="inlineStr">
        <is>
          <t>Furniture</t>
        </is>
      </c>
      <c r="K538" s="12" t="inlineStr">
        <is>
          <t>Chairs</t>
        </is>
      </c>
      <c r="L538" s="12" t="inlineStr">
        <is>
          <t>Elite Chairs 777</t>
        </is>
      </c>
      <c r="M538" s="12" t="inlineStr">
        <is>
          <t>First Class</t>
        </is>
      </c>
      <c r="N538" s="12" t="n">
        <v>7</v>
      </c>
      <c r="O538" s="12" t="n">
        <v>3788.9</v>
      </c>
      <c r="P538" s="12" t="n">
        <v>0.25</v>
      </c>
      <c r="Q538" s="12" t="n">
        <v>19891.72</v>
      </c>
      <c r="R538" s="12" t="n">
        <v>12295.76</v>
      </c>
      <c r="S538" s="12" t="n">
        <v>7595.96</v>
      </c>
      <c r="T538" s="12" t="inlineStr">
        <is>
          <t>Failed</t>
        </is>
      </c>
      <c r="U538" s="12" t="inlineStr">
        <is>
          <t>Cancelled</t>
        </is>
      </c>
      <c r="V538">
        <f>IF(OR(P538="",P538&lt;0,P538&gt;0.5),0,P538)</f>
        <v/>
      </c>
      <c r="W538">
        <f>N538*O538*(1-V538)</f>
        <v/>
      </c>
      <c r="X538">
        <f>W538-R538</f>
        <v/>
      </c>
      <c r="Y538">
        <f>IF(W538=0,0,X538/W538)</f>
        <v/>
      </c>
      <c r="Z538">
        <f>C538-B538</f>
        <v/>
      </c>
      <c r="AA538">
        <f>TEXT(B538,"mmmm")</f>
        <v/>
      </c>
      <c r="AB538">
        <f>YEAR(B538)</f>
        <v/>
      </c>
      <c r="AC538">
        <f>IF(OR(P538&lt;0,P538&gt;0.5,C538&lt;B538),"INVALID","CLEAN")</f>
        <v/>
      </c>
    </row>
    <row r="539">
      <c r="A539" s="12" t="inlineStr">
        <is>
          <t>ORD-2024-10538</t>
        </is>
      </c>
      <c r="B539" s="12" t="inlineStr">
        <is>
          <t>2024-01-22</t>
        </is>
      </c>
      <c r="C539" s="12" t="inlineStr">
        <is>
          <t>2024-01-30</t>
        </is>
      </c>
      <c r="D539" s="12" t="inlineStr">
        <is>
          <t>CUST-1370</t>
        </is>
      </c>
      <c r="E539" s="12" t="inlineStr">
        <is>
          <t>Ananya Rao</t>
        </is>
      </c>
      <c r="F539" s="12" t="inlineStr">
        <is>
          <t>Small Business</t>
        </is>
      </c>
      <c r="G539" s="12" t="inlineStr">
        <is>
          <t>North</t>
        </is>
      </c>
      <c r="H539" s="12" t="inlineStr">
        <is>
          <t>Haryana</t>
        </is>
      </c>
      <c r="I539" s="12" t="inlineStr">
        <is>
          <t>Gurugram</t>
        </is>
      </c>
      <c r="J539" s="12" t="inlineStr">
        <is>
          <t>Office Supplies</t>
        </is>
      </c>
      <c r="K539" s="12" t="inlineStr">
        <is>
          <t>Art</t>
        </is>
      </c>
      <c r="L539" s="12" t="inlineStr">
        <is>
          <t>Classic Art 772</t>
        </is>
      </c>
      <c r="M539" s="12" t="inlineStr">
        <is>
          <t>Same Day</t>
        </is>
      </c>
      <c r="N539" s="12" t="n">
        <v>3</v>
      </c>
      <c r="O539" s="12" t="n">
        <v>676.37</v>
      </c>
      <c r="P539" s="12" t="n">
        <v>0.05</v>
      </c>
      <c r="Q539" s="12" t="n">
        <v>1927.65</v>
      </c>
      <c r="R539" s="12" t="n">
        <v>1460.6</v>
      </c>
      <c r="S539" s="12" t="n">
        <v>467.05</v>
      </c>
      <c r="T539" s="12" t="inlineStr">
        <is>
          <t>Failed</t>
        </is>
      </c>
      <c r="U539" s="12" t="inlineStr">
        <is>
          <t>Cancelled</t>
        </is>
      </c>
      <c r="V539">
        <f>IF(OR(P539="",P539&lt;0,P539&gt;0.5),0,P539)</f>
        <v/>
      </c>
      <c r="W539">
        <f>N539*O539*(1-V539)</f>
        <v/>
      </c>
      <c r="X539">
        <f>W539-R539</f>
        <v/>
      </c>
      <c r="Y539">
        <f>IF(W539=0,0,X539/W539)</f>
        <v/>
      </c>
      <c r="Z539">
        <f>C539-B539</f>
        <v/>
      </c>
      <c r="AA539">
        <f>TEXT(B539,"mmmm")</f>
        <v/>
      </c>
      <c r="AB539">
        <f>YEAR(B539)</f>
        <v/>
      </c>
      <c r="AC539">
        <f>IF(OR(P539&lt;0,P539&gt;0.5,C539&lt;B539),"INVALID","CLEAN")</f>
        <v/>
      </c>
    </row>
    <row r="540">
      <c r="A540" s="12" t="inlineStr">
        <is>
          <t>ORD-2024-10539</t>
        </is>
      </c>
      <c r="B540" s="12" t="inlineStr">
        <is>
          <t>25-09-2024</t>
        </is>
      </c>
      <c r="C540" s="12" t="inlineStr">
        <is>
          <t>01-10-2024</t>
        </is>
      </c>
      <c r="D540" s="12" t="inlineStr">
        <is>
          <t>CUST-5381</t>
        </is>
      </c>
      <c r="E540" s="12" t="inlineStr">
        <is>
          <t>Diya Patel</t>
        </is>
      </c>
      <c r="F540" s="12" t="inlineStr">
        <is>
          <t>Small Business</t>
        </is>
      </c>
      <c r="G540" s="12" t="inlineStr">
        <is>
          <t>East</t>
        </is>
      </c>
      <c r="H540" s="12" t="inlineStr">
        <is>
          <t>Jharkhand</t>
        </is>
      </c>
      <c r="I540" s="12" t="inlineStr">
        <is>
          <t>Ranchi</t>
        </is>
      </c>
      <c r="J540" s="12" t="inlineStr">
        <is>
          <t>Furniture</t>
        </is>
      </c>
      <c r="K540" s="12" t="inlineStr">
        <is>
          <t>Tables</t>
        </is>
      </c>
      <c r="L540" s="12" t="inlineStr">
        <is>
          <t>Elite Tables 888</t>
        </is>
      </c>
      <c r="M540" s="12" t="inlineStr">
        <is>
          <t>Second Class</t>
        </is>
      </c>
      <c r="N540" s="12" t="n">
        <v>9</v>
      </c>
      <c r="O540" s="12" t="n">
        <v>3908.6</v>
      </c>
      <c r="P540" s="12" t="n">
        <v>0.15</v>
      </c>
      <c r="Q540" s="12" t="n">
        <v>29900.79</v>
      </c>
      <c r="R540" s="12" t="n">
        <v>24650.67</v>
      </c>
      <c r="S540" s="12" t="n">
        <v>5250.12</v>
      </c>
      <c r="T540" s="12" t="inlineStr">
        <is>
          <t>Paid</t>
        </is>
      </c>
      <c r="U540" s="12" t="inlineStr">
        <is>
          <t>Completed</t>
        </is>
      </c>
      <c r="V540">
        <f>IF(OR(P540="",P540&lt;0,P540&gt;0.5),0,P540)</f>
        <v/>
      </c>
      <c r="W540">
        <f>N540*O540*(1-V540)</f>
        <v/>
      </c>
      <c r="X540">
        <f>W540-R540</f>
        <v/>
      </c>
      <c r="Y540">
        <f>IF(W540=0,0,X540/W540)</f>
        <v/>
      </c>
      <c r="Z540">
        <f>C540-B540</f>
        <v/>
      </c>
      <c r="AA540">
        <f>TEXT(B540,"mmmm")</f>
        <v/>
      </c>
      <c r="AB540">
        <f>YEAR(B540)</f>
        <v/>
      </c>
      <c r="AC540">
        <f>IF(OR(P540&lt;0,P540&gt;0.5,C540&lt;B540),"INVALID","CLEAN")</f>
        <v/>
      </c>
    </row>
    <row r="541">
      <c r="A541" s="12" t="inlineStr">
        <is>
          <t>ORD-2025-10540</t>
        </is>
      </c>
      <c r="B541" s="12" t="inlineStr">
        <is>
          <t>07/04/2025</t>
        </is>
      </c>
      <c r="C541" s="12" t="inlineStr">
        <is>
          <t>2025-07-04</t>
        </is>
      </c>
      <c r="D541" s="12" t="inlineStr">
        <is>
          <t>CUST-3694</t>
        </is>
      </c>
      <c r="E541" s="12" t="inlineStr">
        <is>
          <t>mira das</t>
        </is>
      </c>
      <c r="F541" s="12" t="inlineStr">
        <is>
          <t>Small Business</t>
        </is>
      </c>
      <c r="G541" s="12" t="inlineStr">
        <is>
          <t>South</t>
        </is>
      </c>
      <c r="H541" s="12" t="inlineStr">
        <is>
          <t>Tamil Nadu</t>
        </is>
      </c>
      <c r="I541" s="12" t="inlineStr">
        <is>
          <t>Chennai</t>
        </is>
      </c>
      <c r="J541" s="12" t="inlineStr">
        <is>
          <t>Furniture</t>
        </is>
      </c>
      <c r="K541" s="12" t="inlineStr">
        <is>
          <t>Chairs</t>
        </is>
      </c>
      <c r="L541" s="12" t="inlineStr">
        <is>
          <t>Classic Chairs 666</t>
        </is>
      </c>
      <c r="M541" s="12" t="inlineStr">
        <is>
          <t>Standard Class</t>
        </is>
      </c>
      <c r="N541" s="12" t="n">
        <v>3</v>
      </c>
      <c r="O541" s="12" t="n">
        <v>705.35</v>
      </c>
      <c r="P541" s="12" t="n">
        <v>0.1</v>
      </c>
      <c r="Q541" s="12" t="n">
        <v>1904.45</v>
      </c>
      <c r="R541" s="12" t="n">
        <v>1316.54</v>
      </c>
      <c r="S541" s="12" t="n">
        <v>587.91</v>
      </c>
      <c r="T541" s="12" t="inlineStr">
        <is>
          <t>Paid</t>
        </is>
      </c>
      <c r="U541" s="12" t="inlineStr">
        <is>
          <t>Cancelled</t>
        </is>
      </c>
      <c r="V541">
        <f>IF(OR(P541="",P541&lt;0,P541&gt;0.5),0,P541)</f>
        <v/>
      </c>
      <c r="W541">
        <f>N541*O541*(1-V541)</f>
        <v/>
      </c>
      <c r="X541">
        <f>W541-R541</f>
        <v/>
      </c>
      <c r="Y541">
        <f>IF(W541=0,0,X541/W541)</f>
        <v/>
      </c>
      <c r="Z541">
        <f>C541-B541</f>
        <v/>
      </c>
      <c r="AA541">
        <f>TEXT(B541,"mmmm")</f>
        <v/>
      </c>
      <c r="AB541">
        <f>YEAR(B541)</f>
        <v/>
      </c>
      <c r="AC541">
        <f>IF(OR(P541&lt;0,P541&gt;0.5,C541&lt;B541),"INVALID","CLEAN")</f>
        <v/>
      </c>
    </row>
    <row r="542">
      <c r="A542" s="12" t="inlineStr">
        <is>
          <t>ORD-2024-10541</t>
        </is>
      </c>
      <c r="B542" s="12" t="inlineStr">
        <is>
          <t>26-02-2024</t>
        </is>
      </c>
      <c r="C542" s="12" t="inlineStr">
        <is>
          <t>23 Feb 2024</t>
        </is>
      </c>
      <c r="D542" s="12" t="inlineStr">
        <is>
          <t>CUST-7563</t>
        </is>
      </c>
      <c r="E542" s="12" t="inlineStr">
        <is>
          <t>Kabir Singh</t>
        </is>
      </c>
      <c r="F542" s="12" t="inlineStr">
        <is>
          <t>Consumer</t>
        </is>
      </c>
      <c r="G542" s="12" t="inlineStr">
        <is>
          <t>West</t>
        </is>
      </c>
      <c r="H542" s="12" t="inlineStr">
        <is>
          <t>Gujarat</t>
        </is>
      </c>
      <c r="I542" s="12" t="inlineStr">
        <is>
          <t>Ahmedabad</t>
        </is>
      </c>
      <c r="J542" s="12" t="inlineStr">
        <is>
          <t>Furniture</t>
        </is>
      </c>
      <c r="K542" s="12" t="inlineStr">
        <is>
          <t>Furnishings</t>
        </is>
      </c>
      <c r="L542" s="12" t="inlineStr">
        <is>
          <t>Basic Furnishings 350</t>
        </is>
      </c>
      <c r="M542" s="12" t="inlineStr">
        <is>
          <t>Standard Class</t>
        </is>
      </c>
      <c r="N542" s="12" t="n">
        <v>7</v>
      </c>
      <c r="O542" s="12" t="n">
        <v>3852.07</v>
      </c>
      <c r="P542" s="12" t="n">
        <v>0.2</v>
      </c>
      <c r="Q542" s="12" t="n">
        <v>21571.59</v>
      </c>
      <c r="R542" s="12" t="n">
        <v>17118.07</v>
      </c>
      <c r="S542" s="12" t="n">
        <v>4453.52</v>
      </c>
      <c r="T542" s="12" t="inlineStr">
        <is>
          <t>Paid</t>
        </is>
      </c>
      <c r="U542" s="12" t="inlineStr">
        <is>
          <t>Completed</t>
        </is>
      </c>
      <c r="V542">
        <f>IF(OR(P542="",P542&lt;0,P542&gt;0.5),0,P542)</f>
        <v/>
      </c>
      <c r="W542">
        <f>N542*O542*(1-V542)</f>
        <v/>
      </c>
      <c r="X542">
        <f>W542-R542</f>
        <v/>
      </c>
      <c r="Y542">
        <f>IF(W542=0,0,X542/W542)</f>
        <v/>
      </c>
      <c r="Z542">
        <f>C542-B542</f>
        <v/>
      </c>
      <c r="AA542">
        <f>TEXT(B542,"mmmm")</f>
        <v/>
      </c>
      <c r="AB542">
        <f>YEAR(B542)</f>
        <v/>
      </c>
      <c r="AC542">
        <f>IF(OR(P542&lt;0,P542&gt;0.5,C542&lt;B542),"INVALID","CLEAN")</f>
        <v/>
      </c>
    </row>
    <row r="543">
      <c r="A543" s="12" t="inlineStr">
        <is>
          <t>ORD-2025-10542</t>
        </is>
      </c>
      <c r="B543" s="12" t="inlineStr">
        <is>
          <t>08-07-2025</t>
        </is>
      </c>
      <c r="C543" s="12" t="inlineStr">
        <is>
          <t>2025-07-09</t>
        </is>
      </c>
      <c r="D543" s="12" t="inlineStr">
        <is>
          <t>CUST-4188</t>
        </is>
      </c>
      <c r="E543" s="12" t="inlineStr">
        <is>
          <t>Sneha Kapoor</t>
        </is>
      </c>
      <c r="F543" s="12" t="inlineStr">
        <is>
          <t>Consumer</t>
        </is>
      </c>
      <c r="G543" s="12" t="inlineStr">
        <is>
          <t>West</t>
        </is>
      </c>
      <c r="H543" s="12" t="inlineStr">
        <is>
          <t>Maharashtra</t>
        </is>
      </c>
      <c r="I543" s="12" t="inlineStr">
        <is>
          <t>Mumbai</t>
        </is>
      </c>
      <c r="J543" s="12" t="inlineStr">
        <is>
          <t>Technology</t>
        </is>
      </c>
      <c r="K543" s="12" t="inlineStr">
        <is>
          <t>Copiers</t>
        </is>
      </c>
      <c r="L543" s="12" t="inlineStr">
        <is>
          <t>Elite Copiers 831</t>
        </is>
      </c>
      <c r="M543" s="12" t="inlineStr">
        <is>
          <t>Same Day</t>
        </is>
      </c>
      <c r="N543" s="12" t="n">
        <v>3</v>
      </c>
      <c r="O543" s="12" t="n">
        <v>2880.56</v>
      </c>
      <c r="P543" s="12" t="n">
        <v>0</v>
      </c>
      <c r="Q543" s="12" t="n">
        <v>8641.68</v>
      </c>
      <c r="R543" s="12" t="n">
        <v>5747.09</v>
      </c>
      <c r="S543" s="12" t="n">
        <v>2894.59</v>
      </c>
      <c r="T543" s="12" t="inlineStr">
        <is>
          <t>Paid</t>
        </is>
      </c>
      <c r="U543" s="12" t="inlineStr">
        <is>
          <t>Returned</t>
        </is>
      </c>
      <c r="V543">
        <f>IF(OR(P543="",P543&lt;0,P543&gt;0.5),0,P543)</f>
        <v/>
      </c>
      <c r="W543">
        <f>N543*O543*(1-V543)</f>
        <v/>
      </c>
      <c r="X543">
        <f>W543-R543</f>
        <v/>
      </c>
      <c r="Y543">
        <f>IF(W543=0,0,X543/W543)</f>
        <v/>
      </c>
      <c r="Z543">
        <f>C543-B543</f>
        <v/>
      </c>
      <c r="AA543">
        <f>TEXT(B543,"mmmm")</f>
        <v/>
      </c>
      <c r="AB543">
        <f>YEAR(B543)</f>
        <v/>
      </c>
      <c r="AC543">
        <f>IF(OR(P543&lt;0,P543&gt;0.5,C543&lt;B543),"INVALID","CLEAN")</f>
        <v/>
      </c>
    </row>
    <row r="544">
      <c r="A544" s="12" t="inlineStr">
        <is>
          <t>ORD-2024-10543</t>
        </is>
      </c>
      <c r="B544" s="12" t="inlineStr">
        <is>
          <t>09/17/2024</t>
        </is>
      </c>
      <c r="C544" s="12" t="inlineStr">
        <is>
          <t>2024-09-23</t>
        </is>
      </c>
      <c r="D544" s="12" t="inlineStr">
        <is>
          <t>CUST-9376</t>
        </is>
      </c>
      <c r="E544" s="12" t="inlineStr">
        <is>
          <t>Rahul Verma</t>
        </is>
      </c>
      <c r="F544" s="12" t="inlineStr">
        <is>
          <t>Home Office</t>
        </is>
      </c>
      <c r="G544" s="12" t="inlineStr">
        <is>
          <t>South</t>
        </is>
      </c>
      <c r="H544" s="12" t="inlineStr">
        <is>
          <t>Kerala</t>
        </is>
      </c>
      <c r="I544" s="12" t="inlineStr">
        <is>
          <t>Kochi</t>
        </is>
      </c>
      <c r="J544" s="12" t="inlineStr">
        <is>
          <t>Furniture</t>
        </is>
      </c>
      <c r="K544" s="12" t="inlineStr">
        <is>
          <t>Bookcases</t>
        </is>
      </c>
      <c r="L544" s="12" t="inlineStr">
        <is>
          <t>Eco Bookcases 759</t>
        </is>
      </c>
      <c r="M544" s="12" t="inlineStr">
        <is>
          <t>Second Class</t>
        </is>
      </c>
      <c r="N544" s="12" t="n">
        <v>3</v>
      </c>
      <c r="O544" s="12" t="n">
        <v>4067.62</v>
      </c>
      <c r="P544" s="12" t="n">
        <v>0.2</v>
      </c>
      <c r="Q544" s="12" t="n">
        <v>9988.530000000001</v>
      </c>
      <c r="R544" s="12" t="n">
        <v>8368.24</v>
      </c>
      <c r="S544" s="12" t="n">
        <v>1394.05</v>
      </c>
      <c r="T544" s="12" t="inlineStr">
        <is>
          <t>Paid</t>
        </is>
      </c>
      <c r="U544" s="12" t="inlineStr">
        <is>
          <t>CANCELLED</t>
        </is>
      </c>
      <c r="V544">
        <f>IF(OR(P544="",P544&lt;0,P544&gt;0.5),0,P544)</f>
        <v/>
      </c>
      <c r="W544">
        <f>N544*O544*(1-V544)</f>
        <v/>
      </c>
      <c r="X544">
        <f>W544-R544</f>
        <v/>
      </c>
      <c r="Y544">
        <f>IF(W544=0,0,X544/W544)</f>
        <v/>
      </c>
      <c r="Z544">
        <f>C544-B544</f>
        <v/>
      </c>
      <c r="AA544">
        <f>TEXT(B544,"mmmm")</f>
        <v/>
      </c>
      <c r="AB544">
        <f>YEAR(B544)</f>
        <v/>
      </c>
      <c r="AC544">
        <f>IF(OR(P544&lt;0,P544&gt;0.5,C544&lt;B544),"INVALID","CLEAN")</f>
        <v/>
      </c>
    </row>
    <row r="545">
      <c r="A545" s="12" t="inlineStr">
        <is>
          <t>ORD-2024-10544</t>
        </is>
      </c>
      <c r="B545" s="12" t="inlineStr">
        <is>
          <t>2024-07-14</t>
        </is>
      </c>
      <c r="C545" s="12" t="inlineStr">
        <is>
          <t>20-07-2024</t>
        </is>
      </c>
      <c r="D545" s="12" t="inlineStr">
        <is>
          <t>CUST-9094</t>
        </is>
      </c>
      <c r="E545" s="12" t="inlineStr">
        <is>
          <t>Mira Das</t>
        </is>
      </c>
      <c r="F545" s="12" t="inlineStr">
        <is>
          <t>Consumer</t>
        </is>
      </c>
      <c r="G545" s="12" t="inlineStr">
        <is>
          <t>East</t>
        </is>
      </c>
      <c r="H545" s="12" t="inlineStr">
        <is>
          <t>Bihar</t>
        </is>
      </c>
      <c r="I545" s="12" t="inlineStr">
        <is>
          <t>Patna</t>
        </is>
      </c>
      <c r="J545" s="12" t="inlineStr">
        <is>
          <t>Technology</t>
        </is>
      </c>
      <c r="K545" s="12" t="inlineStr">
        <is>
          <t>Copiers</t>
        </is>
      </c>
      <c r="L545" s="12" t="inlineStr">
        <is>
          <t>Max Copiers 440</t>
        </is>
      </c>
      <c r="M545" s="12" t="inlineStr">
        <is>
          <t>Same Day</t>
        </is>
      </c>
      <c r="N545" s="12" t="n">
        <v>1</v>
      </c>
      <c r="O545" s="12" t="n">
        <v>492.67</v>
      </c>
      <c r="P545" s="12" t="n">
        <v>0.15</v>
      </c>
      <c r="Q545" s="12" t="n">
        <v>418.77</v>
      </c>
      <c r="R545" s="12" t="n">
        <v>313.72</v>
      </c>
      <c r="S545" s="12" t="n">
        <v>105.05</v>
      </c>
      <c r="T545" s="12" t="inlineStr">
        <is>
          <t>Paid</t>
        </is>
      </c>
      <c r="U545" s="12" t="inlineStr">
        <is>
          <t>Completed</t>
        </is>
      </c>
      <c r="V545">
        <f>IF(OR(P545="",P545&lt;0,P545&gt;0.5),0,P545)</f>
        <v/>
      </c>
      <c r="W545">
        <f>N545*O545*(1-V545)</f>
        <v/>
      </c>
      <c r="X545">
        <f>W545-R545</f>
        <v/>
      </c>
      <c r="Y545">
        <f>IF(W545=0,0,X545/W545)</f>
        <v/>
      </c>
      <c r="Z545">
        <f>C545-B545</f>
        <v/>
      </c>
      <c r="AA545">
        <f>TEXT(B545,"mmmm")</f>
        <v/>
      </c>
      <c r="AB545">
        <f>YEAR(B545)</f>
        <v/>
      </c>
      <c r="AC545">
        <f>IF(OR(P545&lt;0,P545&gt;0.5,C545&lt;B545),"INVALID","CLEAN")</f>
        <v/>
      </c>
    </row>
    <row r="546">
      <c r="A546" s="12" t="inlineStr">
        <is>
          <t>ORD-2025-10545</t>
        </is>
      </c>
      <c r="B546" s="12" t="inlineStr">
        <is>
          <t>2025-01-29</t>
        </is>
      </c>
      <c r="C546" s="12" t="inlineStr">
        <is>
          <t>02/05/2025</t>
        </is>
      </c>
      <c r="D546" s="12" t="inlineStr">
        <is>
          <t>CUST-2366</t>
        </is>
      </c>
      <c r="E546" s="12" t="inlineStr">
        <is>
          <t>Ananya Rao</t>
        </is>
      </c>
      <c r="F546" s="12" t="inlineStr">
        <is>
          <t>Consumer</t>
        </is>
      </c>
      <c r="G546" s="12" t="inlineStr">
        <is>
          <t>South</t>
        </is>
      </c>
      <c r="H546" s="12" t="inlineStr">
        <is>
          <t>Kerala</t>
        </is>
      </c>
      <c r="I546" s="12" t="inlineStr">
        <is>
          <t>Kochi</t>
        </is>
      </c>
      <c r="J546" s="12" t="inlineStr">
        <is>
          <t>Office Supplies</t>
        </is>
      </c>
      <c r="K546" s="12" t="inlineStr">
        <is>
          <t>Art</t>
        </is>
      </c>
      <c r="L546" s="12" t="inlineStr">
        <is>
          <t>Smart Art 201</t>
        </is>
      </c>
      <c r="M546" s="12" t="inlineStr">
        <is>
          <t>Same Day</t>
        </is>
      </c>
      <c r="N546" s="12" t="n">
        <v>8</v>
      </c>
      <c r="O546" s="12" t="n">
        <v>3643.62</v>
      </c>
      <c r="P546" s="12" t="n">
        <v>0.25</v>
      </c>
      <c r="Q546" s="12" t="n">
        <v>21861.72</v>
      </c>
      <c r="R546" s="12" t="n">
        <v>18464.34</v>
      </c>
      <c r="S546" s="12" t="n">
        <v>3397.38</v>
      </c>
      <c r="T546" s="12" t="inlineStr">
        <is>
          <t>Paid</t>
        </is>
      </c>
      <c r="U546" s="12" t="inlineStr">
        <is>
          <t>Cancelled</t>
        </is>
      </c>
      <c r="V546">
        <f>IF(OR(P546="",P546&lt;0,P546&gt;0.5),0,P546)</f>
        <v/>
      </c>
      <c r="W546">
        <f>N546*O546*(1-V546)</f>
        <v/>
      </c>
      <c r="X546">
        <f>W546-R546</f>
        <v/>
      </c>
      <c r="Y546">
        <f>IF(W546=0,0,X546/W546)</f>
        <v/>
      </c>
      <c r="Z546">
        <f>C546-B546</f>
        <v/>
      </c>
      <c r="AA546">
        <f>TEXT(B546,"mmmm")</f>
        <v/>
      </c>
      <c r="AB546">
        <f>YEAR(B546)</f>
        <v/>
      </c>
      <c r="AC546">
        <f>IF(OR(P546&lt;0,P546&gt;0.5,C546&lt;B546),"INVALID","CLEAN")</f>
        <v/>
      </c>
    </row>
    <row r="547">
      <c r="A547" s="12" t="inlineStr">
        <is>
          <t>ORD-2024-10546</t>
        </is>
      </c>
      <c r="B547" s="12" t="inlineStr">
        <is>
          <t>05/27/2024</t>
        </is>
      </c>
      <c r="C547" s="12" t="inlineStr">
        <is>
          <t>30 May 2024</t>
        </is>
      </c>
      <c r="D547" s="12" t="inlineStr">
        <is>
          <t>CUST-7168</t>
        </is>
      </c>
      <c r="E547" s="12" t="inlineStr">
        <is>
          <t>Kabir Singh</t>
        </is>
      </c>
      <c r="F547" s="12" t="inlineStr">
        <is>
          <t>Small Business</t>
        </is>
      </c>
      <c r="G547" s="12" t="inlineStr">
        <is>
          <t>East</t>
        </is>
      </c>
      <c r="H547" s="12" t="inlineStr">
        <is>
          <t>Jharkhand</t>
        </is>
      </c>
      <c r="I547" s="12" t="inlineStr">
        <is>
          <t>Ranchi</t>
        </is>
      </c>
      <c r="J547" s="12" t="inlineStr">
        <is>
          <t>Office Supplies</t>
        </is>
      </c>
      <c r="K547" s="12" t="inlineStr">
        <is>
          <t>Storage</t>
        </is>
      </c>
      <c r="L547" s="12" t="inlineStr">
        <is>
          <t>Classic Storage 755</t>
        </is>
      </c>
      <c r="M547" s="12" t="inlineStr">
        <is>
          <t>Same Day</t>
        </is>
      </c>
      <c r="N547" s="12" t="n">
        <v>7</v>
      </c>
      <c r="O547" s="12" t="n">
        <v>2900.86</v>
      </c>
      <c r="P547" s="12" t="n">
        <v>0.15</v>
      </c>
      <c r="Q547" s="12" t="n">
        <v>17260.12</v>
      </c>
      <c r="R547" s="12" t="n">
        <v>13513.51</v>
      </c>
      <c r="S547" s="12" t="n">
        <v>3746.61</v>
      </c>
      <c r="T547" s="12" t="inlineStr">
        <is>
          <t>Paid</t>
        </is>
      </c>
      <c r="U547" s="12" t="inlineStr">
        <is>
          <t>Completed</t>
        </is>
      </c>
      <c r="V547">
        <f>IF(OR(P547="",P547&lt;0,P547&gt;0.5),0,P547)</f>
        <v/>
      </c>
      <c r="W547">
        <f>N547*O547*(1-V547)</f>
        <v/>
      </c>
      <c r="X547">
        <f>W547-R547</f>
        <v/>
      </c>
      <c r="Y547">
        <f>IF(W547=0,0,X547/W547)</f>
        <v/>
      </c>
      <c r="Z547">
        <f>C547-B547</f>
        <v/>
      </c>
      <c r="AA547">
        <f>TEXT(B547,"mmmm")</f>
        <v/>
      </c>
      <c r="AB547">
        <f>YEAR(B547)</f>
        <v/>
      </c>
      <c r="AC547">
        <f>IF(OR(P547&lt;0,P547&gt;0.5,C547&lt;B547),"INVALID","CLEAN")</f>
        <v/>
      </c>
    </row>
    <row r="548">
      <c r="A548" s="12" t="inlineStr">
        <is>
          <t>ORD-2025-10547</t>
        </is>
      </c>
      <c r="B548" s="12" t="inlineStr">
        <is>
          <t>2025-08-14</t>
        </is>
      </c>
      <c r="C548" s="12" t="inlineStr">
        <is>
          <t>22 Aug 2025</t>
        </is>
      </c>
      <c r="D548" s="12" t="inlineStr">
        <is>
          <t>CUST-8157</t>
        </is>
      </c>
      <c r="E548" s="12" t="inlineStr">
        <is>
          <t>Arjun Bose</t>
        </is>
      </c>
      <c r="F548" s="12" t="inlineStr">
        <is>
          <t>Corporate</t>
        </is>
      </c>
      <c r="G548" s="12" t="inlineStr">
        <is>
          <t>West</t>
        </is>
      </c>
      <c r="H548" s="12" t="inlineStr">
        <is>
          <t>Gujarat</t>
        </is>
      </c>
      <c r="I548" s="12" t="inlineStr">
        <is>
          <t>Ahmedabad</t>
        </is>
      </c>
      <c r="J548" s="12" t="inlineStr">
        <is>
          <t>office supplies</t>
        </is>
      </c>
      <c r="K548" s="12" t="inlineStr">
        <is>
          <t>Paper</t>
        </is>
      </c>
      <c r="L548" s="12" t="inlineStr">
        <is>
          <t>Prime Paper 143</t>
        </is>
      </c>
      <c r="M548" s="12" t="inlineStr">
        <is>
          <t>First Class</t>
        </is>
      </c>
      <c r="N548" s="12" t="n">
        <v>5</v>
      </c>
      <c r="O548" s="12" t="n">
        <v>2567.37</v>
      </c>
      <c r="P548" s="12" t="n">
        <v>0.15</v>
      </c>
      <c r="Q548" s="12" t="n">
        <v>10911.32</v>
      </c>
      <c r="R548" s="12" t="n">
        <v>6966.44</v>
      </c>
      <c r="S548" s="12" t="n">
        <v>4395.17</v>
      </c>
      <c r="T548" s="12" t="inlineStr">
        <is>
          <t>Paid</t>
        </is>
      </c>
      <c r="U548" s="12" t="inlineStr">
        <is>
          <t>Completed</t>
        </is>
      </c>
      <c r="V548">
        <f>IF(OR(P548="",P548&lt;0,P548&gt;0.5),0,P548)</f>
        <v/>
      </c>
      <c r="W548">
        <f>N548*O548*(1-V548)</f>
        <v/>
      </c>
      <c r="X548">
        <f>W548-R548</f>
        <v/>
      </c>
      <c r="Y548">
        <f>IF(W548=0,0,X548/W548)</f>
        <v/>
      </c>
      <c r="Z548">
        <f>C548-B548</f>
        <v/>
      </c>
      <c r="AA548">
        <f>TEXT(B548,"mmmm")</f>
        <v/>
      </c>
      <c r="AB548">
        <f>YEAR(B548)</f>
        <v/>
      </c>
      <c r="AC548">
        <f>IF(OR(P548&lt;0,P548&gt;0.5,C548&lt;B548),"INVALID","CLEAN")</f>
        <v/>
      </c>
    </row>
    <row r="549">
      <c r="A549" s="12" t="inlineStr">
        <is>
          <t>ORD-2024-10548</t>
        </is>
      </c>
      <c r="B549" s="12" t="inlineStr">
        <is>
          <t>16 May 2024</t>
        </is>
      </c>
      <c r="C549" s="12" t="inlineStr">
        <is>
          <t>23 May 2024</t>
        </is>
      </c>
      <c r="D549" s="12" t="inlineStr">
        <is>
          <t>CUST-9146</t>
        </is>
      </c>
      <c r="E549" s="12" t="inlineStr">
        <is>
          <t>Neha Gupta</t>
        </is>
      </c>
      <c r="F549" s="12" t="inlineStr">
        <is>
          <t>Small Business</t>
        </is>
      </c>
      <c r="G549" s="12" t="inlineStr">
        <is>
          <t>North</t>
        </is>
      </c>
      <c r="H549" s="12" t="inlineStr">
        <is>
          <t>Uttar Pradesh</t>
        </is>
      </c>
      <c r="I549" s="12" t="inlineStr">
        <is>
          <t>Noida</t>
        </is>
      </c>
      <c r="J549" s="12" t="inlineStr">
        <is>
          <t>Technology</t>
        </is>
      </c>
      <c r="K549" s="12" t="inlineStr">
        <is>
          <t>Copiers</t>
        </is>
      </c>
      <c r="L549" s="12" t="inlineStr">
        <is>
          <t>Max Copiers 607</t>
        </is>
      </c>
      <c r="M549" s="12" t="inlineStr">
        <is>
          <t>Standard Class</t>
        </is>
      </c>
      <c r="N549" s="12" t="n">
        <v>9</v>
      </c>
      <c r="O549" s="12" t="n">
        <v>3722.09</v>
      </c>
      <c r="P549" s="12" t="n">
        <v>0.1</v>
      </c>
      <c r="Q549" s="12" t="n">
        <v>30148.93</v>
      </c>
      <c r="R549" s="12" t="n">
        <v>25155.07</v>
      </c>
      <c r="S549" s="12" t="n">
        <v>4993.86</v>
      </c>
      <c r="T549" s="12" t="inlineStr">
        <is>
          <t>Paid</t>
        </is>
      </c>
      <c r="U549" s="12" t="inlineStr">
        <is>
          <t>Completed</t>
        </is>
      </c>
      <c r="V549">
        <f>IF(OR(P549="",P549&lt;0,P549&gt;0.5),0,P549)</f>
        <v/>
      </c>
      <c r="W549">
        <f>N549*O549*(1-V549)</f>
        <v/>
      </c>
      <c r="X549">
        <f>W549-R549</f>
        <v/>
      </c>
      <c r="Y549">
        <f>IF(W549=0,0,X549/W549)</f>
        <v/>
      </c>
      <c r="Z549">
        <f>C549-B549</f>
        <v/>
      </c>
      <c r="AA549">
        <f>TEXT(B549,"mmmm")</f>
        <v/>
      </c>
      <c r="AB549">
        <f>YEAR(B549)</f>
        <v/>
      </c>
      <c r="AC549">
        <f>IF(OR(P549&lt;0,P549&gt;0.5,C549&lt;B549),"INVALID","CLEAN")</f>
        <v/>
      </c>
    </row>
    <row r="550">
      <c r="A550" s="12" t="inlineStr">
        <is>
          <t>ORD-2024-10549</t>
        </is>
      </c>
      <c r="B550" s="12" t="inlineStr">
        <is>
          <t>29 May 2024</t>
        </is>
      </c>
      <c r="C550" s="12" t="inlineStr">
        <is>
          <t>29-05-2024</t>
        </is>
      </c>
      <c r="D550" s="12" t="inlineStr">
        <is>
          <t>CUST-5129</t>
        </is>
      </c>
      <c r="E550" s="12" t="inlineStr">
        <is>
          <t>Rohan Mehta</t>
        </is>
      </c>
      <c r="F550" s="12" t="inlineStr">
        <is>
          <t>Corporate</t>
        </is>
      </c>
      <c r="G550" s="12" t="inlineStr">
        <is>
          <t>East</t>
        </is>
      </c>
      <c r="H550" s="12" t="inlineStr">
        <is>
          <t>Bihar</t>
        </is>
      </c>
      <c r="I550" s="12" t="inlineStr">
        <is>
          <t>Patna</t>
        </is>
      </c>
      <c r="J550" s="12" t="inlineStr">
        <is>
          <t>Furniture</t>
        </is>
      </c>
      <c r="K550" s="12" t="inlineStr">
        <is>
          <t>Bookcases</t>
        </is>
      </c>
      <c r="L550" s="12" t="inlineStr">
        <is>
          <t>Prime Bookcases 402</t>
        </is>
      </c>
      <c r="M550" s="12" t="inlineStr">
        <is>
          <t>Same Day</t>
        </is>
      </c>
      <c r="N550" s="12" t="n">
        <v>1</v>
      </c>
      <c r="O550" s="12" t="n">
        <v>1072.01</v>
      </c>
      <c r="P550" s="12" t="n">
        <v>0</v>
      </c>
      <c r="Q550" s="12" t="n">
        <v>1072.01</v>
      </c>
      <c r="R550" s="12" t="n">
        <v>852.62</v>
      </c>
      <c r="S550" s="12" t="n">
        <v>219.39</v>
      </c>
      <c r="T550" s="12" t="inlineStr">
        <is>
          <t>Pending</t>
        </is>
      </c>
      <c r="U550" s="12" t="inlineStr">
        <is>
          <t>Cancelled</t>
        </is>
      </c>
      <c r="V550">
        <f>IF(OR(P550="",P550&lt;0,P550&gt;0.5),0,P550)</f>
        <v/>
      </c>
      <c r="W550">
        <f>N550*O550*(1-V550)</f>
        <v/>
      </c>
      <c r="X550">
        <f>W550-R550</f>
        <v/>
      </c>
      <c r="Y550">
        <f>IF(W550=0,0,X550/W550)</f>
        <v/>
      </c>
      <c r="Z550">
        <f>C550-B550</f>
        <v/>
      </c>
      <c r="AA550">
        <f>TEXT(B550,"mmmm")</f>
        <v/>
      </c>
      <c r="AB550">
        <f>YEAR(B550)</f>
        <v/>
      </c>
      <c r="AC550">
        <f>IF(OR(P550&lt;0,P550&gt;0.5,C550&lt;B550),"INVALID","CLEAN")</f>
        <v/>
      </c>
    </row>
    <row r="551">
      <c r="A551" s="12" t="inlineStr">
        <is>
          <t>ORD-2025-10550</t>
        </is>
      </c>
      <c r="B551" s="12" t="inlineStr">
        <is>
          <t>10/11/2025</t>
        </is>
      </c>
      <c r="C551" s="12" t="inlineStr">
        <is>
          <t>13 Oct 2025</t>
        </is>
      </c>
      <c r="D551" s="12" t="inlineStr">
        <is>
          <t>CUST-6028</t>
        </is>
      </c>
      <c r="E551" s="12" t="inlineStr">
        <is>
          <t>Mira Das</t>
        </is>
      </c>
      <c r="F551" s="12" t="inlineStr">
        <is>
          <t>Corporate</t>
        </is>
      </c>
      <c r="G551" s="12" t="inlineStr">
        <is>
          <t>South</t>
        </is>
      </c>
      <c r="H551" s="12" t="inlineStr">
        <is>
          <t>Telangana</t>
        </is>
      </c>
      <c r="I551" s="12" t="inlineStr">
        <is>
          <t>Hyderabad</t>
        </is>
      </c>
      <c r="J551" s="12" t="inlineStr">
        <is>
          <t>Office Supplies</t>
        </is>
      </c>
      <c r="K551" s="12" t="inlineStr">
        <is>
          <t>Art</t>
        </is>
      </c>
      <c r="L551" s="12" t="inlineStr">
        <is>
          <t>Pro Art 287</t>
        </is>
      </c>
      <c r="M551" s="12" t="inlineStr">
        <is>
          <t>Second Class</t>
        </is>
      </c>
      <c r="N551" s="12" t="n">
        <v>3</v>
      </c>
      <c r="O551" s="12" t="n">
        <v>3804.27</v>
      </c>
      <c r="P551" s="12" t="n">
        <v>0.1</v>
      </c>
      <c r="Q551" s="12" t="n">
        <v>10271.53</v>
      </c>
      <c r="R551" s="12" t="n">
        <v>8272.24</v>
      </c>
      <c r="S551" s="12" t="n">
        <v>1999.29</v>
      </c>
      <c r="T551" s="12" t="inlineStr">
        <is>
          <t>Paid</t>
        </is>
      </c>
      <c r="U551" s="12" t="inlineStr">
        <is>
          <t>Completed</t>
        </is>
      </c>
      <c r="V551">
        <f>IF(OR(P551="",P551&lt;0,P551&gt;0.5),0,P551)</f>
        <v/>
      </c>
      <c r="W551">
        <f>N551*O551*(1-V551)</f>
        <v/>
      </c>
      <c r="X551">
        <f>W551-R551</f>
        <v/>
      </c>
      <c r="Y551">
        <f>IF(W551=0,0,X551/W551)</f>
        <v/>
      </c>
      <c r="Z551">
        <f>C551-B551</f>
        <v/>
      </c>
      <c r="AA551">
        <f>TEXT(B551,"mmmm")</f>
        <v/>
      </c>
      <c r="AB551">
        <f>YEAR(B551)</f>
        <v/>
      </c>
      <c r="AC551">
        <f>IF(OR(P551&lt;0,P551&gt;0.5,C551&lt;B551),"INVALID","CLEAN")</f>
        <v/>
      </c>
    </row>
    <row r="552">
      <c r="A552" s="12" t="inlineStr">
        <is>
          <t>ORD-2024-10551</t>
        </is>
      </c>
      <c r="B552" s="12" t="inlineStr">
        <is>
          <t>02-08-2024</t>
        </is>
      </c>
      <c r="C552" s="12" t="inlineStr">
        <is>
          <t>08/10/2024</t>
        </is>
      </c>
      <c r="D552" s="12" t="inlineStr">
        <is>
          <t>CUST-8687</t>
        </is>
      </c>
      <c r="E552" s="12" t="inlineStr">
        <is>
          <t>Mira Das</t>
        </is>
      </c>
      <c r="F552" s="12" t="inlineStr">
        <is>
          <t>Home Office</t>
        </is>
      </c>
      <c r="G552" s="12" t="inlineStr">
        <is>
          <t>East</t>
        </is>
      </c>
      <c r="H552" s="12" t="inlineStr">
        <is>
          <t>Odisha</t>
        </is>
      </c>
      <c r="I552" s="12" t="inlineStr">
        <is>
          <t>Bhubaneswar</t>
        </is>
      </c>
      <c r="J552" s="12" t="inlineStr">
        <is>
          <t>Technology</t>
        </is>
      </c>
      <c r="K552" s="12" t="inlineStr">
        <is>
          <t>Accessories</t>
        </is>
      </c>
      <c r="L552" s="12" t="inlineStr">
        <is>
          <t>Max Accessories 591</t>
        </is>
      </c>
      <c r="M552" s="12" t="inlineStr">
        <is>
          <t>Standard Class</t>
        </is>
      </c>
      <c r="N552" s="12" t="n">
        <v>6</v>
      </c>
      <c r="O552" s="12" t="n">
        <v>2126.44</v>
      </c>
      <c r="P552" s="12" t="n">
        <v>0.2</v>
      </c>
      <c r="Q552" s="12" t="n">
        <v>10206.91</v>
      </c>
      <c r="R552" s="12" t="n">
        <v>6764.53</v>
      </c>
      <c r="S552" s="12" t="n">
        <v>3442.38</v>
      </c>
      <c r="T552" s="12" t="inlineStr">
        <is>
          <t>Paid</t>
        </is>
      </c>
      <c r="U552" s="12" t="inlineStr">
        <is>
          <t>Completed</t>
        </is>
      </c>
      <c r="V552">
        <f>IF(OR(P552="",P552&lt;0,P552&gt;0.5),0,P552)</f>
        <v/>
      </c>
      <c r="W552">
        <f>N552*O552*(1-V552)</f>
        <v/>
      </c>
      <c r="X552">
        <f>W552-R552</f>
        <v/>
      </c>
      <c r="Y552">
        <f>IF(W552=0,0,X552/W552)</f>
        <v/>
      </c>
      <c r="Z552">
        <f>C552-B552</f>
        <v/>
      </c>
      <c r="AA552">
        <f>TEXT(B552,"mmmm")</f>
        <v/>
      </c>
      <c r="AB552">
        <f>YEAR(B552)</f>
        <v/>
      </c>
      <c r="AC552">
        <f>IF(OR(P552&lt;0,P552&gt;0.5,C552&lt;B552),"INVALID","CLEAN")</f>
        <v/>
      </c>
    </row>
    <row r="553">
      <c r="A553" s="12" t="inlineStr">
        <is>
          <t>ORD-2024-10552</t>
        </is>
      </c>
      <c r="B553" s="12" t="inlineStr">
        <is>
          <t>27-02-2024</t>
        </is>
      </c>
      <c r="C553" s="12" t="inlineStr">
        <is>
          <t>2024-02-27</t>
        </is>
      </c>
      <c r="D553" s="12" t="inlineStr">
        <is>
          <t>CUST-8172</t>
        </is>
      </c>
      <c r="E553" s="12" t="inlineStr">
        <is>
          <t>Sneha Kapoor</t>
        </is>
      </c>
      <c r="F553" s="12" t="inlineStr">
        <is>
          <t>Consumer</t>
        </is>
      </c>
      <c r="G553" s="12" t="inlineStr">
        <is>
          <t>East</t>
        </is>
      </c>
      <c r="H553" s="12" t="inlineStr">
        <is>
          <t>Jharkhand</t>
        </is>
      </c>
      <c r="I553" s="12" t="inlineStr">
        <is>
          <t>Ranchi</t>
        </is>
      </c>
      <c r="J553" s="12" t="inlineStr">
        <is>
          <t>Furniture</t>
        </is>
      </c>
      <c r="K553" s="12" t="inlineStr">
        <is>
          <t>Chairs</t>
        </is>
      </c>
      <c r="L553" s="12" t="inlineStr">
        <is>
          <t>Elite Chairs 314</t>
        </is>
      </c>
      <c r="M553" s="12" t="inlineStr">
        <is>
          <t>Second Class</t>
        </is>
      </c>
      <c r="N553" s="12" t="n">
        <v>3</v>
      </c>
      <c r="O553" s="12" t="n">
        <v>3148.09</v>
      </c>
      <c r="P553" s="12" t="n">
        <v>0.15</v>
      </c>
      <c r="Q553" s="12" t="n">
        <v>8027.63</v>
      </c>
      <c r="R553" s="12" t="n">
        <v>5496.09</v>
      </c>
      <c r="S553" s="12" t="n">
        <v>2531.54</v>
      </c>
      <c r="T553" s="12" t="inlineStr">
        <is>
          <t>Paid</t>
        </is>
      </c>
      <c r="U553" s="12" t="inlineStr">
        <is>
          <t>Completed</t>
        </is>
      </c>
      <c r="V553">
        <f>IF(OR(P553="",P553&lt;0,P553&gt;0.5),0,P553)</f>
        <v/>
      </c>
      <c r="W553">
        <f>N553*O553*(1-V553)</f>
        <v/>
      </c>
      <c r="X553">
        <f>W553-R553</f>
        <v/>
      </c>
      <c r="Y553">
        <f>IF(W553=0,0,X553/W553)</f>
        <v/>
      </c>
      <c r="Z553">
        <f>C553-B553</f>
        <v/>
      </c>
      <c r="AA553">
        <f>TEXT(B553,"mmmm")</f>
        <v/>
      </c>
      <c r="AB553">
        <f>YEAR(B553)</f>
        <v/>
      </c>
      <c r="AC553">
        <f>IF(OR(P553&lt;0,P553&gt;0.5,C553&lt;B553),"INVALID","CLEAN")</f>
        <v/>
      </c>
    </row>
    <row r="554">
      <c r="A554" s="12" t="inlineStr">
        <is>
          <t>ORD-2025-10553</t>
        </is>
      </c>
      <c r="B554" s="12" t="inlineStr">
        <is>
          <t>24-01-2025</t>
        </is>
      </c>
      <c r="C554" s="12" t="inlineStr">
        <is>
          <t>30 Jan 2025</t>
        </is>
      </c>
      <c r="D554" s="12" t="inlineStr">
        <is>
          <t>CUST-8861</t>
        </is>
      </c>
      <c r="E554" s="12" t="inlineStr">
        <is>
          <t>Ananya Rao</t>
        </is>
      </c>
      <c r="F554" s="12" t="inlineStr">
        <is>
          <t>Corporate</t>
        </is>
      </c>
      <c r="G554" s="12" t="inlineStr">
        <is>
          <t>East</t>
        </is>
      </c>
      <c r="H554" s="12" t="inlineStr">
        <is>
          <t>West Bengal</t>
        </is>
      </c>
      <c r="I554" s="12" t="inlineStr">
        <is>
          <t>Kolkata</t>
        </is>
      </c>
      <c r="J554" s="12" t="inlineStr">
        <is>
          <t>Technology</t>
        </is>
      </c>
      <c r="K554" s="12" t="inlineStr">
        <is>
          <t>Copiers</t>
        </is>
      </c>
      <c r="L554" s="12" t="inlineStr">
        <is>
          <t>Pro Copiers 246</t>
        </is>
      </c>
      <c r="M554" s="12" t="inlineStr">
        <is>
          <t>Standard Class</t>
        </is>
      </c>
      <c r="N554" s="12" t="n">
        <v>8</v>
      </c>
      <c r="O554" s="12" t="n">
        <v>312.53</v>
      </c>
      <c r="P554" s="12" t="inlineStr">
        <is>
          <t>70%</t>
        </is>
      </c>
      <c r="Q554" s="12" t="n">
        <v>1875.18</v>
      </c>
      <c r="R554" s="12" t="n">
        <v>1579.17</v>
      </c>
      <c r="S554" s="12" t="n">
        <v>296.01</v>
      </c>
      <c r="T554" s="12" t="inlineStr">
        <is>
          <t>Paid</t>
        </is>
      </c>
      <c r="U554" s="12" t="inlineStr">
        <is>
          <t>Completed</t>
        </is>
      </c>
      <c r="V554">
        <f>IF(OR(P554="",P554&lt;0,P554&gt;0.5),0,P554)</f>
        <v/>
      </c>
      <c r="W554">
        <f>N554*O554*(1-V554)</f>
        <v/>
      </c>
      <c r="X554">
        <f>W554-R554</f>
        <v/>
      </c>
      <c r="Y554">
        <f>IF(W554=0,0,X554/W554)</f>
        <v/>
      </c>
      <c r="Z554">
        <f>C554-B554</f>
        <v/>
      </c>
      <c r="AA554">
        <f>TEXT(B554,"mmmm")</f>
        <v/>
      </c>
      <c r="AB554">
        <f>YEAR(B554)</f>
        <v/>
      </c>
      <c r="AC554">
        <f>IF(OR(P554&lt;0,P554&gt;0.5,C554&lt;B554),"INVALID","CLEAN")</f>
        <v/>
      </c>
    </row>
    <row r="555">
      <c r="A555" s="12" t="inlineStr">
        <is>
          <t>ORD-2025-10554</t>
        </is>
      </c>
      <c r="B555" s="12" t="inlineStr">
        <is>
          <t>04/25/2025</t>
        </is>
      </c>
      <c r="C555" s="12" t="inlineStr">
        <is>
          <t>2025-04-28</t>
        </is>
      </c>
      <c r="D555" s="12" t="inlineStr">
        <is>
          <t>CUST-9241</t>
        </is>
      </c>
      <c r="E555" s="12" t="inlineStr">
        <is>
          <t>Aarav Sharma</t>
        </is>
      </c>
      <c r="F555" s="12" t="inlineStr">
        <is>
          <t>Small Business</t>
        </is>
      </c>
      <c r="G555" s="12" t="inlineStr">
        <is>
          <t>West</t>
        </is>
      </c>
      <c r="H555" s="12" t="inlineStr">
        <is>
          <t>Gujarat</t>
        </is>
      </c>
      <c r="I555" s="12" t="inlineStr">
        <is>
          <t>Ahmedabad</t>
        </is>
      </c>
      <c r="J555" s="12" t="inlineStr">
        <is>
          <t>Office Supplies</t>
        </is>
      </c>
      <c r="K555" s="12" t="inlineStr">
        <is>
          <t>Storage</t>
        </is>
      </c>
      <c r="L555" s="12" t="inlineStr">
        <is>
          <t>Pro Storage 128</t>
        </is>
      </c>
      <c r="M555" s="12" t="inlineStr">
        <is>
          <t>First Class</t>
        </is>
      </c>
      <c r="N555" s="12" t="n">
        <v>9</v>
      </c>
      <c r="O555" s="12" t="n">
        <v>1294.11</v>
      </c>
      <c r="P555" s="12" t="n">
        <v>0.25</v>
      </c>
      <c r="Q555" s="12" t="n">
        <v>8735.24</v>
      </c>
      <c r="R555" s="12" t="n">
        <v>6620.07</v>
      </c>
      <c r="S555" s="12" t="n">
        <v>2115.17</v>
      </c>
      <c r="T555" s="12" t="inlineStr">
        <is>
          <t>Paid</t>
        </is>
      </c>
      <c r="U555" s="12" t="inlineStr">
        <is>
          <t>Completed</t>
        </is>
      </c>
      <c r="V555">
        <f>IF(OR(P555="",P555&lt;0,P555&gt;0.5),0,P555)</f>
        <v/>
      </c>
      <c r="W555">
        <f>N555*O555*(1-V555)</f>
        <v/>
      </c>
      <c r="X555">
        <f>W555-R555</f>
        <v/>
      </c>
      <c r="Y555">
        <f>IF(W555=0,0,X555/W555)</f>
        <v/>
      </c>
      <c r="Z555">
        <f>C555-B555</f>
        <v/>
      </c>
      <c r="AA555">
        <f>TEXT(B555,"mmmm")</f>
        <v/>
      </c>
      <c r="AB555">
        <f>YEAR(B555)</f>
        <v/>
      </c>
      <c r="AC555">
        <f>IF(OR(P555&lt;0,P555&gt;0.5,C555&lt;B555),"INVALID","CLEAN")</f>
        <v/>
      </c>
    </row>
    <row r="556">
      <c r="A556" s="12" t="inlineStr">
        <is>
          <t>ORD-2024-10555</t>
        </is>
      </c>
      <c r="B556" s="12" t="inlineStr">
        <is>
          <t>2024-10-12</t>
        </is>
      </c>
      <c r="C556" s="12" t="inlineStr">
        <is>
          <t>17 Oct 2024</t>
        </is>
      </c>
      <c r="D556" s="12" t="inlineStr">
        <is>
          <t>CUST-2126</t>
        </is>
      </c>
      <c r="E556" s="12" t="inlineStr">
        <is>
          <t>Arjun Bose</t>
        </is>
      </c>
      <c r="F556" s="12" t="inlineStr">
        <is>
          <t>Consumer</t>
        </is>
      </c>
      <c r="G556" s="12" t="n"/>
      <c r="H556" s="12" t="inlineStr">
        <is>
          <t>Jharkhand</t>
        </is>
      </c>
      <c r="I556" s="12" t="inlineStr">
        <is>
          <t>Ranchi</t>
        </is>
      </c>
      <c r="J556" s="12" t="inlineStr">
        <is>
          <t>Furniture</t>
        </is>
      </c>
      <c r="K556" s="12" t="inlineStr">
        <is>
          <t>Furnishings</t>
        </is>
      </c>
      <c r="L556" s="12" t="inlineStr">
        <is>
          <t>Prime Furnishings 892</t>
        </is>
      </c>
      <c r="M556" s="12" t="inlineStr">
        <is>
          <t>Standard Class</t>
        </is>
      </c>
      <c r="N556" s="12" t="n">
        <v>4</v>
      </c>
      <c r="O556" s="12" t="n">
        <v>1071.22</v>
      </c>
      <c r="P556" s="12" t="n">
        <v>0.05</v>
      </c>
      <c r="Q556" s="12" t="n">
        <v>4070.64</v>
      </c>
      <c r="R556" s="12" t="n">
        <v>2831.62</v>
      </c>
      <c r="S556" s="12" t="n">
        <v>1239.02</v>
      </c>
      <c r="T556" s="12" t="inlineStr">
        <is>
          <t>Paid</t>
        </is>
      </c>
      <c r="U556" s="12" t="inlineStr">
        <is>
          <t>Completed</t>
        </is>
      </c>
      <c r="V556">
        <f>IF(OR(P556="",P556&lt;0,P556&gt;0.5),0,P556)</f>
        <v/>
      </c>
      <c r="W556">
        <f>N556*O556*(1-V556)</f>
        <v/>
      </c>
      <c r="X556">
        <f>W556-R556</f>
        <v/>
      </c>
      <c r="Y556">
        <f>IF(W556=0,0,X556/W556)</f>
        <v/>
      </c>
      <c r="Z556">
        <f>C556-B556</f>
        <v/>
      </c>
      <c r="AA556">
        <f>TEXT(B556,"mmmm")</f>
        <v/>
      </c>
      <c r="AB556">
        <f>YEAR(B556)</f>
        <v/>
      </c>
      <c r="AC556">
        <f>IF(OR(P556&lt;0,P556&gt;0.5,C556&lt;B556),"INVALID","CLEAN")</f>
        <v/>
      </c>
    </row>
    <row r="557">
      <c r="A557" s="12" t="inlineStr">
        <is>
          <t>ORD-2025-10556</t>
        </is>
      </c>
      <c r="B557" s="12" t="inlineStr">
        <is>
          <t>04-02-2025</t>
        </is>
      </c>
      <c r="C557" s="12" t="inlineStr">
        <is>
          <t>10 Feb 2025</t>
        </is>
      </c>
      <c r="D557" s="12" t="inlineStr">
        <is>
          <t>CUST-7513</t>
        </is>
      </c>
      <c r="E557" s="12" t="inlineStr">
        <is>
          <t>Ananya Rao</t>
        </is>
      </c>
      <c r="F557" s="12" t="inlineStr">
        <is>
          <t>Small Business</t>
        </is>
      </c>
      <c r="G557" s="12" t="inlineStr">
        <is>
          <t>South</t>
        </is>
      </c>
      <c r="H557" s="12" t="inlineStr">
        <is>
          <t>Telangana</t>
        </is>
      </c>
      <c r="I557" s="12" t="inlineStr">
        <is>
          <t>Hyderabad</t>
        </is>
      </c>
      <c r="J557" s="12" t="inlineStr">
        <is>
          <t>Office Supplies</t>
        </is>
      </c>
      <c r="K557" s="12" t="inlineStr">
        <is>
          <t>Storage</t>
        </is>
      </c>
      <c r="L557" s="12" t="inlineStr">
        <is>
          <t>Prime Storage 689</t>
        </is>
      </c>
      <c r="M557" s="12" t="inlineStr">
        <is>
          <t>Standard Class</t>
        </is>
      </c>
      <c r="N557" s="12" t="n">
        <v>6</v>
      </c>
      <c r="O557" s="12" t="n">
        <v>1042.8</v>
      </c>
      <c r="P557" s="12" t="n">
        <v>0.05</v>
      </c>
      <c r="Q557" s="12" t="n">
        <v>5943.96</v>
      </c>
      <c r="R557" s="12" t="n">
        <v>3604.14</v>
      </c>
      <c r="S557" s="12" t="n">
        <v>2339.82</v>
      </c>
      <c r="T557" s="12" t="inlineStr">
        <is>
          <t>Paid</t>
        </is>
      </c>
      <c r="U557" s="12" t="inlineStr">
        <is>
          <t>Completed</t>
        </is>
      </c>
      <c r="V557">
        <f>IF(OR(P557="",P557&lt;0,P557&gt;0.5),0,P557)</f>
        <v/>
      </c>
      <c r="W557">
        <f>N557*O557*(1-V557)</f>
        <v/>
      </c>
      <c r="X557">
        <f>W557-R557</f>
        <v/>
      </c>
      <c r="Y557">
        <f>IF(W557=0,0,X557/W557)</f>
        <v/>
      </c>
      <c r="Z557">
        <f>C557-B557</f>
        <v/>
      </c>
      <c r="AA557">
        <f>TEXT(B557,"mmmm")</f>
        <v/>
      </c>
      <c r="AB557">
        <f>YEAR(B557)</f>
        <v/>
      </c>
      <c r="AC557">
        <f>IF(OR(P557&lt;0,P557&gt;0.5,C557&lt;B557),"INVALID","CLEAN")</f>
        <v/>
      </c>
    </row>
    <row r="558">
      <c r="A558" s="12" t="inlineStr">
        <is>
          <t>ORD-2024-10557</t>
        </is>
      </c>
      <c r="B558" s="12" t="inlineStr">
        <is>
          <t>23 Jun 2024</t>
        </is>
      </c>
      <c r="C558" s="12" t="inlineStr">
        <is>
          <t>2024-06-29</t>
        </is>
      </c>
      <c r="D558" s="12" t="inlineStr">
        <is>
          <t>CUST-1992</t>
        </is>
      </c>
      <c r="E558" s="12" t="inlineStr">
        <is>
          <t>Neha Gupta</t>
        </is>
      </c>
      <c r="F558" s="12" t="inlineStr">
        <is>
          <t>Consumer</t>
        </is>
      </c>
      <c r="G558" s="12" t="inlineStr">
        <is>
          <t>North</t>
        </is>
      </c>
      <c r="H558" s="12" t="inlineStr">
        <is>
          <t>Haryana</t>
        </is>
      </c>
      <c r="I558" s="12" t="inlineStr">
        <is>
          <t>Gurugram</t>
        </is>
      </c>
      <c r="J558" s="12" t="inlineStr">
        <is>
          <t>Furniture</t>
        </is>
      </c>
      <c r="K558" s="12" t="inlineStr">
        <is>
          <t>Tables</t>
        </is>
      </c>
      <c r="L558" s="12" t="inlineStr">
        <is>
          <t>Classic Tables 769</t>
        </is>
      </c>
      <c r="M558" s="12" t="inlineStr">
        <is>
          <t>First Class</t>
        </is>
      </c>
      <c r="N558" s="12" t="n">
        <v>1</v>
      </c>
      <c r="O558" s="12" t="n">
        <v>4426.66</v>
      </c>
      <c r="P558" s="12" t="n">
        <v>0</v>
      </c>
      <c r="Q558" s="12" t="n">
        <v>4426.66</v>
      </c>
      <c r="R558" s="12" t="n">
        <v>3035.2</v>
      </c>
      <c r="S558" s="12" t="n">
        <v>1816.23</v>
      </c>
      <c r="T558" s="12" t="inlineStr">
        <is>
          <t>Paid</t>
        </is>
      </c>
      <c r="U558" s="12" t="inlineStr">
        <is>
          <t>Returned</t>
        </is>
      </c>
      <c r="V558">
        <f>IF(OR(P558="",P558&lt;0,P558&gt;0.5),0,P558)</f>
        <v/>
      </c>
      <c r="W558">
        <f>N558*O558*(1-V558)</f>
        <v/>
      </c>
      <c r="X558">
        <f>W558-R558</f>
        <v/>
      </c>
      <c r="Y558">
        <f>IF(W558=0,0,X558/W558)</f>
        <v/>
      </c>
      <c r="Z558">
        <f>C558-B558</f>
        <v/>
      </c>
      <c r="AA558">
        <f>TEXT(B558,"mmmm")</f>
        <v/>
      </c>
      <c r="AB558">
        <f>YEAR(B558)</f>
        <v/>
      </c>
      <c r="AC558">
        <f>IF(OR(P558&lt;0,P558&gt;0.5,C558&lt;B558),"INVALID","CLEAN")</f>
        <v/>
      </c>
    </row>
    <row r="559">
      <c r="A559" s="12" t="inlineStr">
        <is>
          <t>ORD-2024-10558</t>
        </is>
      </c>
      <c r="B559" s="12" t="inlineStr">
        <is>
          <t>2024-05-08</t>
        </is>
      </c>
      <c r="C559" s="12" t="inlineStr">
        <is>
          <t>14-05-2024</t>
        </is>
      </c>
      <c r="D559" s="12" t="inlineStr">
        <is>
          <t>CUST-8848</t>
        </is>
      </c>
      <c r="E559" s="12" t="inlineStr">
        <is>
          <t>Vikram Iyer</t>
        </is>
      </c>
      <c r="F559" s="12" t="inlineStr">
        <is>
          <t>Home Office</t>
        </is>
      </c>
      <c r="G559" s="12" t="inlineStr">
        <is>
          <t>North</t>
        </is>
      </c>
      <c r="H559" s="12" t="inlineStr">
        <is>
          <t>Haryana</t>
        </is>
      </c>
      <c r="I559" s="12" t="inlineStr">
        <is>
          <t>Gurugram</t>
        </is>
      </c>
      <c r="J559" s="12" t="inlineStr">
        <is>
          <t>Technology</t>
        </is>
      </c>
      <c r="K559" s="12" t="inlineStr">
        <is>
          <t>Phones</t>
        </is>
      </c>
      <c r="L559" s="12" t="inlineStr">
        <is>
          <t>Prime Phones 503</t>
        </is>
      </c>
      <c r="M559" s="12" t="inlineStr">
        <is>
          <t>First Class</t>
        </is>
      </c>
      <c r="N559" s="12" t="n">
        <v>9</v>
      </c>
      <c r="O559" s="12" t="n">
        <v>3769.46</v>
      </c>
      <c r="P559" s="12" t="n">
        <v>0.05</v>
      </c>
      <c r="Q559" s="12" t="n">
        <v>32228.88</v>
      </c>
      <c r="R559" s="12" t="n">
        <v>24971.36</v>
      </c>
      <c r="S559" s="12" t="n">
        <v>7257.52</v>
      </c>
      <c r="T559" s="12" t="inlineStr">
        <is>
          <t>Paid</t>
        </is>
      </c>
      <c r="U559" s="12" t="inlineStr">
        <is>
          <t>Cancelled</t>
        </is>
      </c>
      <c r="V559">
        <f>IF(OR(P559="",P559&lt;0,P559&gt;0.5),0,P559)</f>
        <v/>
      </c>
      <c r="W559">
        <f>N559*O559*(1-V559)</f>
        <v/>
      </c>
      <c r="X559">
        <f>W559-R559</f>
        <v/>
      </c>
      <c r="Y559">
        <f>IF(W559=0,0,X559/W559)</f>
        <v/>
      </c>
      <c r="Z559">
        <f>C559-B559</f>
        <v/>
      </c>
      <c r="AA559">
        <f>TEXT(B559,"mmmm")</f>
        <v/>
      </c>
      <c r="AB559">
        <f>YEAR(B559)</f>
        <v/>
      </c>
      <c r="AC559">
        <f>IF(OR(P559&lt;0,P559&gt;0.5,C559&lt;B559),"INVALID","CLEAN")</f>
        <v/>
      </c>
    </row>
    <row r="560">
      <c r="A560" s="12" t="inlineStr">
        <is>
          <t>ORD-2025-10559</t>
        </is>
      </c>
      <c r="B560" s="12" t="inlineStr">
        <is>
          <t>2025-09-04</t>
        </is>
      </c>
      <c r="C560" s="12" t="inlineStr">
        <is>
          <t>09/04/2025</t>
        </is>
      </c>
      <c r="D560" s="12" t="inlineStr">
        <is>
          <t>CUST-9368</t>
        </is>
      </c>
      <c r="E560" s="12" t="inlineStr">
        <is>
          <t>Aditi Sen</t>
        </is>
      </c>
      <c r="F560" s="12" t="inlineStr">
        <is>
          <t>Corporate</t>
        </is>
      </c>
      <c r="G560" s="12" t="inlineStr">
        <is>
          <t>North</t>
        </is>
      </c>
      <c r="H560" s="12" t="inlineStr">
        <is>
          <t>Punjab</t>
        </is>
      </c>
      <c r="I560" s="12" t="inlineStr">
        <is>
          <t>Ludhiana</t>
        </is>
      </c>
      <c r="J560" s="12" t="inlineStr">
        <is>
          <t>Technology</t>
        </is>
      </c>
      <c r="K560" s="12" t="inlineStr">
        <is>
          <t>Machines</t>
        </is>
      </c>
      <c r="L560" s="12" t="inlineStr">
        <is>
          <t>Basic Machines 136</t>
        </is>
      </c>
      <c r="M560" s="12" t="inlineStr">
        <is>
          <t>First Class</t>
        </is>
      </c>
      <c r="N560" s="12" t="n">
        <v>8</v>
      </c>
      <c r="O560" s="12" t="n">
        <v>3079.95</v>
      </c>
      <c r="P560" s="12" t="n">
        <v>0.2</v>
      </c>
      <c r="Q560" s="12" t="n">
        <v>19711.68</v>
      </c>
      <c r="R560" s="12" t="n">
        <v>14461.8</v>
      </c>
      <c r="S560" s="12" t="n">
        <v>5249.88</v>
      </c>
      <c r="T560" s="12" t="inlineStr">
        <is>
          <t>Paid</t>
        </is>
      </c>
      <c r="U560" s="12" t="inlineStr">
        <is>
          <t>Completed</t>
        </is>
      </c>
      <c r="V560">
        <f>IF(OR(P560="",P560&lt;0,P560&gt;0.5),0,P560)</f>
        <v/>
      </c>
      <c r="W560">
        <f>N560*O560*(1-V560)</f>
        <v/>
      </c>
      <c r="X560">
        <f>W560-R560</f>
        <v/>
      </c>
      <c r="Y560">
        <f>IF(W560=0,0,X560/W560)</f>
        <v/>
      </c>
      <c r="Z560">
        <f>C560-B560</f>
        <v/>
      </c>
      <c r="AA560">
        <f>TEXT(B560,"mmmm")</f>
        <v/>
      </c>
      <c r="AB560">
        <f>YEAR(B560)</f>
        <v/>
      </c>
      <c r="AC560">
        <f>IF(OR(P560&lt;0,P560&gt;0.5,C560&lt;B560),"INVALID","CLEAN")</f>
        <v/>
      </c>
    </row>
    <row r="561">
      <c r="A561" s="12" t="inlineStr">
        <is>
          <t>ORD-2025-10560</t>
        </is>
      </c>
      <c r="B561" s="12" t="inlineStr">
        <is>
          <t>30 Sep 2025</t>
        </is>
      </c>
      <c r="C561" s="12" t="inlineStr">
        <is>
          <t>2025-10-07</t>
        </is>
      </c>
      <c r="D561" s="12" t="inlineStr">
        <is>
          <t>CUST-6797</t>
        </is>
      </c>
      <c r="E561" s="12" t="inlineStr">
        <is>
          <t>Diya Patel</t>
        </is>
      </c>
      <c r="F561" s="12" t="inlineStr">
        <is>
          <t>Corporate</t>
        </is>
      </c>
      <c r="G561" s="12" t="inlineStr">
        <is>
          <t>East</t>
        </is>
      </c>
      <c r="H561" s="12" t="inlineStr">
        <is>
          <t>Bihar</t>
        </is>
      </c>
      <c r="I561" s="12" t="inlineStr">
        <is>
          <t>Patna</t>
        </is>
      </c>
      <c r="J561" s="12" t="inlineStr">
        <is>
          <t>Technology</t>
        </is>
      </c>
      <c r="K561" s="12" t="inlineStr">
        <is>
          <t>Copiers</t>
        </is>
      </c>
      <c r="L561" s="12" t="inlineStr">
        <is>
          <t>Basic Copiers 512</t>
        </is>
      </c>
      <c r="M561" s="12" t="inlineStr">
        <is>
          <t>Second Class</t>
        </is>
      </c>
      <c r="N561" s="12" t="n">
        <v>5</v>
      </c>
      <c r="O561" s="12" t="n">
        <v>3277.82</v>
      </c>
      <c r="P561" s="12" t="n">
        <v>0.1</v>
      </c>
      <c r="Q561" s="12" t="n">
        <v>14750.19</v>
      </c>
      <c r="R561" s="12" t="n">
        <v>9482.58</v>
      </c>
      <c r="S561" s="12" t="n">
        <v>5267.61</v>
      </c>
      <c r="T561" s="12" t="inlineStr">
        <is>
          <t>Paid</t>
        </is>
      </c>
      <c r="U561" s="12" t="inlineStr">
        <is>
          <t>Returned</t>
        </is>
      </c>
      <c r="V561">
        <f>IF(OR(P561="",P561&lt;0,P561&gt;0.5),0,P561)</f>
        <v/>
      </c>
      <c r="W561">
        <f>N561*O561*(1-V561)</f>
        <v/>
      </c>
      <c r="X561">
        <f>W561-R561</f>
        <v/>
      </c>
      <c r="Y561">
        <f>IF(W561=0,0,X561/W561)</f>
        <v/>
      </c>
      <c r="Z561">
        <f>C561-B561</f>
        <v/>
      </c>
      <c r="AA561">
        <f>TEXT(B561,"mmmm")</f>
        <v/>
      </c>
      <c r="AB561">
        <f>YEAR(B561)</f>
        <v/>
      </c>
      <c r="AC561">
        <f>IF(OR(P561&lt;0,P561&gt;0.5,C561&lt;B561),"INVALID","CLEAN")</f>
        <v/>
      </c>
    </row>
    <row r="562">
      <c r="A562" s="12" t="inlineStr">
        <is>
          <t>ORD-2024-10561</t>
        </is>
      </c>
      <c r="B562" s="12" t="inlineStr">
        <is>
          <t>2024-01-16</t>
        </is>
      </c>
      <c r="C562" s="12" t="inlineStr">
        <is>
          <t>22-01-2024</t>
        </is>
      </c>
      <c r="D562" s="12" t="inlineStr">
        <is>
          <t>CUST-9333</t>
        </is>
      </c>
      <c r="E562" s="12" t="inlineStr">
        <is>
          <t>Arjun Bose</t>
        </is>
      </c>
      <c r="F562" s="12" t="inlineStr">
        <is>
          <t>Consumer</t>
        </is>
      </c>
      <c r="G562" s="12" t="inlineStr">
        <is>
          <t>West</t>
        </is>
      </c>
      <c r="H562" s="12" t="inlineStr">
        <is>
          <t>Goa</t>
        </is>
      </c>
      <c r="I562" s="12" t="inlineStr">
        <is>
          <t>Panaji</t>
        </is>
      </c>
      <c r="J562" s="12" t="inlineStr">
        <is>
          <t>Office Supplies</t>
        </is>
      </c>
      <c r="K562" s="12" t="inlineStr">
        <is>
          <t>Storage</t>
        </is>
      </c>
      <c r="L562" s="12" t="inlineStr">
        <is>
          <t>Smart Storage 767</t>
        </is>
      </c>
      <c r="M562" s="12" t="inlineStr">
        <is>
          <t>Standard Class</t>
        </is>
      </c>
      <c r="N562" s="12" t="n">
        <v>4</v>
      </c>
      <c r="O562" s="12" t="n">
        <v>282.53</v>
      </c>
      <c r="P562" s="12" t="n">
        <v>0</v>
      </c>
      <c r="Q562" s="12" t="n">
        <v>1130.12</v>
      </c>
      <c r="R562" s="12" t="n">
        <v>848.62</v>
      </c>
      <c r="S562" s="12" t="n">
        <v>281.5</v>
      </c>
      <c r="T562" s="12" t="inlineStr">
        <is>
          <t>Paid</t>
        </is>
      </c>
      <c r="U562" s="12" t="inlineStr">
        <is>
          <t>Cancelled</t>
        </is>
      </c>
      <c r="V562">
        <f>IF(OR(P562="",P562&lt;0,P562&gt;0.5),0,P562)</f>
        <v/>
      </c>
      <c r="W562">
        <f>N562*O562*(1-V562)</f>
        <v/>
      </c>
      <c r="X562">
        <f>W562-R562</f>
        <v/>
      </c>
      <c r="Y562">
        <f>IF(W562=0,0,X562/W562)</f>
        <v/>
      </c>
      <c r="Z562">
        <f>C562-B562</f>
        <v/>
      </c>
      <c r="AA562">
        <f>TEXT(B562,"mmmm")</f>
        <v/>
      </c>
      <c r="AB562">
        <f>YEAR(B562)</f>
        <v/>
      </c>
      <c r="AC562">
        <f>IF(OR(P562&lt;0,P562&gt;0.5,C562&lt;B562),"INVALID","CLEAN")</f>
        <v/>
      </c>
    </row>
    <row r="563">
      <c r="A563" s="12" t="inlineStr">
        <is>
          <t>ORD-2025-10562</t>
        </is>
      </c>
      <c r="B563" s="12" t="inlineStr">
        <is>
          <t>2025-07-14</t>
        </is>
      </c>
      <c r="C563" s="12" t="inlineStr">
        <is>
          <t>18 Jul 2025</t>
        </is>
      </c>
      <c r="D563" s="12" t="inlineStr">
        <is>
          <t>CUST-6654</t>
        </is>
      </c>
      <c r="E563" s="12" t="inlineStr">
        <is>
          <t>Aditi Sen</t>
        </is>
      </c>
      <c r="F563" s="12" t="inlineStr">
        <is>
          <t>Consumer</t>
        </is>
      </c>
      <c r="G563" s="12" t="inlineStr">
        <is>
          <t>North</t>
        </is>
      </c>
      <c r="H563" s="12" t="inlineStr">
        <is>
          <t>Punjab</t>
        </is>
      </c>
      <c r="I563" s="12" t="inlineStr">
        <is>
          <t>Ludhiana</t>
        </is>
      </c>
      <c r="J563" s="12" t="inlineStr">
        <is>
          <t>Technology</t>
        </is>
      </c>
      <c r="K563" s="12" t="inlineStr">
        <is>
          <t>Copiers</t>
        </is>
      </c>
      <c r="L563" s="12" t="inlineStr">
        <is>
          <t>Eco Copiers 954</t>
        </is>
      </c>
      <c r="M563" s="12" t="inlineStr">
        <is>
          <t>First Class</t>
        </is>
      </c>
      <c r="N563" s="12" t="n">
        <v>4</v>
      </c>
      <c r="O563" s="12" t="n">
        <v>725.22</v>
      </c>
      <c r="P563" s="12" t="n">
        <v>0</v>
      </c>
      <c r="Q563" s="12" t="n">
        <v>2900.88</v>
      </c>
      <c r="R563" s="12" t="n">
        <v>2391.85</v>
      </c>
      <c r="S563" s="12" t="n">
        <v>509.03</v>
      </c>
      <c r="T563" s="12" t="inlineStr">
        <is>
          <t>Pending</t>
        </is>
      </c>
      <c r="U563" s="12" t="inlineStr">
        <is>
          <t>Returned</t>
        </is>
      </c>
      <c r="V563">
        <f>IF(OR(P563="",P563&lt;0,P563&gt;0.5),0,P563)</f>
        <v/>
      </c>
      <c r="W563">
        <f>N563*O563*(1-V563)</f>
        <v/>
      </c>
      <c r="X563">
        <f>W563-R563</f>
        <v/>
      </c>
      <c r="Y563">
        <f>IF(W563=0,0,X563/W563)</f>
        <v/>
      </c>
      <c r="Z563">
        <f>C563-B563</f>
        <v/>
      </c>
      <c r="AA563">
        <f>TEXT(B563,"mmmm")</f>
        <v/>
      </c>
      <c r="AB563">
        <f>YEAR(B563)</f>
        <v/>
      </c>
      <c r="AC563">
        <f>IF(OR(P563&lt;0,P563&gt;0.5,C563&lt;B563),"INVALID","CLEAN")</f>
        <v/>
      </c>
    </row>
    <row r="564">
      <c r="A564" s="12" t="inlineStr">
        <is>
          <t>ORD-2024-10563</t>
        </is>
      </c>
      <c r="B564" s="12" t="inlineStr">
        <is>
          <t>10 May 2024</t>
        </is>
      </c>
      <c r="C564" s="12" t="inlineStr">
        <is>
          <t>16 May 2024</t>
        </is>
      </c>
      <c r="D564" s="12" t="inlineStr">
        <is>
          <t>CUST-8622</t>
        </is>
      </c>
      <c r="E564" s="12" t="inlineStr">
        <is>
          <t>Karan Malhotra</t>
        </is>
      </c>
      <c r="F564" s="12" t="inlineStr">
        <is>
          <t>Consumer</t>
        </is>
      </c>
      <c r="G564" s="12" t="inlineStr">
        <is>
          <t>North</t>
        </is>
      </c>
      <c r="H564" s="12" t="inlineStr">
        <is>
          <t>Punjab</t>
        </is>
      </c>
      <c r="I564" s="12" t="inlineStr">
        <is>
          <t>Ludhiana</t>
        </is>
      </c>
      <c r="J564" s="12" t="inlineStr">
        <is>
          <t>Office Supplies</t>
        </is>
      </c>
      <c r="K564" s="12" t="inlineStr">
        <is>
          <t>Binders</t>
        </is>
      </c>
      <c r="L564" s="12" t="inlineStr">
        <is>
          <t>Elite Binders 143</t>
        </is>
      </c>
      <c r="M564" s="12" t="inlineStr">
        <is>
          <t>Same Day</t>
        </is>
      </c>
      <c r="N564" s="12" t="n">
        <v>7</v>
      </c>
      <c r="O564" s="12" t="n">
        <v>121.54</v>
      </c>
      <c r="P564" s="12" t="n">
        <v>0.2</v>
      </c>
      <c r="Q564" s="12" t="n">
        <v>680.62</v>
      </c>
      <c r="R564" s="12" t="n">
        <v>463.49</v>
      </c>
      <c r="S564" s="12" t="n">
        <v>217.13</v>
      </c>
      <c r="T564" s="12" t="inlineStr">
        <is>
          <t>Failed</t>
        </is>
      </c>
      <c r="U564" s="12" t="inlineStr">
        <is>
          <t>Returned</t>
        </is>
      </c>
      <c r="V564">
        <f>IF(OR(P564="",P564&lt;0,P564&gt;0.5),0,P564)</f>
        <v/>
      </c>
      <c r="W564">
        <f>N564*O564*(1-V564)</f>
        <v/>
      </c>
      <c r="X564">
        <f>W564-R564</f>
        <v/>
      </c>
      <c r="Y564">
        <f>IF(W564=0,0,X564/W564)</f>
        <v/>
      </c>
      <c r="Z564">
        <f>C564-B564</f>
        <v/>
      </c>
      <c r="AA564">
        <f>TEXT(B564,"mmmm")</f>
        <v/>
      </c>
      <c r="AB564">
        <f>YEAR(B564)</f>
        <v/>
      </c>
      <c r="AC564">
        <f>IF(OR(P564&lt;0,P564&gt;0.5,C564&lt;B564),"INVALID","CLEAN")</f>
        <v/>
      </c>
    </row>
    <row r="565">
      <c r="A565" s="12" t="inlineStr">
        <is>
          <t>ORD-2024-10564</t>
        </is>
      </c>
      <c r="B565" s="12" t="inlineStr">
        <is>
          <t>05/06/2024</t>
        </is>
      </c>
      <c r="C565" s="12" t="inlineStr">
        <is>
          <t>12-05-2024</t>
        </is>
      </c>
      <c r="D565" s="12" t="inlineStr">
        <is>
          <t>CUST-8776</t>
        </is>
      </c>
      <c r="E565" s="12" t="inlineStr">
        <is>
          <t>Arjun Bose</t>
        </is>
      </c>
      <c r="F565" s="12" t="inlineStr">
        <is>
          <t>Corporate</t>
        </is>
      </c>
      <c r="G565" s="12" t="inlineStr">
        <is>
          <t>West</t>
        </is>
      </c>
      <c r="H565" s="12" t="inlineStr">
        <is>
          <t>Goa</t>
        </is>
      </c>
      <c r="I565" s="12" t="inlineStr">
        <is>
          <t>Panaji</t>
        </is>
      </c>
      <c r="J565" s="12" t="inlineStr">
        <is>
          <t>Furniture</t>
        </is>
      </c>
      <c r="K565" s="12" t="inlineStr">
        <is>
          <t>Tables</t>
        </is>
      </c>
      <c r="L565" s="12" t="inlineStr">
        <is>
          <t>Classic Tables 560</t>
        </is>
      </c>
      <c r="M565" s="12" t="inlineStr">
        <is>
          <t>Standard Class</t>
        </is>
      </c>
      <c r="N565" s="12" t="n">
        <v>9</v>
      </c>
      <c r="O565" s="12" t="n">
        <v>790.97</v>
      </c>
      <c r="P565" s="12" t="n">
        <v>0.2</v>
      </c>
      <c r="Q565" s="12" t="n">
        <v>5694.98</v>
      </c>
      <c r="R565" s="12" t="n">
        <v>4618.33</v>
      </c>
      <c r="S565" s="12" t="n">
        <v>1076.65</v>
      </c>
      <c r="T565" s="12" t="inlineStr">
        <is>
          <t>Pending</t>
        </is>
      </c>
      <c r="U565" s="12" t="inlineStr">
        <is>
          <t>Cancelled</t>
        </is>
      </c>
      <c r="V565">
        <f>IF(OR(P565="",P565&lt;0,P565&gt;0.5),0,P565)</f>
        <v/>
      </c>
      <c r="W565">
        <f>N565*O565*(1-V565)</f>
        <v/>
      </c>
      <c r="X565">
        <f>W565-R565</f>
        <v/>
      </c>
      <c r="Y565">
        <f>IF(W565=0,0,X565/W565)</f>
        <v/>
      </c>
      <c r="Z565">
        <f>C565-B565</f>
        <v/>
      </c>
      <c r="AA565">
        <f>TEXT(B565,"mmmm")</f>
        <v/>
      </c>
      <c r="AB565">
        <f>YEAR(B565)</f>
        <v/>
      </c>
      <c r="AC565">
        <f>IF(OR(P565&lt;0,P565&gt;0.5,C565&lt;B565),"INVALID","CLEAN")</f>
        <v/>
      </c>
    </row>
    <row r="566">
      <c r="A566" s="12" t="inlineStr">
        <is>
          <t>ORD-2024-10565</t>
        </is>
      </c>
      <c r="B566" s="12" t="inlineStr">
        <is>
          <t>11/10/2024</t>
        </is>
      </c>
      <c r="C566" s="12" t="inlineStr">
        <is>
          <t>14-11-2024</t>
        </is>
      </c>
      <c r="D566" s="12" t="inlineStr">
        <is>
          <t>CUST-9100</t>
        </is>
      </c>
      <c r="E566" s="12" t="inlineStr">
        <is>
          <t>Sneha Kapoor</t>
        </is>
      </c>
      <c r="F566" s="12" t="inlineStr">
        <is>
          <t>Corporate</t>
        </is>
      </c>
      <c r="G566" s="12" t="inlineStr">
        <is>
          <t>South</t>
        </is>
      </c>
      <c r="H566" s="12" t="inlineStr">
        <is>
          <t>Andhra Pradesh</t>
        </is>
      </c>
      <c r="I566" s="12" t="inlineStr">
        <is>
          <t>Vijayawada</t>
        </is>
      </c>
      <c r="J566" s="12" t="inlineStr">
        <is>
          <t>Furniture</t>
        </is>
      </c>
      <c r="K566" s="12" t="inlineStr">
        <is>
          <t>Tables</t>
        </is>
      </c>
      <c r="L566" s="12" t="inlineStr">
        <is>
          <t>Basic Tables 759</t>
        </is>
      </c>
      <c r="M566" s="12" t="inlineStr">
        <is>
          <t>First Class</t>
        </is>
      </c>
      <c r="N566" s="12" t="n">
        <v>2</v>
      </c>
      <c r="O566" s="12" t="n">
        <v>921.34</v>
      </c>
      <c r="P566" s="12" t="n">
        <v>0.2</v>
      </c>
      <c r="Q566" s="12" t="n">
        <v>1474.14</v>
      </c>
      <c r="R566" s="12" t="n">
        <v>968.46</v>
      </c>
      <c r="S566" s="12" t="n">
        <v>505.68</v>
      </c>
      <c r="T566" s="12" t="inlineStr">
        <is>
          <t>Paid</t>
        </is>
      </c>
      <c r="U566" s="12" t="inlineStr">
        <is>
          <t>Completed</t>
        </is>
      </c>
      <c r="V566">
        <f>IF(OR(P566="",P566&lt;0,P566&gt;0.5),0,P566)</f>
        <v/>
      </c>
      <c r="W566">
        <f>N566*O566*(1-V566)</f>
        <v/>
      </c>
      <c r="X566">
        <f>W566-R566</f>
        <v/>
      </c>
      <c r="Y566">
        <f>IF(W566=0,0,X566/W566)</f>
        <v/>
      </c>
      <c r="Z566">
        <f>C566-B566</f>
        <v/>
      </c>
      <c r="AA566">
        <f>TEXT(B566,"mmmm")</f>
        <v/>
      </c>
      <c r="AB566">
        <f>YEAR(B566)</f>
        <v/>
      </c>
      <c r="AC566">
        <f>IF(OR(P566&lt;0,P566&gt;0.5,C566&lt;B566),"INVALID","CLEAN")</f>
        <v/>
      </c>
    </row>
    <row r="567">
      <c r="A567" s="12" t="inlineStr">
        <is>
          <t>ORD-2025-10566</t>
        </is>
      </c>
      <c r="B567" s="12" t="inlineStr">
        <is>
          <t>07 Aug 2025</t>
        </is>
      </c>
      <c r="C567" s="12" t="inlineStr">
        <is>
          <t>13-08-2025</t>
        </is>
      </c>
      <c r="D567" s="12" t="inlineStr">
        <is>
          <t>CUST-5601</t>
        </is>
      </c>
      <c r="E567" s="12" t="inlineStr">
        <is>
          <t>Mira Das</t>
        </is>
      </c>
      <c r="F567" s="12" t="inlineStr">
        <is>
          <t>Corporate</t>
        </is>
      </c>
      <c r="G567" s="12" t="inlineStr">
        <is>
          <t>North</t>
        </is>
      </c>
      <c r="H567" s="12" t="inlineStr">
        <is>
          <t>Delhi</t>
        </is>
      </c>
      <c r="I567" s="12" t="inlineStr">
        <is>
          <t>New Delhi</t>
        </is>
      </c>
      <c r="J567" s="12" t="inlineStr">
        <is>
          <t>Technology</t>
        </is>
      </c>
      <c r="K567" s="12" t="inlineStr">
        <is>
          <t>Phones</t>
        </is>
      </c>
      <c r="L567" s="12" t="inlineStr">
        <is>
          <t>Prime Phones 564</t>
        </is>
      </c>
      <c r="M567" s="12" t="inlineStr">
        <is>
          <t>Standard Class</t>
        </is>
      </c>
      <c r="N567" s="12" t="n">
        <v>6</v>
      </c>
      <c r="O567" s="12" t="n">
        <v>1921.86</v>
      </c>
      <c r="P567" s="12" t="n">
        <v>0.2</v>
      </c>
      <c r="Q567" s="12" t="n">
        <v>9224.93</v>
      </c>
      <c r="R567" s="12" t="n">
        <v>7005.2</v>
      </c>
      <c r="S567" s="12" t="n">
        <v>2219.73</v>
      </c>
      <c r="T567" s="12" t="inlineStr">
        <is>
          <t>Refunded</t>
        </is>
      </c>
      <c r="U567" s="12" t="inlineStr">
        <is>
          <t>Cancelled</t>
        </is>
      </c>
      <c r="V567">
        <f>IF(OR(P567="",P567&lt;0,P567&gt;0.5),0,P567)</f>
        <v/>
      </c>
      <c r="W567">
        <f>N567*O567*(1-V567)</f>
        <v/>
      </c>
      <c r="X567">
        <f>W567-R567</f>
        <v/>
      </c>
      <c r="Y567">
        <f>IF(W567=0,0,X567/W567)</f>
        <v/>
      </c>
      <c r="Z567">
        <f>C567-B567</f>
        <v/>
      </c>
      <c r="AA567">
        <f>TEXT(B567,"mmmm")</f>
        <v/>
      </c>
      <c r="AB567">
        <f>YEAR(B567)</f>
        <v/>
      </c>
      <c r="AC567">
        <f>IF(OR(P567&lt;0,P567&gt;0.5,C567&lt;B567),"INVALID","CLEAN")</f>
        <v/>
      </c>
    </row>
    <row r="568">
      <c r="A568" s="12" t="inlineStr">
        <is>
          <t>ORD-2024-10567</t>
        </is>
      </c>
      <c r="B568" s="12" t="inlineStr">
        <is>
          <t>11 Aug 2024</t>
        </is>
      </c>
      <c r="C568" s="12" t="inlineStr">
        <is>
          <t>2024-08-19</t>
        </is>
      </c>
      <c r="D568" s="12" t="inlineStr">
        <is>
          <t>CUST-5246</t>
        </is>
      </c>
      <c r="E568" s="12" t="inlineStr">
        <is>
          <t>Sneha Kapoor</t>
        </is>
      </c>
      <c r="F568" s="12" t="inlineStr">
        <is>
          <t>Small Business</t>
        </is>
      </c>
      <c r="G568" s="12" t="inlineStr">
        <is>
          <t>West</t>
        </is>
      </c>
      <c r="H568" s="12" t="inlineStr">
        <is>
          <t>Maharashtra</t>
        </is>
      </c>
      <c r="I568" s="12" t="inlineStr">
        <is>
          <t>Mumbai</t>
        </is>
      </c>
      <c r="J568" s="12" t="inlineStr">
        <is>
          <t>Office Supplies</t>
        </is>
      </c>
      <c r="K568" s="12" t="inlineStr">
        <is>
          <t>Paper</t>
        </is>
      </c>
      <c r="L568" s="12" t="inlineStr">
        <is>
          <t>Smart Paper 807</t>
        </is>
      </c>
      <c r="M568" s="12" t="inlineStr">
        <is>
          <t>Same Day</t>
        </is>
      </c>
      <c r="N568" s="12" t="n">
        <v>2</v>
      </c>
      <c r="O568" s="12" t="n">
        <v>2617.89</v>
      </c>
      <c r="P568" s="12" t="n">
        <v>0.1</v>
      </c>
      <c r="Q568" s="12" t="n">
        <v>4712.2</v>
      </c>
      <c r="R568" s="12" t="n">
        <v>3851.91</v>
      </c>
      <c r="S568" s="12" t="n">
        <v>860.29</v>
      </c>
      <c r="T568" s="12" t="inlineStr">
        <is>
          <t>Failed</t>
        </is>
      </c>
      <c r="U568" s="12" t="inlineStr">
        <is>
          <t>Returned</t>
        </is>
      </c>
      <c r="V568">
        <f>IF(OR(P568="",P568&lt;0,P568&gt;0.5),0,P568)</f>
        <v/>
      </c>
      <c r="W568">
        <f>N568*O568*(1-V568)</f>
        <v/>
      </c>
      <c r="X568">
        <f>W568-R568</f>
        <v/>
      </c>
      <c r="Y568">
        <f>IF(W568=0,0,X568/W568)</f>
        <v/>
      </c>
      <c r="Z568">
        <f>C568-B568</f>
        <v/>
      </c>
      <c r="AA568">
        <f>TEXT(B568,"mmmm")</f>
        <v/>
      </c>
      <c r="AB568">
        <f>YEAR(B568)</f>
        <v/>
      </c>
      <c r="AC568">
        <f>IF(OR(P568&lt;0,P568&gt;0.5,C568&lt;B568),"INVALID","CLEAN")</f>
        <v/>
      </c>
    </row>
    <row r="569">
      <c r="A569" s="12" t="inlineStr">
        <is>
          <t>ORD-2024-10568</t>
        </is>
      </c>
      <c r="B569" s="12" t="inlineStr">
        <is>
          <t>06 Feb 2024</t>
        </is>
      </c>
      <c r="C569" s="12" t="inlineStr">
        <is>
          <t>10-02-2024</t>
        </is>
      </c>
      <c r="D569" s="12" t="inlineStr">
        <is>
          <t>CUST-3128</t>
        </is>
      </c>
      <c r="E569" s="12" t="inlineStr">
        <is>
          <t>Arjun Bose</t>
        </is>
      </c>
      <c r="F569" s="12" t="inlineStr">
        <is>
          <t>Home Office</t>
        </is>
      </c>
      <c r="G569" s="12" t="inlineStr">
        <is>
          <t>North</t>
        </is>
      </c>
      <c r="H569" s="12" t="inlineStr">
        <is>
          <t>Uttar Pradesh</t>
        </is>
      </c>
      <c r="I569" s="12" t="inlineStr">
        <is>
          <t>Noida</t>
        </is>
      </c>
      <c r="J569" s="12" t="inlineStr">
        <is>
          <t>Furniture</t>
        </is>
      </c>
      <c r="K569" s="12" t="inlineStr">
        <is>
          <t>Furnishings</t>
        </is>
      </c>
      <c r="L569" s="12" t="inlineStr">
        <is>
          <t>Pro Furnishings 108</t>
        </is>
      </c>
      <c r="M569" s="12" t="inlineStr">
        <is>
          <t>Same Day</t>
        </is>
      </c>
      <c r="N569" s="12" t="n">
        <v>1</v>
      </c>
      <c r="O569" s="12" t="n">
        <v>1374.06</v>
      </c>
      <c r="P569" s="12" t="n">
        <v>0.05</v>
      </c>
      <c r="Q569" s="12" t="n">
        <v>1305.36</v>
      </c>
      <c r="R569" s="12" t="n">
        <v>731.89</v>
      </c>
      <c r="S569" s="12" t="n">
        <v>573.47</v>
      </c>
      <c r="T569" s="12" t="inlineStr">
        <is>
          <t>Paid</t>
        </is>
      </c>
      <c r="U569" s="12" t="inlineStr">
        <is>
          <t>Completed</t>
        </is>
      </c>
      <c r="V569">
        <f>IF(OR(P569="",P569&lt;0,P569&gt;0.5),0,P569)</f>
        <v/>
      </c>
      <c r="W569">
        <f>N569*O569*(1-V569)</f>
        <v/>
      </c>
      <c r="X569">
        <f>W569-R569</f>
        <v/>
      </c>
      <c r="Y569">
        <f>IF(W569=0,0,X569/W569)</f>
        <v/>
      </c>
      <c r="Z569">
        <f>C569-B569</f>
        <v/>
      </c>
      <c r="AA569">
        <f>TEXT(B569,"mmmm")</f>
        <v/>
      </c>
      <c r="AB569">
        <f>YEAR(B569)</f>
        <v/>
      </c>
      <c r="AC569">
        <f>IF(OR(P569&lt;0,P569&gt;0.5,C569&lt;B569),"INVALID","CLEAN")</f>
        <v/>
      </c>
    </row>
    <row r="570">
      <c r="A570" s="12" t="inlineStr">
        <is>
          <t>ORD-2024-10569</t>
        </is>
      </c>
      <c r="B570" s="12" t="inlineStr">
        <is>
          <t>21 Jan 2024</t>
        </is>
      </c>
      <c r="C570" s="12" t="inlineStr">
        <is>
          <t>24 Jan 2024</t>
        </is>
      </c>
      <c r="D570" s="12" t="inlineStr">
        <is>
          <t>CUST-4604</t>
        </is>
      </c>
      <c r="E570" s="12" t="inlineStr">
        <is>
          <t>Kabir Singh</t>
        </is>
      </c>
      <c r="F570" s="12" t="inlineStr">
        <is>
          <t>Corporate</t>
        </is>
      </c>
      <c r="G570" s="12" t="inlineStr">
        <is>
          <t>North</t>
        </is>
      </c>
      <c r="H570" s="12" t="inlineStr">
        <is>
          <t>Punjab</t>
        </is>
      </c>
      <c r="I570" s="12" t="inlineStr">
        <is>
          <t>Ludhiana</t>
        </is>
      </c>
      <c r="J570" s="12" t="inlineStr">
        <is>
          <t>Technology</t>
        </is>
      </c>
      <c r="K570" s="12" t="inlineStr">
        <is>
          <t>Machines</t>
        </is>
      </c>
      <c r="L570" s="12" t="inlineStr">
        <is>
          <t>Classic Machines 522</t>
        </is>
      </c>
      <c r="M570" s="12" t="inlineStr">
        <is>
          <t>Same Day</t>
        </is>
      </c>
      <c r="N570" s="12" t="n">
        <v>1</v>
      </c>
      <c r="O570" s="12" t="n">
        <v>3806.3</v>
      </c>
      <c r="P570" s="12" t="n">
        <v>0.25</v>
      </c>
      <c r="Q570" s="12" t="n">
        <v>2854.73</v>
      </c>
      <c r="R570" s="12" t="n">
        <v>1968.12</v>
      </c>
      <c r="S570" s="12" t="n">
        <v>886.61</v>
      </c>
      <c r="T570" s="12" t="inlineStr">
        <is>
          <t>Paid</t>
        </is>
      </c>
      <c r="U570" s="12" t="inlineStr">
        <is>
          <t>Completed</t>
        </is>
      </c>
      <c r="V570">
        <f>IF(OR(P570="",P570&lt;0,P570&gt;0.5),0,P570)</f>
        <v/>
      </c>
      <c r="W570">
        <f>N570*O570*(1-V570)</f>
        <v/>
      </c>
      <c r="X570">
        <f>W570-R570</f>
        <v/>
      </c>
      <c r="Y570">
        <f>IF(W570=0,0,X570/W570)</f>
        <v/>
      </c>
      <c r="Z570">
        <f>C570-B570</f>
        <v/>
      </c>
      <c r="AA570">
        <f>TEXT(B570,"mmmm")</f>
        <v/>
      </c>
      <c r="AB570">
        <f>YEAR(B570)</f>
        <v/>
      </c>
      <c r="AC570">
        <f>IF(OR(P570&lt;0,P570&gt;0.5,C570&lt;B570),"INVALID","CLEAN")</f>
        <v/>
      </c>
    </row>
    <row r="571">
      <c r="A571" s="12" t="inlineStr">
        <is>
          <t>ORD-2025-10570</t>
        </is>
      </c>
      <c r="B571" s="12" t="inlineStr">
        <is>
          <t>09/08/2025</t>
        </is>
      </c>
      <c r="C571" s="12" t="inlineStr">
        <is>
          <t>2025-09-10</t>
        </is>
      </c>
      <c r="D571" s="12" t="inlineStr">
        <is>
          <t>CUST-2586</t>
        </is>
      </c>
      <c r="E571" s="12" t="inlineStr">
        <is>
          <t>Rahul Verma</t>
        </is>
      </c>
      <c r="F571" s="12" t="inlineStr">
        <is>
          <t>Home Office</t>
        </is>
      </c>
      <c r="G571" s="12" t="inlineStr">
        <is>
          <t>West</t>
        </is>
      </c>
      <c r="H571" s="12" t="inlineStr">
        <is>
          <t>Maharashtra</t>
        </is>
      </c>
      <c r="I571" s="12" t="inlineStr">
        <is>
          <t>Mumbai</t>
        </is>
      </c>
      <c r="J571" s="12" t="inlineStr">
        <is>
          <t>Furniture</t>
        </is>
      </c>
      <c r="K571" s="12" t="inlineStr">
        <is>
          <t>Furnishings</t>
        </is>
      </c>
      <c r="L571" s="12" t="inlineStr">
        <is>
          <t>Elite Furnishings 822</t>
        </is>
      </c>
      <c r="M571" s="12" t="inlineStr">
        <is>
          <t>Standard Class</t>
        </is>
      </c>
      <c r="N571" s="12" t="n">
        <v>6</v>
      </c>
      <c r="O571" s="12" t="n">
        <v>3251.17</v>
      </c>
      <c r="P571" s="12" t="n">
        <v>0.25</v>
      </c>
      <c r="Q571" s="12" t="n">
        <v>14630.26</v>
      </c>
      <c r="R571" s="12" t="n">
        <v>11906.36</v>
      </c>
      <c r="S571" s="12" t="n">
        <v>2723.9</v>
      </c>
      <c r="T571" s="12" t="inlineStr">
        <is>
          <t>Refunded</t>
        </is>
      </c>
      <c r="U571" s="12" t="inlineStr">
        <is>
          <t>Returned</t>
        </is>
      </c>
      <c r="V571">
        <f>IF(OR(P571="",P571&lt;0,P571&gt;0.5),0,P571)</f>
        <v/>
      </c>
      <c r="W571">
        <f>N571*O571*(1-V571)</f>
        <v/>
      </c>
      <c r="X571">
        <f>W571-R571</f>
        <v/>
      </c>
      <c r="Y571">
        <f>IF(W571=0,0,X571/W571)</f>
        <v/>
      </c>
      <c r="Z571">
        <f>C571-B571</f>
        <v/>
      </c>
      <c r="AA571">
        <f>TEXT(B571,"mmmm")</f>
        <v/>
      </c>
      <c r="AB571">
        <f>YEAR(B571)</f>
        <v/>
      </c>
      <c r="AC571">
        <f>IF(OR(P571&lt;0,P571&gt;0.5,C571&lt;B571),"INVALID","CLEAN")</f>
        <v/>
      </c>
    </row>
    <row r="572">
      <c r="A572" s="12" t="inlineStr">
        <is>
          <t>ORD-2025-10571</t>
        </is>
      </c>
      <c r="B572" s="12" t="inlineStr">
        <is>
          <t>2025-08-18</t>
        </is>
      </c>
      <c r="C572" s="12" t="inlineStr">
        <is>
          <t>08/22/2025</t>
        </is>
      </c>
      <c r="D572" s="12" t="inlineStr">
        <is>
          <t>CUST-6585</t>
        </is>
      </c>
      <c r="E572" s="12" t="inlineStr">
        <is>
          <t>Arjun Bose</t>
        </is>
      </c>
      <c r="F572" s="12" t="inlineStr">
        <is>
          <t>Consumer</t>
        </is>
      </c>
      <c r="G572" s="12" t="inlineStr">
        <is>
          <t>East</t>
        </is>
      </c>
      <c r="H572" s="12" t="inlineStr">
        <is>
          <t>Jharkhand</t>
        </is>
      </c>
      <c r="I572" s="12" t="inlineStr">
        <is>
          <t>Ranchi</t>
        </is>
      </c>
      <c r="J572" s="12" t="inlineStr">
        <is>
          <t>Furniture</t>
        </is>
      </c>
      <c r="K572" s="12" t="inlineStr">
        <is>
          <t>Furnishings</t>
        </is>
      </c>
      <c r="L572" s="12" t="inlineStr">
        <is>
          <t>Max Furnishings 647</t>
        </is>
      </c>
      <c r="M572" s="12" t="inlineStr">
        <is>
          <t>Second Class</t>
        </is>
      </c>
      <c r="N572" s="12" t="n">
        <v>3</v>
      </c>
      <c r="O572" s="12" t="n">
        <v>3946.44</v>
      </c>
      <c r="P572" s="12" t="n">
        <v>0.25</v>
      </c>
      <c r="Q572" s="12" t="n">
        <v>8879.49</v>
      </c>
      <c r="R572" s="12" t="n">
        <v>6344.57</v>
      </c>
      <c r="S572" s="12" t="n">
        <v>2534.92</v>
      </c>
      <c r="T572" s="12" t="inlineStr">
        <is>
          <t>Failed</t>
        </is>
      </c>
      <c r="U572" s="12" t="inlineStr">
        <is>
          <t>Returned</t>
        </is>
      </c>
      <c r="V572">
        <f>IF(OR(P572="",P572&lt;0,P572&gt;0.5),0,P572)</f>
        <v/>
      </c>
      <c r="W572">
        <f>N572*O572*(1-V572)</f>
        <v/>
      </c>
      <c r="X572">
        <f>W572-R572</f>
        <v/>
      </c>
      <c r="Y572">
        <f>IF(W572=0,0,X572/W572)</f>
        <v/>
      </c>
      <c r="Z572">
        <f>C572-B572</f>
        <v/>
      </c>
      <c r="AA572">
        <f>TEXT(B572,"mmmm")</f>
        <v/>
      </c>
      <c r="AB572">
        <f>YEAR(B572)</f>
        <v/>
      </c>
      <c r="AC572">
        <f>IF(OR(P572&lt;0,P572&gt;0.5,C572&lt;B572),"INVALID","CLEAN")</f>
        <v/>
      </c>
    </row>
    <row r="573">
      <c r="A573" s="12" t="inlineStr">
        <is>
          <t>ORD-2025-10572</t>
        </is>
      </c>
      <c r="B573" s="12" t="inlineStr">
        <is>
          <t>10 Feb 2025</t>
        </is>
      </c>
      <c r="C573" s="12" t="inlineStr">
        <is>
          <t>2025-02-14</t>
        </is>
      </c>
      <c r="D573" s="12" t="inlineStr">
        <is>
          <t>CUST-3425</t>
        </is>
      </c>
      <c r="E573" s="12" t="inlineStr">
        <is>
          <t>Priya Menon</t>
        </is>
      </c>
      <c r="F573" s="12" t="inlineStr">
        <is>
          <t>Small Business</t>
        </is>
      </c>
      <c r="G573" s="12" t="inlineStr">
        <is>
          <t>North</t>
        </is>
      </c>
      <c r="H573" s="12" t="inlineStr">
        <is>
          <t>Uttar Pradesh</t>
        </is>
      </c>
      <c r="I573" s="12" t="inlineStr">
        <is>
          <t>Noida</t>
        </is>
      </c>
      <c r="J573" s="12" t="inlineStr">
        <is>
          <t>Technology</t>
        </is>
      </c>
      <c r="K573" s="12" t="inlineStr">
        <is>
          <t>Phones</t>
        </is>
      </c>
      <c r="L573" s="12" t="inlineStr">
        <is>
          <t>Prime Phones 895</t>
        </is>
      </c>
      <c r="M573" s="12" t="n"/>
      <c r="N573" s="12" t="n">
        <v>5</v>
      </c>
      <c r="O573" s="12" t="n">
        <v>4276.29</v>
      </c>
      <c r="P573" s="12" t="n">
        <v>0</v>
      </c>
      <c r="Q573" s="12" t="n">
        <v>21381.45</v>
      </c>
      <c r="R573" s="12" t="n">
        <v>13240.21</v>
      </c>
      <c r="S573" s="12" t="n">
        <v>8141.24</v>
      </c>
      <c r="T573" s="12" t="inlineStr">
        <is>
          <t>Failed</t>
        </is>
      </c>
      <c r="U573" s="12" t="inlineStr">
        <is>
          <t>Returned</t>
        </is>
      </c>
      <c r="V573">
        <f>IF(OR(P573="",P573&lt;0,P573&gt;0.5),0,P573)</f>
        <v/>
      </c>
      <c r="W573">
        <f>N573*O573*(1-V573)</f>
        <v/>
      </c>
      <c r="X573">
        <f>W573-R573</f>
        <v/>
      </c>
      <c r="Y573">
        <f>IF(W573=0,0,X573/W573)</f>
        <v/>
      </c>
      <c r="Z573">
        <f>C573-B573</f>
        <v/>
      </c>
      <c r="AA573">
        <f>TEXT(B573,"mmmm")</f>
        <v/>
      </c>
      <c r="AB573">
        <f>YEAR(B573)</f>
        <v/>
      </c>
      <c r="AC573">
        <f>IF(OR(P573&lt;0,P573&gt;0.5,C573&lt;B573),"INVALID","CLEAN")</f>
        <v/>
      </c>
    </row>
    <row r="574">
      <c r="A574" s="12" t="inlineStr">
        <is>
          <t>ORD-2024-10573</t>
        </is>
      </c>
      <c r="B574" s="12" t="inlineStr">
        <is>
          <t>01/02/2024</t>
        </is>
      </c>
      <c r="C574" s="12" t="inlineStr">
        <is>
          <t>09-01-2024</t>
        </is>
      </c>
      <c r="D574" s="12" t="inlineStr">
        <is>
          <t>CUST-8633</t>
        </is>
      </c>
      <c r="E574" s="12" t="inlineStr">
        <is>
          <t xml:space="preserve">  Diya Patel </t>
        </is>
      </c>
      <c r="F574" s="12" t="inlineStr">
        <is>
          <t>Corporate</t>
        </is>
      </c>
      <c r="G574" s="12" t="inlineStr">
        <is>
          <t>North</t>
        </is>
      </c>
      <c r="H574" s="12" t="inlineStr">
        <is>
          <t>Delhi</t>
        </is>
      </c>
      <c r="I574" s="12" t="inlineStr">
        <is>
          <t>New Delhi</t>
        </is>
      </c>
      <c r="J574" s="12" t="inlineStr">
        <is>
          <t>Technology</t>
        </is>
      </c>
      <c r="K574" s="12" t="inlineStr">
        <is>
          <t>Phones</t>
        </is>
      </c>
      <c r="L574" s="12" t="inlineStr">
        <is>
          <t>Eco Phones 368</t>
        </is>
      </c>
      <c r="M574" s="12" t="inlineStr">
        <is>
          <t>Standard Class</t>
        </is>
      </c>
      <c r="N574" s="12" t="n">
        <v>3</v>
      </c>
      <c r="O574" s="12" t="n">
        <v>739.5599999999999</v>
      </c>
      <c r="P574" s="12" t="n">
        <v>0.2</v>
      </c>
      <c r="Q574" s="12" t="n">
        <v>1774.94</v>
      </c>
      <c r="R574" s="12" t="n">
        <v>1007.4</v>
      </c>
      <c r="S574" s="12" t="n">
        <v>767.54</v>
      </c>
      <c r="T574" s="12" t="inlineStr">
        <is>
          <t>Paid</t>
        </is>
      </c>
      <c r="U574" s="12" t="inlineStr">
        <is>
          <t>Completed</t>
        </is>
      </c>
      <c r="V574">
        <f>IF(OR(P574="",P574&lt;0,P574&gt;0.5),0,P574)</f>
        <v/>
      </c>
      <c r="W574">
        <f>N574*O574*(1-V574)</f>
        <v/>
      </c>
      <c r="X574">
        <f>W574-R574</f>
        <v/>
      </c>
      <c r="Y574">
        <f>IF(W574=0,0,X574/W574)</f>
        <v/>
      </c>
      <c r="Z574">
        <f>C574-B574</f>
        <v/>
      </c>
      <c r="AA574">
        <f>TEXT(B574,"mmmm")</f>
        <v/>
      </c>
      <c r="AB574">
        <f>YEAR(B574)</f>
        <v/>
      </c>
      <c r="AC574">
        <f>IF(OR(P574&lt;0,P574&gt;0.5,C574&lt;B574),"INVALID","CLEAN")</f>
        <v/>
      </c>
    </row>
    <row r="575">
      <c r="A575" s="12" t="inlineStr">
        <is>
          <t>ORD-2025-10574</t>
        </is>
      </c>
      <c r="B575" s="12" t="inlineStr">
        <is>
          <t>09/22/2025</t>
        </is>
      </c>
      <c r="C575" s="12" t="inlineStr">
        <is>
          <t>09/26/2025</t>
        </is>
      </c>
      <c r="D575" s="12" t="inlineStr">
        <is>
          <t>CUST-8243</t>
        </is>
      </c>
      <c r="E575" s="12" t="inlineStr">
        <is>
          <t>Isha Nair</t>
        </is>
      </c>
      <c r="F575" s="12" t="inlineStr">
        <is>
          <t>Consumer</t>
        </is>
      </c>
      <c r="G575" s="12" t="inlineStr">
        <is>
          <t>South</t>
        </is>
      </c>
      <c r="H575" s="12" t="inlineStr">
        <is>
          <t>Andhra Pradesh</t>
        </is>
      </c>
      <c r="I575" s="12" t="inlineStr">
        <is>
          <t>Vijayawada</t>
        </is>
      </c>
      <c r="J575" s="12" t="inlineStr">
        <is>
          <t>Technology</t>
        </is>
      </c>
      <c r="K575" s="12" t="inlineStr">
        <is>
          <t>Phones</t>
        </is>
      </c>
      <c r="L575" s="12" t="inlineStr">
        <is>
          <t>Pro Phones 644</t>
        </is>
      </c>
      <c r="M575" s="12" t="inlineStr">
        <is>
          <t>Standard Class</t>
        </is>
      </c>
      <c r="N575" s="12" t="n">
        <v>1</v>
      </c>
      <c r="O575" s="12" t="n">
        <v>573.65</v>
      </c>
      <c r="P575" s="12" t="n">
        <v>0</v>
      </c>
      <c r="Q575" s="12" t="n">
        <v>573.65</v>
      </c>
      <c r="R575" s="12" t="n">
        <v>322.67</v>
      </c>
      <c r="S575" s="12" t="n">
        <v>250.98</v>
      </c>
      <c r="T575" s="12" t="inlineStr">
        <is>
          <t>Paid</t>
        </is>
      </c>
      <c r="U575" s="12" t="inlineStr">
        <is>
          <t>Completed</t>
        </is>
      </c>
      <c r="V575">
        <f>IF(OR(P575="",P575&lt;0,P575&gt;0.5),0,P575)</f>
        <v/>
      </c>
      <c r="W575">
        <f>N575*O575*(1-V575)</f>
        <v/>
      </c>
      <c r="X575">
        <f>W575-R575</f>
        <v/>
      </c>
      <c r="Y575">
        <f>IF(W575=0,0,X575/W575)</f>
        <v/>
      </c>
      <c r="Z575">
        <f>C575-B575</f>
        <v/>
      </c>
      <c r="AA575">
        <f>TEXT(B575,"mmmm")</f>
        <v/>
      </c>
      <c r="AB575">
        <f>YEAR(B575)</f>
        <v/>
      </c>
      <c r="AC575">
        <f>IF(OR(P575&lt;0,P575&gt;0.5,C575&lt;B575),"INVALID","CLEAN")</f>
        <v/>
      </c>
    </row>
    <row r="576">
      <c r="A576" s="12" t="inlineStr">
        <is>
          <t>ORD-2024-10575</t>
        </is>
      </c>
      <c r="B576" s="12" t="inlineStr">
        <is>
          <t>20 Feb 2024</t>
        </is>
      </c>
      <c r="C576" s="12" t="inlineStr">
        <is>
          <t>25-02-2024</t>
        </is>
      </c>
      <c r="D576" s="12" t="inlineStr">
        <is>
          <t>CUST-9139</t>
        </is>
      </c>
      <c r="E576" s="12" t="inlineStr">
        <is>
          <t>Diya Patel</t>
        </is>
      </c>
      <c r="F576" s="12" t="inlineStr">
        <is>
          <t>Home Office</t>
        </is>
      </c>
      <c r="G576" s="12" t="inlineStr">
        <is>
          <t>North</t>
        </is>
      </c>
      <c r="H576" s="12" t="inlineStr">
        <is>
          <t>Punjab</t>
        </is>
      </c>
      <c r="I576" s="12" t="inlineStr">
        <is>
          <t>Ludhiana</t>
        </is>
      </c>
      <c r="J576" s="12" t="inlineStr">
        <is>
          <t>Technology</t>
        </is>
      </c>
      <c r="K576" s="12" t="inlineStr">
        <is>
          <t>Machines</t>
        </is>
      </c>
      <c r="L576" s="12" t="inlineStr">
        <is>
          <t>Smart Machines 566</t>
        </is>
      </c>
      <c r="M576" s="12" t="inlineStr">
        <is>
          <t>Standard Class</t>
        </is>
      </c>
      <c r="N576" s="12" t="n">
        <v>4</v>
      </c>
      <c r="O576" s="12" t="n">
        <v>1355.8</v>
      </c>
      <c r="P576" s="12" t="n">
        <v>0</v>
      </c>
      <c r="Q576" s="12" t="n">
        <v>5423.2</v>
      </c>
      <c r="R576" s="12" t="n">
        <v>4072.44</v>
      </c>
      <c r="S576" s="12" t="n">
        <v>1350.76</v>
      </c>
      <c r="T576" s="12" t="inlineStr">
        <is>
          <t>Paid</t>
        </is>
      </c>
      <c r="U576" s="12" t="inlineStr">
        <is>
          <t>Completed</t>
        </is>
      </c>
      <c r="V576">
        <f>IF(OR(P576="",P576&lt;0,P576&gt;0.5),0,P576)</f>
        <v/>
      </c>
      <c r="W576">
        <f>N576*O576*(1-V576)</f>
        <v/>
      </c>
      <c r="X576">
        <f>W576-R576</f>
        <v/>
      </c>
      <c r="Y576">
        <f>IF(W576=0,0,X576/W576)</f>
        <v/>
      </c>
      <c r="Z576">
        <f>C576-B576</f>
        <v/>
      </c>
      <c r="AA576">
        <f>TEXT(B576,"mmmm")</f>
        <v/>
      </c>
      <c r="AB576">
        <f>YEAR(B576)</f>
        <v/>
      </c>
      <c r="AC576">
        <f>IF(OR(P576&lt;0,P576&gt;0.5,C576&lt;B576),"INVALID","CLEAN")</f>
        <v/>
      </c>
    </row>
    <row r="577">
      <c r="A577" s="12" t="inlineStr">
        <is>
          <t>ORD-2025-10576</t>
        </is>
      </c>
      <c r="B577" s="12" t="inlineStr">
        <is>
          <t>11 Mar 2025</t>
        </is>
      </c>
      <c r="C577" s="12" t="inlineStr">
        <is>
          <t>14 Mar 2025</t>
        </is>
      </c>
      <c r="D577" s="12" t="inlineStr">
        <is>
          <t>CUST-5496</t>
        </is>
      </c>
      <c r="E577" s="12" t="inlineStr">
        <is>
          <t>Sneha Kapoor</t>
        </is>
      </c>
      <c r="F577" s="12" t="inlineStr">
        <is>
          <t>Home Office</t>
        </is>
      </c>
      <c r="G577" s="12" t="inlineStr">
        <is>
          <t>South</t>
        </is>
      </c>
      <c r="H577" s="12" t="inlineStr">
        <is>
          <t>Kerala</t>
        </is>
      </c>
      <c r="I577" s="12" t="inlineStr">
        <is>
          <t>Kochi</t>
        </is>
      </c>
      <c r="J577" s="12" t="inlineStr">
        <is>
          <t>Furniture</t>
        </is>
      </c>
      <c r="K577" s="12" t="inlineStr">
        <is>
          <t>Furnishings</t>
        </is>
      </c>
      <c r="L577" s="12" t="inlineStr">
        <is>
          <t>Elite Furnishings 173</t>
        </is>
      </c>
      <c r="M577" s="12" t="inlineStr">
        <is>
          <t>Same Day</t>
        </is>
      </c>
      <c r="N577" s="12" t="n">
        <v>4</v>
      </c>
      <c r="O577" s="12" t="n">
        <v>1244.82</v>
      </c>
      <c r="P577" s="12" t="n">
        <v>0.2</v>
      </c>
      <c r="Q577" s="12" t="n">
        <v>3983.42</v>
      </c>
      <c r="R577" s="12" t="n">
        <v>3174.91</v>
      </c>
      <c r="S577" s="12" t="n">
        <v>808.51</v>
      </c>
      <c r="T577" s="12" t="inlineStr">
        <is>
          <t>Failed</t>
        </is>
      </c>
      <c r="U577" s="12" t="inlineStr">
        <is>
          <t>Returned</t>
        </is>
      </c>
      <c r="V577">
        <f>IF(OR(P577="",P577&lt;0,P577&gt;0.5),0,P577)</f>
        <v/>
      </c>
      <c r="W577">
        <f>N577*O577*(1-V577)</f>
        <v/>
      </c>
      <c r="X577">
        <f>W577-R577</f>
        <v/>
      </c>
      <c r="Y577">
        <f>IF(W577=0,0,X577/W577)</f>
        <v/>
      </c>
      <c r="Z577">
        <f>C577-B577</f>
        <v/>
      </c>
      <c r="AA577">
        <f>TEXT(B577,"mmmm")</f>
        <v/>
      </c>
      <c r="AB577">
        <f>YEAR(B577)</f>
        <v/>
      </c>
      <c r="AC577">
        <f>IF(OR(P577&lt;0,P577&gt;0.5,C577&lt;B577),"INVALID","CLEAN")</f>
        <v/>
      </c>
    </row>
    <row r="578">
      <c r="A578" s="12" t="inlineStr">
        <is>
          <t>ORD-2024-10577</t>
        </is>
      </c>
      <c r="B578" s="12" t="inlineStr">
        <is>
          <t>17-02-2024</t>
        </is>
      </c>
      <c r="C578" s="12" t="inlineStr">
        <is>
          <t>02/23/2024</t>
        </is>
      </c>
      <c r="D578" s="12" t="inlineStr">
        <is>
          <t>CUST-2228</t>
        </is>
      </c>
      <c r="E578" s="12" t="inlineStr">
        <is>
          <t>Rohan Mehta</t>
        </is>
      </c>
      <c r="F578" s="12" t="inlineStr">
        <is>
          <t>Home Office</t>
        </is>
      </c>
      <c r="G578" s="12" t="n"/>
      <c r="H578" s="12" t="inlineStr">
        <is>
          <t>Bihar</t>
        </is>
      </c>
      <c r="I578" s="12" t="inlineStr">
        <is>
          <t>Patna</t>
        </is>
      </c>
      <c r="J578" s="12" t="inlineStr">
        <is>
          <t>Office Supplies</t>
        </is>
      </c>
      <c r="K578" s="12" t="inlineStr">
        <is>
          <t>Binders</t>
        </is>
      </c>
      <c r="L578" s="12" t="inlineStr">
        <is>
          <t>Smart Binders 417</t>
        </is>
      </c>
      <c r="M578" s="12" t="inlineStr">
        <is>
          <t>Standard Class</t>
        </is>
      </c>
      <c r="N578" s="12" t="n">
        <v>9</v>
      </c>
      <c r="O578" s="12" t="n">
        <v>2614.46</v>
      </c>
      <c r="P578" s="12" t="n">
        <v>0</v>
      </c>
      <c r="Q578" s="12" t="n">
        <v>23530.14</v>
      </c>
      <c r="R578" s="12" t="n">
        <v>19537.79</v>
      </c>
      <c r="S578" s="12" t="n">
        <v>3992.35</v>
      </c>
      <c r="T578" s="12" t="inlineStr">
        <is>
          <t>Refunded</t>
        </is>
      </c>
      <c r="U578" s="12" t="inlineStr">
        <is>
          <t>Returned</t>
        </is>
      </c>
      <c r="V578">
        <f>IF(OR(P578="",P578&lt;0,P578&gt;0.5),0,P578)</f>
        <v/>
      </c>
      <c r="W578">
        <f>N578*O578*(1-V578)</f>
        <v/>
      </c>
      <c r="X578">
        <f>W578-R578</f>
        <v/>
      </c>
      <c r="Y578">
        <f>IF(W578=0,0,X578/W578)</f>
        <v/>
      </c>
      <c r="Z578">
        <f>C578-B578</f>
        <v/>
      </c>
      <c r="AA578">
        <f>TEXT(B578,"mmmm")</f>
        <v/>
      </c>
      <c r="AB578">
        <f>YEAR(B578)</f>
        <v/>
      </c>
      <c r="AC578">
        <f>IF(OR(P578&lt;0,P578&gt;0.5,C578&lt;B578),"INVALID","CLEAN")</f>
        <v/>
      </c>
    </row>
    <row r="579">
      <c r="A579" s="12" t="inlineStr">
        <is>
          <t>ORD-2025-10578</t>
        </is>
      </c>
      <c r="B579" s="12" t="inlineStr">
        <is>
          <t>08/28/2025</t>
        </is>
      </c>
      <c r="C579" s="12" t="inlineStr">
        <is>
          <t>2025-09-03</t>
        </is>
      </c>
      <c r="D579" s="12" t="inlineStr">
        <is>
          <t>CUST-4151</t>
        </is>
      </c>
      <c r="E579" s="12" t="inlineStr">
        <is>
          <t>Priya Menon</t>
        </is>
      </c>
      <c r="F579" s="12" t="inlineStr">
        <is>
          <t>Corporate</t>
        </is>
      </c>
      <c r="G579" s="12" t="inlineStr">
        <is>
          <t>West</t>
        </is>
      </c>
      <c r="H579" s="12" t="inlineStr">
        <is>
          <t>Madhya Pradesh</t>
        </is>
      </c>
      <c r="I579" s="12" t="inlineStr">
        <is>
          <t>Indore</t>
        </is>
      </c>
      <c r="J579" s="12" t="inlineStr">
        <is>
          <t>Furniture</t>
        </is>
      </c>
      <c r="K579" s="12" t="inlineStr">
        <is>
          <t>Furnishings</t>
        </is>
      </c>
      <c r="L579" s="12" t="inlineStr">
        <is>
          <t>Smart Furnishings 714</t>
        </is>
      </c>
      <c r="M579" s="12" t="inlineStr">
        <is>
          <t>Standard Class</t>
        </is>
      </c>
      <c r="N579" s="12" t="n">
        <v>7</v>
      </c>
      <c r="O579" s="12" t="n">
        <v>268.45</v>
      </c>
      <c r="P579" s="12" t="n">
        <v>0</v>
      </c>
      <c r="Q579" s="12" t="n">
        <v>1879.15</v>
      </c>
      <c r="R579" s="12" t="n">
        <v>1134.9</v>
      </c>
      <c r="S579" s="12" t="n">
        <v>744.25</v>
      </c>
      <c r="T579" s="12" t="inlineStr">
        <is>
          <t>Paid</t>
        </is>
      </c>
      <c r="U579" s="12" t="inlineStr">
        <is>
          <t>Completed</t>
        </is>
      </c>
      <c r="V579">
        <f>IF(OR(P579="",P579&lt;0,P579&gt;0.5),0,P579)</f>
        <v/>
      </c>
      <c r="W579">
        <f>N579*O579*(1-V579)</f>
        <v/>
      </c>
      <c r="X579">
        <f>W579-R579</f>
        <v/>
      </c>
      <c r="Y579">
        <f>IF(W579=0,0,X579/W579)</f>
        <v/>
      </c>
      <c r="Z579">
        <f>C579-B579</f>
        <v/>
      </c>
      <c r="AA579">
        <f>TEXT(B579,"mmmm")</f>
        <v/>
      </c>
      <c r="AB579">
        <f>YEAR(B579)</f>
        <v/>
      </c>
      <c r="AC579">
        <f>IF(OR(P579&lt;0,P579&gt;0.5,C579&lt;B579),"INVALID","CLEAN")</f>
        <v/>
      </c>
    </row>
    <row r="580">
      <c r="A580" s="12" t="inlineStr">
        <is>
          <t>ORD-2024-10579</t>
        </is>
      </c>
      <c r="B580" s="12" t="inlineStr">
        <is>
          <t>2024-02-21</t>
        </is>
      </c>
      <c r="C580" s="12" t="inlineStr">
        <is>
          <t>23-02-2024</t>
        </is>
      </c>
      <c r="D580" s="12" t="inlineStr">
        <is>
          <t>CUST-4900</t>
        </is>
      </c>
      <c r="E580" s="12" t="inlineStr">
        <is>
          <t>Neha Gupta</t>
        </is>
      </c>
      <c r="F580" s="12" t="inlineStr">
        <is>
          <t>Small Business</t>
        </is>
      </c>
      <c r="G580" s="12" t="inlineStr">
        <is>
          <t>West</t>
        </is>
      </c>
      <c r="H580" s="12" t="inlineStr">
        <is>
          <t>Gujarat</t>
        </is>
      </c>
      <c r="I580" s="12" t="inlineStr">
        <is>
          <t>Ahmedabad</t>
        </is>
      </c>
      <c r="J580" s="12" t="inlineStr">
        <is>
          <t>Technology</t>
        </is>
      </c>
      <c r="K580" s="12" t="inlineStr">
        <is>
          <t>Copiers</t>
        </is>
      </c>
      <c r="L580" s="12" t="inlineStr">
        <is>
          <t>Elite Copiers 682</t>
        </is>
      </c>
      <c r="M580" s="12" t="inlineStr">
        <is>
          <t>First Class</t>
        </is>
      </c>
      <c r="N580" s="12" t="n">
        <v>6</v>
      </c>
      <c r="O580" s="12" t="n">
        <v>2633.65</v>
      </c>
      <c r="P580" s="12" t="n">
        <v>0.05</v>
      </c>
      <c r="Q580" s="12" t="n">
        <v>15011.81</v>
      </c>
      <c r="R580" s="12" t="n">
        <v>9660.360000000001</v>
      </c>
      <c r="S580" s="12" t="n">
        <v>5351.45</v>
      </c>
      <c r="T580" s="12" t="inlineStr">
        <is>
          <t>Paid</t>
        </is>
      </c>
      <c r="U580" s="12" t="inlineStr">
        <is>
          <t>Completed</t>
        </is>
      </c>
      <c r="V580">
        <f>IF(OR(P580="",P580&lt;0,P580&gt;0.5),0,P580)</f>
        <v/>
      </c>
      <c r="W580">
        <f>N580*O580*(1-V580)</f>
        <v/>
      </c>
      <c r="X580">
        <f>W580-R580</f>
        <v/>
      </c>
      <c r="Y580">
        <f>IF(W580=0,0,X580/W580)</f>
        <v/>
      </c>
      <c r="Z580">
        <f>C580-B580</f>
        <v/>
      </c>
      <c r="AA580">
        <f>TEXT(B580,"mmmm")</f>
        <v/>
      </c>
      <c r="AB580">
        <f>YEAR(B580)</f>
        <v/>
      </c>
      <c r="AC580">
        <f>IF(OR(P580&lt;0,P580&gt;0.5,C580&lt;B580),"INVALID","CLEAN")</f>
        <v/>
      </c>
    </row>
    <row r="581">
      <c r="A581" s="12" t="inlineStr">
        <is>
          <t>ORD-2024-10580</t>
        </is>
      </c>
      <c r="B581" s="12" t="inlineStr">
        <is>
          <t>19-06-2024</t>
        </is>
      </c>
      <c r="C581" s="12" t="inlineStr">
        <is>
          <t>24 Jun 2024</t>
        </is>
      </c>
      <c r="D581" s="12" t="inlineStr">
        <is>
          <t>CUST-9617</t>
        </is>
      </c>
      <c r="E581" s="12" t="inlineStr">
        <is>
          <t>Aarav Sharma</t>
        </is>
      </c>
      <c r="F581" s="12" t="inlineStr">
        <is>
          <t>Small Business</t>
        </is>
      </c>
      <c r="G581" s="12" t="inlineStr">
        <is>
          <t>South</t>
        </is>
      </c>
      <c r="H581" s="12" t="inlineStr">
        <is>
          <t>Tamil Nadu</t>
        </is>
      </c>
      <c r="I581" s="12" t="inlineStr">
        <is>
          <t>Chennai</t>
        </is>
      </c>
      <c r="J581" s="12" t="inlineStr">
        <is>
          <t>Office Supplies</t>
        </is>
      </c>
      <c r="K581" s="12" t="inlineStr">
        <is>
          <t>Storage</t>
        </is>
      </c>
      <c r="L581" s="12" t="inlineStr">
        <is>
          <t>Pro Storage 482</t>
        </is>
      </c>
      <c r="M581" s="12" t="inlineStr">
        <is>
          <t>Same Day</t>
        </is>
      </c>
      <c r="N581" s="12" t="n">
        <v>1</v>
      </c>
      <c r="O581" s="12" t="n">
        <v>3202.41</v>
      </c>
      <c r="P581" s="12" t="n">
        <v>0</v>
      </c>
      <c r="Q581" s="12" t="n">
        <v>3202.41</v>
      </c>
      <c r="R581" s="12" t="n">
        <v>2608.44</v>
      </c>
      <c r="S581" s="12" t="n">
        <v>593.97</v>
      </c>
      <c r="T581" s="12" t="inlineStr">
        <is>
          <t>Paid</t>
        </is>
      </c>
      <c r="U581" s="12" t="inlineStr">
        <is>
          <t>Completed</t>
        </is>
      </c>
      <c r="V581">
        <f>IF(OR(P581="",P581&lt;0,P581&gt;0.5),0,P581)</f>
        <v/>
      </c>
      <c r="W581">
        <f>N581*O581*(1-V581)</f>
        <v/>
      </c>
      <c r="X581">
        <f>W581-R581</f>
        <v/>
      </c>
      <c r="Y581">
        <f>IF(W581=0,0,X581/W581)</f>
        <v/>
      </c>
      <c r="Z581">
        <f>C581-B581</f>
        <v/>
      </c>
      <c r="AA581">
        <f>TEXT(B581,"mmmm")</f>
        <v/>
      </c>
      <c r="AB581">
        <f>YEAR(B581)</f>
        <v/>
      </c>
      <c r="AC581">
        <f>IF(OR(P581&lt;0,P581&gt;0.5,C581&lt;B581),"INVALID","CLEAN")</f>
        <v/>
      </c>
    </row>
    <row r="582">
      <c r="A582" s="12" t="inlineStr">
        <is>
          <t>ORD-2025-10581</t>
        </is>
      </c>
      <c r="B582" s="12" t="inlineStr">
        <is>
          <t>06-03-2025</t>
        </is>
      </c>
      <c r="C582" s="12" t="inlineStr">
        <is>
          <t>03/13/2025</t>
        </is>
      </c>
      <c r="D582" s="12" t="inlineStr">
        <is>
          <t>CUST-7958</t>
        </is>
      </c>
      <c r="E582" s="12" t="inlineStr">
        <is>
          <t>Kabir Singh</t>
        </is>
      </c>
      <c r="F582" s="12" t="inlineStr">
        <is>
          <t>Consumer</t>
        </is>
      </c>
      <c r="G582" s="12" t="inlineStr">
        <is>
          <t>South</t>
        </is>
      </c>
      <c r="H582" s="12" t="inlineStr">
        <is>
          <t>Kerala</t>
        </is>
      </c>
      <c r="I582" s="12" t="inlineStr">
        <is>
          <t>Kochi</t>
        </is>
      </c>
      <c r="J582" s="12" t="inlineStr">
        <is>
          <t>Furniture</t>
        </is>
      </c>
      <c r="K582" s="12" t="inlineStr">
        <is>
          <t>Chairs</t>
        </is>
      </c>
      <c r="L582" s="12" t="inlineStr">
        <is>
          <t>Pro Chairs 888</t>
        </is>
      </c>
      <c r="M582" s="12" t="inlineStr">
        <is>
          <t>Standard Class</t>
        </is>
      </c>
      <c r="N582" s="12" t="n">
        <v>3</v>
      </c>
      <c r="O582" s="12" t="n">
        <v>163.72</v>
      </c>
      <c r="P582" s="12" t="n">
        <v>0.15</v>
      </c>
      <c r="Q582" s="12" t="n">
        <v>417.49</v>
      </c>
      <c r="R582" s="12" t="n">
        <v>261.67</v>
      </c>
      <c r="S582" s="12" t="n">
        <v>155.82</v>
      </c>
      <c r="T582" s="12" t="inlineStr">
        <is>
          <t>Failed</t>
        </is>
      </c>
      <c r="U582" s="12" t="inlineStr">
        <is>
          <t>Returned</t>
        </is>
      </c>
      <c r="V582">
        <f>IF(OR(P582="",P582&lt;0,P582&gt;0.5),0,P582)</f>
        <v/>
      </c>
      <c r="W582">
        <f>N582*O582*(1-V582)</f>
        <v/>
      </c>
      <c r="X582">
        <f>W582-R582</f>
        <v/>
      </c>
      <c r="Y582">
        <f>IF(W582=0,0,X582/W582)</f>
        <v/>
      </c>
      <c r="Z582">
        <f>C582-B582</f>
        <v/>
      </c>
      <c r="AA582">
        <f>TEXT(B582,"mmmm")</f>
        <v/>
      </c>
      <c r="AB582">
        <f>YEAR(B582)</f>
        <v/>
      </c>
      <c r="AC582">
        <f>IF(OR(P582&lt;0,P582&gt;0.5,C582&lt;B582),"INVALID","CLEAN")</f>
        <v/>
      </c>
    </row>
    <row r="583">
      <c r="A583" s="12" t="inlineStr">
        <is>
          <t>ORD-2025-10582</t>
        </is>
      </c>
      <c r="B583" s="12" t="inlineStr">
        <is>
          <t>2025-08-09</t>
        </is>
      </c>
      <c r="C583" s="12" t="inlineStr">
        <is>
          <t>08/10/2025</t>
        </is>
      </c>
      <c r="D583" s="12" t="inlineStr">
        <is>
          <t>CUST-9931</t>
        </is>
      </c>
      <c r="E583" s="12" t="inlineStr">
        <is>
          <t>Neha Gupta</t>
        </is>
      </c>
      <c r="F583" s="12" t="inlineStr">
        <is>
          <t>Consumer</t>
        </is>
      </c>
      <c r="G583" s="12" t="inlineStr">
        <is>
          <t>North</t>
        </is>
      </c>
      <c r="H583" s="12" t="inlineStr">
        <is>
          <t>Delhi</t>
        </is>
      </c>
      <c r="I583" s="12" t="inlineStr">
        <is>
          <t>New Delhi</t>
        </is>
      </c>
      <c r="J583" s="12" t="inlineStr">
        <is>
          <t>Office Supplies</t>
        </is>
      </c>
      <c r="K583" s="12" t="inlineStr">
        <is>
          <t>Art</t>
        </is>
      </c>
      <c r="L583" s="12" t="inlineStr">
        <is>
          <t>Classic Art 611</t>
        </is>
      </c>
      <c r="M583" s="12" t="inlineStr">
        <is>
          <t>Second Class</t>
        </is>
      </c>
      <c r="N583" s="12" t="n">
        <v>4</v>
      </c>
      <c r="O583" s="12" t="n">
        <v>4080.95</v>
      </c>
      <c r="P583" s="12" t="n">
        <v>0</v>
      </c>
      <c r="Q583" s="12" t="n">
        <v>16323.8</v>
      </c>
      <c r="R583" s="12" t="n">
        <v>9965.790000000001</v>
      </c>
      <c r="S583" s="12" t="n">
        <v>6358.01</v>
      </c>
      <c r="T583" s="12" t="inlineStr">
        <is>
          <t>Refunded</t>
        </is>
      </c>
      <c r="U583" s="12" t="inlineStr">
        <is>
          <t>Returned</t>
        </is>
      </c>
      <c r="V583">
        <f>IF(OR(P583="",P583&lt;0,P583&gt;0.5),0,P583)</f>
        <v/>
      </c>
      <c r="W583">
        <f>N583*O583*(1-V583)</f>
        <v/>
      </c>
      <c r="X583">
        <f>W583-R583</f>
        <v/>
      </c>
      <c r="Y583">
        <f>IF(W583=0,0,X583/W583)</f>
        <v/>
      </c>
      <c r="Z583">
        <f>C583-B583</f>
        <v/>
      </c>
      <c r="AA583">
        <f>TEXT(B583,"mmmm")</f>
        <v/>
      </c>
      <c r="AB583">
        <f>YEAR(B583)</f>
        <v/>
      </c>
      <c r="AC583">
        <f>IF(OR(P583&lt;0,P583&gt;0.5,C583&lt;B583),"INVALID","CLEAN")</f>
        <v/>
      </c>
    </row>
    <row r="584">
      <c r="A584" s="12" t="inlineStr">
        <is>
          <t>ORD-2024-10583</t>
        </is>
      </c>
      <c r="B584" s="12" t="inlineStr">
        <is>
          <t>2024-10-15</t>
        </is>
      </c>
      <c r="C584" s="12" t="inlineStr">
        <is>
          <t>10/20/2024</t>
        </is>
      </c>
      <c r="D584" s="12" t="inlineStr">
        <is>
          <t>CUST-2088</t>
        </is>
      </c>
      <c r="E584" s="12" t="inlineStr">
        <is>
          <t>Ananya Rao</t>
        </is>
      </c>
      <c r="F584" s="12" t="inlineStr">
        <is>
          <t>Consumer</t>
        </is>
      </c>
      <c r="G584" s="12" t="inlineStr">
        <is>
          <t>East</t>
        </is>
      </c>
      <c r="H584" s="12" t="inlineStr">
        <is>
          <t>Odisha</t>
        </is>
      </c>
      <c r="I584" s="12" t="inlineStr">
        <is>
          <t>Bhubaneswar</t>
        </is>
      </c>
      <c r="J584" s="12" t="inlineStr">
        <is>
          <t>Office Supplies</t>
        </is>
      </c>
      <c r="K584" s="12" t="inlineStr">
        <is>
          <t>Art</t>
        </is>
      </c>
      <c r="L584" s="12" t="inlineStr">
        <is>
          <t>Basic Art 174</t>
        </is>
      </c>
      <c r="M584" s="12" t="inlineStr">
        <is>
          <t>First Class</t>
        </is>
      </c>
      <c r="N584" s="12" t="n">
        <v>5</v>
      </c>
      <c r="O584" s="12" t="n">
        <v>671.24</v>
      </c>
      <c r="P584" s="12" t="n">
        <v>0</v>
      </c>
      <c r="Q584" s="12" t="n">
        <v>3356.2</v>
      </c>
      <c r="R584" s="12" t="n">
        <v>2205.72</v>
      </c>
      <c r="S584" s="12" t="n">
        <v>1150.48</v>
      </c>
      <c r="T584" s="12" t="inlineStr">
        <is>
          <t>Pending</t>
        </is>
      </c>
      <c r="U584" s="12" t="inlineStr">
        <is>
          <t>Returned</t>
        </is>
      </c>
      <c r="V584">
        <f>IF(OR(P584="",P584&lt;0,P584&gt;0.5),0,P584)</f>
        <v/>
      </c>
      <c r="W584">
        <f>N584*O584*(1-V584)</f>
        <v/>
      </c>
      <c r="X584">
        <f>W584-R584</f>
        <v/>
      </c>
      <c r="Y584">
        <f>IF(W584=0,0,X584/W584)</f>
        <v/>
      </c>
      <c r="Z584">
        <f>C584-B584</f>
        <v/>
      </c>
      <c r="AA584">
        <f>TEXT(B584,"mmmm")</f>
        <v/>
      </c>
      <c r="AB584">
        <f>YEAR(B584)</f>
        <v/>
      </c>
      <c r="AC584">
        <f>IF(OR(P584&lt;0,P584&gt;0.5,C584&lt;B584),"INVALID","CLEAN")</f>
        <v/>
      </c>
    </row>
    <row r="585">
      <c r="A585" s="12" t="inlineStr">
        <is>
          <t>ORD-2024-10584</t>
        </is>
      </c>
      <c r="B585" s="12" t="inlineStr">
        <is>
          <t>28 Feb 2024</t>
        </is>
      </c>
      <c r="C585" s="12" t="inlineStr">
        <is>
          <t>02/28/2024</t>
        </is>
      </c>
      <c r="D585" s="12" t="inlineStr">
        <is>
          <t>CUST-1686</t>
        </is>
      </c>
      <c r="E585" s="12" t="inlineStr">
        <is>
          <t>Rohan Mehta</t>
        </is>
      </c>
      <c r="F585" s="12" t="inlineStr">
        <is>
          <t>Small Business</t>
        </is>
      </c>
      <c r="G585" s="12" t="inlineStr">
        <is>
          <t>East</t>
        </is>
      </c>
      <c r="H585" s="12" t="inlineStr">
        <is>
          <t>West Bengal</t>
        </is>
      </c>
      <c r="I585" s="12" t="inlineStr">
        <is>
          <t>Kolkata</t>
        </is>
      </c>
      <c r="J585" s="12" t="inlineStr">
        <is>
          <t>Office Supplies</t>
        </is>
      </c>
      <c r="K585" s="12" t="inlineStr">
        <is>
          <t>Storage</t>
        </is>
      </c>
      <c r="L585" s="12" t="inlineStr">
        <is>
          <t>Classic Storage 451</t>
        </is>
      </c>
      <c r="M585" s="12" t="inlineStr">
        <is>
          <t>First Class</t>
        </is>
      </c>
      <c r="N585" s="12" t="n">
        <v>1</v>
      </c>
      <c r="O585" s="12" t="n">
        <v>2626.84</v>
      </c>
      <c r="P585" s="12" t="n">
        <v>0.2</v>
      </c>
      <c r="Q585" s="12" t="n">
        <v>2101.47</v>
      </c>
      <c r="R585" s="12" t="n">
        <v>1217.83</v>
      </c>
      <c r="S585" s="12" t="n">
        <v>883.64</v>
      </c>
      <c r="T585" s="12" t="inlineStr">
        <is>
          <t>Failed</t>
        </is>
      </c>
      <c r="U585" s="12" t="inlineStr">
        <is>
          <t>Returned</t>
        </is>
      </c>
      <c r="V585">
        <f>IF(OR(P585="",P585&lt;0,P585&gt;0.5),0,P585)</f>
        <v/>
      </c>
      <c r="W585">
        <f>N585*O585*(1-V585)</f>
        <v/>
      </c>
      <c r="X585">
        <f>W585-R585</f>
        <v/>
      </c>
      <c r="Y585">
        <f>IF(W585=0,0,X585/W585)</f>
        <v/>
      </c>
      <c r="Z585">
        <f>C585-B585</f>
        <v/>
      </c>
      <c r="AA585">
        <f>TEXT(B585,"mmmm")</f>
        <v/>
      </c>
      <c r="AB585">
        <f>YEAR(B585)</f>
        <v/>
      </c>
      <c r="AC585">
        <f>IF(OR(P585&lt;0,P585&gt;0.5,C585&lt;B585),"INVALID","CLEAN")</f>
        <v/>
      </c>
    </row>
    <row r="586">
      <c r="A586" s="12" t="inlineStr">
        <is>
          <t>ORD-2024-10585</t>
        </is>
      </c>
      <c r="B586" s="12" t="inlineStr">
        <is>
          <t>08/04/2024</t>
        </is>
      </c>
      <c r="C586" s="12" t="inlineStr">
        <is>
          <t>10-08-2024</t>
        </is>
      </c>
      <c r="D586" s="12" t="inlineStr">
        <is>
          <t>CUST-4894</t>
        </is>
      </c>
      <c r="E586" s="12" t="inlineStr">
        <is>
          <t>Vikram Iyer</t>
        </is>
      </c>
      <c r="F586" s="12" t="inlineStr">
        <is>
          <t>Consumer</t>
        </is>
      </c>
      <c r="G586" s="12" t="inlineStr">
        <is>
          <t>East</t>
        </is>
      </c>
      <c r="H586" s="12" t="inlineStr">
        <is>
          <t>Bihar</t>
        </is>
      </c>
      <c r="I586" s="12" t="inlineStr">
        <is>
          <t>Patna</t>
        </is>
      </c>
      <c r="J586" s="12" t="inlineStr">
        <is>
          <t>Office Supplies</t>
        </is>
      </c>
      <c r="K586" s="12" t="inlineStr">
        <is>
          <t>Art</t>
        </is>
      </c>
      <c r="L586" s="12" t="inlineStr">
        <is>
          <t>Pro Art 172</t>
        </is>
      </c>
      <c r="M586" s="12" t="inlineStr">
        <is>
          <t>Same Day</t>
        </is>
      </c>
      <c r="N586" s="12" t="n">
        <v>1</v>
      </c>
      <c r="O586" s="12" t="n">
        <v>984.9299999999999</v>
      </c>
      <c r="P586" s="12" t="n">
        <v>0.15</v>
      </c>
      <c r="Q586" s="12" t="n">
        <v>837.1900000000001</v>
      </c>
      <c r="R586" s="12" t="n">
        <v>583.79</v>
      </c>
      <c r="S586" s="12" t="n">
        <v>253.4</v>
      </c>
      <c r="T586" s="12" t="inlineStr">
        <is>
          <t>Pending</t>
        </is>
      </c>
      <c r="U586" s="12" t="inlineStr">
        <is>
          <t>Returned</t>
        </is>
      </c>
      <c r="V586">
        <f>IF(OR(P586="",P586&lt;0,P586&gt;0.5),0,P586)</f>
        <v/>
      </c>
      <c r="W586">
        <f>N586*O586*(1-V586)</f>
        <v/>
      </c>
      <c r="X586">
        <f>W586-R586</f>
        <v/>
      </c>
      <c r="Y586">
        <f>IF(W586=0,0,X586/W586)</f>
        <v/>
      </c>
      <c r="Z586">
        <f>C586-B586</f>
        <v/>
      </c>
      <c r="AA586">
        <f>TEXT(B586,"mmmm")</f>
        <v/>
      </c>
      <c r="AB586">
        <f>YEAR(B586)</f>
        <v/>
      </c>
      <c r="AC586">
        <f>IF(OR(P586&lt;0,P586&gt;0.5,C586&lt;B586),"INVALID","CLEAN")</f>
        <v/>
      </c>
    </row>
    <row r="587">
      <c r="A587" s="12" t="inlineStr">
        <is>
          <t>ORD-2025-10586</t>
        </is>
      </c>
      <c r="B587" s="12" t="inlineStr">
        <is>
          <t>22 Jun 2025</t>
        </is>
      </c>
      <c r="C587" s="12" t="inlineStr">
        <is>
          <t>2025-06-25</t>
        </is>
      </c>
      <c r="D587" s="12" t="inlineStr">
        <is>
          <t>CUST-5201</t>
        </is>
      </c>
      <c r="E587" s="12" t="inlineStr">
        <is>
          <t>Diya Patel</t>
        </is>
      </c>
      <c r="F587" s="12" t="inlineStr">
        <is>
          <t>Small Business</t>
        </is>
      </c>
      <c r="G587" s="12" t="inlineStr">
        <is>
          <t>WEST</t>
        </is>
      </c>
      <c r="H587" s="12" t="inlineStr">
        <is>
          <t>Maharashtra</t>
        </is>
      </c>
      <c r="I587" s="12" t="inlineStr">
        <is>
          <t>Mumbai</t>
        </is>
      </c>
      <c r="J587" s="12" t="inlineStr">
        <is>
          <t>Technology</t>
        </is>
      </c>
      <c r="K587" s="12" t="inlineStr">
        <is>
          <t>Phones</t>
        </is>
      </c>
      <c r="L587" s="12" t="inlineStr">
        <is>
          <t>Prime Phones 744</t>
        </is>
      </c>
      <c r="M587" s="12" t="inlineStr">
        <is>
          <t>First Class</t>
        </is>
      </c>
      <c r="N587" s="12" t="n">
        <v>8</v>
      </c>
      <c r="O587" s="12" t="n">
        <v>3453.66</v>
      </c>
      <c r="P587" s="12" t="n">
        <v>0</v>
      </c>
      <c r="Q587" s="12" t="n">
        <v>27629.28</v>
      </c>
      <c r="R587" s="12" t="n">
        <v>22026.48</v>
      </c>
      <c r="S587" s="12" t="n">
        <v>5602.8</v>
      </c>
      <c r="T587" s="12" t="inlineStr">
        <is>
          <t>Paid</t>
        </is>
      </c>
      <c r="U587" s="12" t="inlineStr">
        <is>
          <t>Completed</t>
        </is>
      </c>
      <c r="V587">
        <f>IF(OR(P587="",P587&lt;0,P587&gt;0.5),0,P587)</f>
        <v/>
      </c>
      <c r="W587">
        <f>N587*O587*(1-V587)</f>
        <v/>
      </c>
      <c r="X587">
        <f>W587-R587</f>
        <v/>
      </c>
      <c r="Y587">
        <f>IF(W587=0,0,X587/W587)</f>
        <v/>
      </c>
      <c r="Z587">
        <f>C587-B587</f>
        <v/>
      </c>
      <c r="AA587">
        <f>TEXT(B587,"mmmm")</f>
        <v/>
      </c>
      <c r="AB587">
        <f>YEAR(B587)</f>
        <v/>
      </c>
      <c r="AC587">
        <f>IF(OR(P587&lt;0,P587&gt;0.5,C587&lt;B587),"INVALID","CLEAN")</f>
        <v/>
      </c>
    </row>
    <row r="588">
      <c r="A588" s="12" t="inlineStr">
        <is>
          <t>ORD-2025-10587</t>
        </is>
      </c>
      <c r="B588" s="12" t="inlineStr">
        <is>
          <t>12-04-2025</t>
        </is>
      </c>
      <c r="C588" s="12" t="inlineStr">
        <is>
          <t>12 Apr 2025</t>
        </is>
      </c>
      <c r="D588" s="12" t="inlineStr">
        <is>
          <t>CUST-8626</t>
        </is>
      </c>
      <c r="E588" s="12" t="inlineStr">
        <is>
          <t>Mira Das</t>
        </is>
      </c>
      <c r="F588" s="12" t="inlineStr">
        <is>
          <t>Home Office</t>
        </is>
      </c>
      <c r="G588" s="12" t="inlineStr">
        <is>
          <t>North</t>
        </is>
      </c>
      <c r="H588" s="12" t="inlineStr">
        <is>
          <t>Punjab</t>
        </is>
      </c>
      <c r="I588" s="12" t="inlineStr">
        <is>
          <t>Ludhiana</t>
        </is>
      </c>
      <c r="J588" s="12" t="inlineStr">
        <is>
          <t>Office Supplies</t>
        </is>
      </c>
      <c r="K588" s="12" t="inlineStr">
        <is>
          <t>Binders</t>
        </is>
      </c>
      <c r="L588" s="12" t="inlineStr">
        <is>
          <t>Prime Binders 249</t>
        </is>
      </c>
      <c r="M588" s="12" t="inlineStr">
        <is>
          <t>Second Class</t>
        </is>
      </c>
      <c r="N588" s="12" t="n">
        <v>7</v>
      </c>
      <c r="O588" s="12" t="n">
        <v>1334.2</v>
      </c>
      <c r="P588" s="12" t="n">
        <v>0.2</v>
      </c>
      <c r="Q588" s="12" t="n">
        <v>7471.52</v>
      </c>
      <c r="R588" s="12" t="n">
        <v>6184.32</v>
      </c>
      <c r="S588" s="12" t="n">
        <v>1287.2</v>
      </c>
      <c r="T588" s="12" t="inlineStr">
        <is>
          <t>Paid</t>
        </is>
      </c>
      <c r="U588" s="12" t="inlineStr">
        <is>
          <t>Completed</t>
        </is>
      </c>
      <c r="V588">
        <f>IF(OR(P588="",P588&lt;0,P588&gt;0.5),0,P588)</f>
        <v/>
      </c>
      <c r="W588">
        <f>N588*O588*(1-V588)</f>
        <v/>
      </c>
      <c r="X588">
        <f>W588-R588</f>
        <v/>
      </c>
      <c r="Y588">
        <f>IF(W588=0,0,X588/W588)</f>
        <v/>
      </c>
      <c r="Z588">
        <f>C588-B588</f>
        <v/>
      </c>
      <c r="AA588">
        <f>TEXT(B588,"mmmm")</f>
        <v/>
      </c>
      <c r="AB588">
        <f>YEAR(B588)</f>
        <v/>
      </c>
      <c r="AC588">
        <f>IF(OR(P588&lt;0,P588&gt;0.5,C588&lt;B588),"INVALID","CLEAN")</f>
        <v/>
      </c>
    </row>
    <row r="589">
      <c r="A589" s="12" t="inlineStr">
        <is>
          <t>ORD-2025-10588</t>
        </is>
      </c>
      <c r="B589" s="12" t="inlineStr">
        <is>
          <t>23-07-2025</t>
        </is>
      </c>
      <c r="C589" s="12" t="inlineStr">
        <is>
          <t>2025-07-31</t>
        </is>
      </c>
      <c r="D589" s="12" t="inlineStr">
        <is>
          <t>CUST-1013</t>
        </is>
      </c>
      <c r="E589" s="12" t="inlineStr">
        <is>
          <t>Kabir Singh</t>
        </is>
      </c>
      <c r="F589" s="12" t="inlineStr">
        <is>
          <t>Home Office</t>
        </is>
      </c>
      <c r="G589" s="12" t="inlineStr">
        <is>
          <t>West</t>
        </is>
      </c>
      <c r="H589" s="12" t="inlineStr">
        <is>
          <t>Madhya Pradesh</t>
        </is>
      </c>
      <c r="I589" s="12" t="inlineStr">
        <is>
          <t>Indore</t>
        </is>
      </c>
      <c r="J589" s="12" t="inlineStr">
        <is>
          <t>Technology</t>
        </is>
      </c>
      <c r="K589" s="12" t="inlineStr">
        <is>
          <t>Accessories</t>
        </is>
      </c>
      <c r="L589" s="12" t="inlineStr">
        <is>
          <t>Eco Accessories 948</t>
        </is>
      </c>
      <c r="M589" s="12" t="inlineStr">
        <is>
          <t>First Class</t>
        </is>
      </c>
      <c r="N589" s="12" t="n">
        <v>1</v>
      </c>
      <c r="O589" s="12" t="n">
        <v>4253.84</v>
      </c>
      <c r="P589" s="12" t="n">
        <v>0.15</v>
      </c>
      <c r="Q589" s="12" t="n">
        <v>3615.76</v>
      </c>
      <c r="R589" s="12" t="n">
        <v>2951.52</v>
      </c>
      <c r="S589" s="12" t="n">
        <v>664.24</v>
      </c>
      <c r="T589" s="12" t="inlineStr">
        <is>
          <t>Refunded</t>
        </is>
      </c>
      <c r="U589" s="12" t="inlineStr">
        <is>
          <t>Cancelled</t>
        </is>
      </c>
      <c r="V589">
        <f>IF(OR(P589="",P589&lt;0,P589&gt;0.5),0,P589)</f>
        <v/>
      </c>
      <c r="W589">
        <f>N589*O589*(1-V589)</f>
        <v/>
      </c>
      <c r="X589">
        <f>W589-R589</f>
        <v/>
      </c>
      <c r="Y589">
        <f>IF(W589=0,0,X589/W589)</f>
        <v/>
      </c>
      <c r="Z589">
        <f>C589-B589</f>
        <v/>
      </c>
      <c r="AA589">
        <f>TEXT(B589,"mmmm")</f>
        <v/>
      </c>
      <c r="AB589">
        <f>YEAR(B589)</f>
        <v/>
      </c>
      <c r="AC589">
        <f>IF(OR(P589&lt;0,P589&gt;0.5,C589&lt;B589),"INVALID","CLEAN")</f>
        <v/>
      </c>
    </row>
    <row r="590">
      <c r="A590" s="12" t="inlineStr">
        <is>
          <t>ORD-2025-10589</t>
        </is>
      </c>
      <c r="B590" s="12" t="inlineStr">
        <is>
          <t>2025-03-11</t>
        </is>
      </c>
      <c r="C590" s="12" t="inlineStr">
        <is>
          <t>15 Mar 2025</t>
        </is>
      </c>
      <c r="D590" s="12" t="inlineStr">
        <is>
          <t>CUST-3601</t>
        </is>
      </c>
      <c r="E590" s="12" t="inlineStr">
        <is>
          <t>Aarav Sharma</t>
        </is>
      </c>
      <c r="F590" s="12" t="inlineStr">
        <is>
          <t>Home Office</t>
        </is>
      </c>
      <c r="G590" s="12" t="inlineStr">
        <is>
          <t>South</t>
        </is>
      </c>
      <c r="H590" s="12" t="inlineStr">
        <is>
          <t>Karnataka</t>
        </is>
      </c>
      <c r="I590" s="12" t="inlineStr">
        <is>
          <t>Bengaluru</t>
        </is>
      </c>
      <c r="J590" s="12" t="inlineStr">
        <is>
          <t>Technology</t>
        </is>
      </c>
      <c r="K590" s="12" t="inlineStr">
        <is>
          <t>Accessories</t>
        </is>
      </c>
      <c r="L590" s="12" t="inlineStr">
        <is>
          <t>Classic Accessories 458</t>
        </is>
      </c>
      <c r="M590" s="12" t="inlineStr">
        <is>
          <t>Second Class</t>
        </is>
      </c>
      <c r="N590" s="12" t="n">
        <v>8</v>
      </c>
      <c r="O590" s="12" t="n">
        <v>4446.36</v>
      </c>
      <c r="P590" s="12" t="n">
        <v>0.1</v>
      </c>
      <c r="Q590" s="12" t="n">
        <v>32013.79</v>
      </c>
      <c r="R590" s="12" t="n">
        <v>20896.88</v>
      </c>
      <c r="S590" s="12" t="n">
        <v>11116.91</v>
      </c>
      <c r="T590" s="12" t="inlineStr">
        <is>
          <t>Refunded</t>
        </is>
      </c>
      <c r="U590" s="12" t="inlineStr">
        <is>
          <t>Cancelled</t>
        </is>
      </c>
      <c r="V590">
        <f>IF(OR(P590="",P590&lt;0,P590&gt;0.5),0,P590)</f>
        <v/>
      </c>
      <c r="W590">
        <f>N590*O590*(1-V590)</f>
        <v/>
      </c>
      <c r="X590">
        <f>W590-R590</f>
        <v/>
      </c>
      <c r="Y590">
        <f>IF(W590=0,0,X590/W590)</f>
        <v/>
      </c>
      <c r="Z590">
        <f>C590-B590</f>
        <v/>
      </c>
      <c r="AA590">
        <f>TEXT(B590,"mmmm")</f>
        <v/>
      </c>
      <c r="AB590">
        <f>YEAR(B590)</f>
        <v/>
      </c>
      <c r="AC590">
        <f>IF(OR(P590&lt;0,P590&gt;0.5,C590&lt;B590),"INVALID","CLEAN")</f>
        <v/>
      </c>
    </row>
    <row r="591">
      <c r="A591" s="12" t="inlineStr">
        <is>
          <t>ORD-2024-10590</t>
        </is>
      </c>
      <c r="B591" s="12" t="inlineStr">
        <is>
          <t>06 Dec 2024</t>
        </is>
      </c>
      <c r="C591" s="12" t="inlineStr">
        <is>
          <t>12/12/2024</t>
        </is>
      </c>
      <c r="D591" s="12" t="inlineStr">
        <is>
          <t>CUST-7846</t>
        </is>
      </c>
      <c r="E591" s="12" t="inlineStr">
        <is>
          <t>Rohan Mehta</t>
        </is>
      </c>
      <c r="F591" s="12" t="inlineStr">
        <is>
          <t>Corporate</t>
        </is>
      </c>
      <c r="G591" s="12" t="inlineStr">
        <is>
          <t>North</t>
        </is>
      </c>
      <c r="H591" s="12" t="inlineStr">
        <is>
          <t>Uttar Pradesh</t>
        </is>
      </c>
      <c r="I591" s="12" t="inlineStr">
        <is>
          <t>Noida</t>
        </is>
      </c>
      <c r="J591" s="12" t="inlineStr">
        <is>
          <t>Technology</t>
        </is>
      </c>
      <c r="K591" s="12" t="inlineStr">
        <is>
          <t>Phones</t>
        </is>
      </c>
      <c r="L591" s="12" t="inlineStr">
        <is>
          <t>Max Phones 318</t>
        </is>
      </c>
      <c r="M591" s="12" t="inlineStr">
        <is>
          <t>First Class</t>
        </is>
      </c>
      <c r="N591" s="12" t="n">
        <v>3</v>
      </c>
      <c r="O591" s="12" t="n">
        <v>524.75</v>
      </c>
      <c r="P591" s="12" t="n">
        <v>0</v>
      </c>
      <c r="Q591" s="12" t="n">
        <v>1574.25</v>
      </c>
      <c r="R591" s="12" t="n">
        <v>1326.12</v>
      </c>
      <c r="S591" s="12" t="n">
        <v>248.13</v>
      </c>
      <c r="T591" s="12" t="inlineStr">
        <is>
          <t>Paid</t>
        </is>
      </c>
      <c r="U591" s="12" t="inlineStr">
        <is>
          <t>Completed</t>
        </is>
      </c>
      <c r="V591">
        <f>IF(OR(P591="",P591&lt;0,P591&gt;0.5),0,P591)</f>
        <v/>
      </c>
      <c r="W591">
        <f>N591*O591*(1-V591)</f>
        <v/>
      </c>
      <c r="X591">
        <f>W591-R591</f>
        <v/>
      </c>
      <c r="Y591">
        <f>IF(W591=0,0,X591/W591)</f>
        <v/>
      </c>
      <c r="Z591">
        <f>C591-B591</f>
        <v/>
      </c>
      <c r="AA591">
        <f>TEXT(B591,"mmmm")</f>
        <v/>
      </c>
      <c r="AB591">
        <f>YEAR(B591)</f>
        <v/>
      </c>
      <c r="AC591">
        <f>IF(OR(P591&lt;0,P591&gt;0.5,C591&lt;B591),"INVALID","CLEAN")</f>
        <v/>
      </c>
    </row>
    <row r="592">
      <c r="A592" s="12" t="inlineStr">
        <is>
          <t>ORD-2024-10591</t>
        </is>
      </c>
      <c r="B592" s="12" t="inlineStr">
        <is>
          <t>29-05-2024</t>
        </is>
      </c>
      <c r="C592" s="12" t="inlineStr">
        <is>
          <t>2024-05-29</t>
        </is>
      </c>
      <c r="D592" s="12" t="inlineStr">
        <is>
          <t>CUST-3433</t>
        </is>
      </c>
      <c r="E592" s="12" t="inlineStr">
        <is>
          <t>Aarav Sharma</t>
        </is>
      </c>
      <c r="F592" s="12" t="inlineStr">
        <is>
          <t>Home Office</t>
        </is>
      </c>
      <c r="G592" s="12" t="inlineStr">
        <is>
          <t>North</t>
        </is>
      </c>
      <c r="H592" s="12" t="inlineStr">
        <is>
          <t>Delhi</t>
        </is>
      </c>
      <c r="I592" s="12" t="inlineStr">
        <is>
          <t>New Delhi</t>
        </is>
      </c>
      <c r="J592" s="12" t="inlineStr">
        <is>
          <t>Furniture</t>
        </is>
      </c>
      <c r="K592" s="12" t="inlineStr">
        <is>
          <t>Chairs</t>
        </is>
      </c>
      <c r="L592" s="12" t="inlineStr">
        <is>
          <t>Elite Chairs 372</t>
        </is>
      </c>
      <c r="M592" s="12" t="inlineStr">
        <is>
          <t>Same Day</t>
        </is>
      </c>
      <c r="N592" s="12" t="n">
        <v>6</v>
      </c>
      <c r="O592" s="12" t="n">
        <v>3430.35</v>
      </c>
      <c r="P592" s="12" t="n">
        <v>0</v>
      </c>
      <c r="Q592" s="12" t="n">
        <v>20582.1</v>
      </c>
      <c r="R592" s="12" t="n">
        <v>15897.65</v>
      </c>
      <c r="S592" s="12" t="n">
        <v>4684.45</v>
      </c>
      <c r="T592" s="12" t="inlineStr">
        <is>
          <t xml:space="preserve">  Pending </t>
        </is>
      </c>
      <c r="U592" s="12" t="inlineStr">
        <is>
          <t>Cancelled</t>
        </is>
      </c>
      <c r="V592">
        <f>IF(OR(P592="",P592&lt;0,P592&gt;0.5),0,P592)</f>
        <v/>
      </c>
      <c r="W592">
        <f>N592*O592*(1-V592)</f>
        <v/>
      </c>
      <c r="X592">
        <f>W592-R592</f>
        <v/>
      </c>
      <c r="Y592">
        <f>IF(W592=0,0,X592/W592)</f>
        <v/>
      </c>
      <c r="Z592">
        <f>C592-B592</f>
        <v/>
      </c>
      <c r="AA592">
        <f>TEXT(B592,"mmmm")</f>
        <v/>
      </c>
      <c r="AB592">
        <f>YEAR(B592)</f>
        <v/>
      </c>
      <c r="AC592">
        <f>IF(OR(P592&lt;0,P592&gt;0.5,C592&lt;B592),"INVALID","CLEAN")</f>
        <v/>
      </c>
    </row>
    <row r="593">
      <c r="A593" s="12" t="inlineStr">
        <is>
          <t>ORD-2024-10592</t>
        </is>
      </c>
      <c r="B593" s="12" t="inlineStr">
        <is>
          <t>2024-02-22</t>
        </is>
      </c>
      <c r="C593" s="12" t="inlineStr">
        <is>
          <t>24-02-2024</t>
        </is>
      </c>
      <c r="D593" s="12" t="inlineStr">
        <is>
          <t>CUST-2423</t>
        </is>
      </c>
      <c r="E593" s="12" t="inlineStr">
        <is>
          <t>Sneha Kapoor</t>
        </is>
      </c>
      <c r="F593" s="12" t="inlineStr">
        <is>
          <t>Consumer</t>
        </is>
      </c>
      <c r="G593" s="12" t="inlineStr">
        <is>
          <t>South</t>
        </is>
      </c>
      <c r="H593" s="12" t="inlineStr">
        <is>
          <t>Karnataka</t>
        </is>
      </c>
      <c r="I593" s="12" t="inlineStr">
        <is>
          <t>Bengaluru</t>
        </is>
      </c>
      <c r="J593" s="12" t="inlineStr">
        <is>
          <t>Technology</t>
        </is>
      </c>
      <c r="K593" s="12" t="inlineStr">
        <is>
          <t>Copiers</t>
        </is>
      </c>
      <c r="L593" s="12" t="inlineStr">
        <is>
          <t>Eco Copiers 324</t>
        </is>
      </c>
      <c r="M593" s="12" t="inlineStr">
        <is>
          <t>First Class</t>
        </is>
      </c>
      <c r="N593" s="12" t="n">
        <v>3</v>
      </c>
      <c r="O593" s="12" t="n">
        <v>3545.08</v>
      </c>
      <c r="P593" s="12" t="n">
        <v>0</v>
      </c>
      <c r="Q593" s="12" t="n">
        <v>10635.24</v>
      </c>
      <c r="R593" s="12" t="n">
        <v>6031.88</v>
      </c>
      <c r="S593" s="12" t="n">
        <v>4603.36</v>
      </c>
      <c r="T593" s="12" t="inlineStr">
        <is>
          <t>Failed</t>
        </is>
      </c>
      <c r="U593" s="12" t="inlineStr">
        <is>
          <t>Returned</t>
        </is>
      </c>
      <c r="V593">
        <f>IF(OR(P593="",P593&lt;0,P593&gt;0.5),0,P593)</f>
        <v/>
      </c>
      <c r="W593">
        <f>N593*O593*(1-V593)</f>
        <v/>
      </c>
      <c r="X593">
        <f>W593-R593</f>
        <v/>
      </c>
      <c r="Y593">
        <f>IF(W593=0,0,X593/W593)</f>
        <v/>
      </c>
      <c r="Z593">
        <f>C593-B593</f>
        <v/>
      </c>
      <c r="AA593">
        <f>TEXT(B593,"mmmm")</f>
        <v/>
      </c>
      <c r="AB593">
        <f>YEAR(B593)</f>
        <v/>
      </c>
      <c r="AC593">
        <f>IF(OR(P593&lt;0,P593&gt;0.5,C593&lt;B593),"INVALID","CLEAN")</f>
        <v/>
      </c>
    </row>
    <row r="594">
      <c r="A594" s="12" t="inlineStr">
        <is>
          <t>ORD-2024-10593</t>
        </is>
      </c>
      <c r="B594" s="12" t="inlineStr">
        <is>
          <t>04-03-2024</t>
        </is>
      </c>
      <c r="C594" s="12" t="inlineStr">
        <is>
          <t>2024-03-09</t>
        </is>
      </c>
      <c r="D594" s="12" t="inlineStr">
        <is>
          <t>CUST-3559</t>
        </is>
      </c>
      <c r="E594" s="12" t="inlineStr">
        <is>
          <t>Mira Das</t>
        </is>
      </c>
      <c r="F594" s="12" t="inlineStr">
        <is>
          <t>Consumer</t>
        </is>
      </c>
      <c r="G594" s="12" t="inlineStr">
        <is>
          <t>East</t>
        </is>
      </c>
      <c r="H594" s="12" t="inlineStr">
        <is>
          <t>West Bengal</t>
        </is>
      </c>
      <c r="I594" s="12" t="inlineStr">
        <is>
          <t>Kolkata</t>
        </is>
      </c>
      <c r="J594" s="12" t="inlineStr">
        <is>
          <t>Technology</t>
        </is>
      </c>
      <c r="K594" s="12" t="inlineStr">
        <is>
          <t>Accessories</t>
        </is>
      </c>
      <c r="L594" s="12" t="inlineStr">
        <is>
          <t>Classic Accessories 131</t>
        </is>
      </c>
      <c r="M594" s="12" t="inlineStr">
        <is>
          <t>Same Day</t>
        </is>
      </c>
      <c r="N594" s="12" t="n">
        <v>8</v>
      </c>
      <c r="O594" s="12" t="n">
        <v>4401.41</v>
      </c>
      <c r="P594" s="12" t="n">
        <v>0.15</v>
      </c>
      <c r="Q594" s="12" t="n">
        <v>29929.59</v>
      </c>
      <c r="R594" s="12" t="n">
        <v>22436.03</v>
      </c>
      <c r="S594" s="12" t="n">
        <v>7493.56</v>
      </c>
      <c r="T594" s="12" t="inlineStr">
        <is>
          <t>Paid</t>
        </is>
      </c>
      <c r="U594" s="12" t="inlineStr">
        <is>
          <t>Completed</t>
        </is>
      </c>
      <c r="V594">
        <f>IF(OR(P594="",P594&lt;0,P594&gt;0.5),0,P594)</f>
        <v/>
      </c>
      <c r="W594">
        <f>N594*O594*(1-V594)</f>
        <v/>
      </c>
      <c r="X594">
        <f>W594-R594</f>
        <v/>
      </c>
      <c r="Y594">
        <f>IF(W594=0,0,X594/W594)</f>
        <v/>
      </c>
      <c r="Z594">
        <f>C594-B594</f>
        <v/>
      </c>
      <c r="AA594">
        <f>TEXT(B594,"mmmm")</f>
        <v/>
      </c>
      <c r="AB594">
        <f>YEAR(B594)</f>
        <v/>
      </c>
      <c r="AC594">
        <f>IF(OR(P594&lt;0,P594&gt;0.5,C594&lt;B594),"INVALID","CLEAN")</f>
        <v/>
      </c>
    </row>
    <row r="595">
      <c r="A595" s="12" t="inlineStr">
        <is>
          <t>ORD-2025-10594</t>
        </is>
      </c>
      <c r="B595" s="12" t="inlineStr">
        <is>
          <t>09/27/2025</t>
        </is>
      </c>
      <c r="C595" s="12" t="inlineStr">
        <is>
          <t>2025-09-29</t>
        </is>
      </c>
      <c r="D595" s="12" t="inlineStr">
        <is>
          <t>CUST-2917</t>
        </is>
      </c>
      <c r="E595" s="12" t="inlineStr">
        <is>
          <t>Arjun Bose</t>
        </is>
      </c>
      <c r="F595" s="12" t="inlineStr">
        <is>
          <t>Home Office</t>
        </is>
      </c>
      <c r="G595" s="12" t="inlineStr">
        <is>
          <t>North</t>
        </is>
      </c>
      <c r="H595" s="12" t="inlineStr">
        <is>
          <t>Uttar Pradesh</t>
        </is>
      </c>
      <c r="I595" s="12" t="inlineStr">
        <is>
          <t>Noida</t>
        </is>
      </c>
      <c r="J595" s="12" t="inlineStr">
        <is>
          <t>Furniture</t>
        </is>
      </c>
      <c r="K595" s="12" t="inlineStr">
        <is>
          <t>Tables</t>
        </is>
      </c>
      <c r="L595" s="12" t="inlineStr">
        <is>
          <t>Eco Tables 550</t>
        </is>
      </c>
      <c r="M595" s="12" t="inlineStr">
        <is>
          <t>Second Class</t>
        </is>
      </c>
      <c r="N595" s="12" t="n">
        <v>9</v>
      </c>
      <c r="O595" s="12" t="n">
        <v>4100.11</v>
      </c>
      <c r="P595" s="12" t="n">
        <v>0.25</v>
      </c>
      <c r="Q595" s="12" t="n">
        <v>27675.74</v>
      </c>
      <c r="R595" s="12" t="n">
        <v>15571.08</v>
      </c>
      <c r="S595" s="12" t="n">
        <v>12104.66</v>
      </c>
      <c r="T595" s="12" t="inlineStr">
        <is>
          <t>Paid</t>
        </is>
      </c>
      <c r="U595" s="12" t="inlineStr">
        <is>
          <t>Completed</t>
        </is>
      </c>
      <c r="V595">
        <f>IF(OR(P595="",P595&lt;0,P595&gt;0.5),0,P595)</f>
        <v/>
      </c>
      <c r="W595">
        <f>N595*O595*(1-V595)</f>
        <v/>
      </c>
      <c r="X595">
        <f>W595-R595</f>
        <v/>
      </c>
      <c r="Y595">
        <f>IF(W595=0,0,X595/W595)</f>
        <v/>
      </c>
      <c r="Z595">
        <f>C595-B595</f>
        <v/>
      </c>
      <c r="AA595">
        <f>TEXT(B595,"mmmm")</f>
        <v/>
      </c>
      <c r="AB595">
        <f>YEAR(B595)</f>
        <v/>
      </c>
      <c r="AC595">
        <f>IF(OR(P595&lt;0,P595&gt;0.5,C595&lt;B595),"INVALID","CLEAN")</f>
        <v/>
      </c>
    </row>
    <row r="596">
      <c r="A596" s="12" t="inlineStr">
        <is>
          <t>ORD-2024-10595</t>
        </is>
      </c>
      <c r="B596" s="12" t="inlineStr">
        <is>
          <t>2024-09-19</t>
        </is>
      </c>
      <c r="C596" s="12" t="inlineStr">
        <is>
          <t>2024-09-21</t>
        </is>
      </c>
      <c r="D596" s="12" t="inlineStr">
        <is>
          <t>CUST-6850</t>
        </is>
      </c>
      <c r="E596" s="12" t="inlineStr">
        <is>
          <t>Karan Malhotra</t>
        </is>
      </c>
      <c r="F596" s="12" t="inlineStr">
        <is>
          <t>Small Business</t>
        </is>
      </c>
      <c r="G596" s="12" t="inlineStr">
        <is>
          <t>East</t>
        </is>
      </c>
      <c r="H596" s="12" t="inlineStr">
        <is>
          <t>West Bengal</t>
        </is>
      </c>
      <c r="I596" s="12" t="inlineStr">
        <is>
          <t>Kolkata</t>
        </is>
      </c>
      <c r="J596" s="12" t="inlineStr">
        <is>
          <t>Furniture</t>
        </is>
      </c>
      <c r="K596" s="12" t="inlineStr">
        <is>
          <t>Chairs</t>
        </is>
      </c>
      <c r="L596" s="12" t="inlineStr">
        <is>
          <t>Basic Chairs 932</t>
        </is>
      </c>
      <c r="M596" s="12" t="inlineStr">
        <is>
          <t>First Class</t>
        </is>
      </c>
      <c r="N596" s="12" t="n">
        <v>3</v>
      </c>
      <c r="O596" s="12" t="n">
        <v>3981.76</v>
      </c>
      <c r="P596" s="12" t="n">
        <v>0</v>
      </c>
      <c r="Q596" s="12" t="n">
        <v>11945.28</v>
      </c>
      <c r="R596" s="12" t="n">
        <v>9700.309999999999</v>
      </c>
      <c r="S596" s="12" t="n">
        <v>2244.97</v>
      </c>
      <c r="T596" s="12" t="inlineStr">
        <is>
          <t>Paid</t>
        </is>
      </c>
      <c r="U596" s="12" t="inlineStr">
        <is>
          <t>Completed</t>
        </is>
      </c>
      <c r="V596">
        <f>IF(OR(P596="",P596&lt;0,P596&gt;0.5),0,P596)</f>
        <v/>
      </c>
      <c r="W596">
        <f>N596*O596*(1-V596)</f>
        <v/>
      </c>
      <c r="X596">
        <f>W596-R596</f>
        <v/>
      </c>
      <c r="Y596">
        <f>IF(W596=0,0,X596/W596)</f>
        <v/>
      </c>
      <c r="Z596">
        <f>C596-B596</f>
        <v/>
      </c>
      <c r="AA596">
        <f>TEXT(B596,"mmmm")</f>
        <v/>
      </c>
      <c r="AB596">
        <f>YEAR(B596)</f>
        <v/>
      </c>
      <c r="AC596">
        <f>IF(OR(P596&lt;0,P596&gt;0.5,C596&lt;B596),"INVALID","CLEAN")</f>
        <v/>
      </c>
    </row>
    <row r="597">
      <c r="A597" s="12" t="inlineStr">
        <is>
          <t>ORD-2025-10596</t>
        </is>
      </c>
      <c r="B597" s="12" t="inlineStr">
        <is>
          <t>02/11/2025</t>
        </is>
      </c>
      <c r="C597" s="12" t="inlineStr">
        <is>
          <t>16-02-2025</t>
        </is>
      </c>
      <c r="D597" s="12" t="inlineStr">
        <is>
          <t>CUST-5566</t>
        </is>
      </c>
      <c r="E597" s="12" t="inlineStr">
        <is>
          <t>Mira Das</t>
        </is>
      </c>
      <c r="F597" s="12" t="inlineStr">
        <is>
          <t>Corporate</t>
        </is>
      </c>
      <c r="G597" s="12" t="inlineStr">
        <is>
          <t>North</t>
        </is>
      </c>
      <c r="H597" s="12" t="inlineStr">
        <is>
          <t>Uttar Pradesh</t>
        </is>
      </c>
      <c r="I597" s="12" t="inlineStr">
        <is>
          <t>Noida</t>
        </is>
      </c>
      <c r="J597" s="12" t="inlineStr">
        <is>
          <t>Technology</t>
        </is>
      </c>
      <c r="K597" s="12" t="inlineStr">
        <is>
          <t>Phones</t>
        </is>
      </c>
      <c r="L597" s="12" t="inlineStr">
        <is>
          <t>Classic Phones 294</t>
        </is>
      </c>
      <c r="M597" s="12" t="inlineStr">
        <is>
          <t>First Class</t>
        </is>
      </c>
      <c r="N597" s="12" t="n">
        <v>8</v>
      </c>
      <c r="O597" s="12" t="n">
        <v>1825.56</v>
      </c>
      <c r="P597" s="12" t="n">
        <v>0.1</v>
      </c>
      <c r="Q597" s="12" t="n">
        <v>13144.03</v>
      </c>
      <c r="R597" s="12" t="n">
        <v>9764</v>
      </c>
      <c r="S597" s="12" t="n">
        <v>3380.03</v>
      </c>
      <c r="T597" s="12" t="inlineStr">
        <is>
          <t>Paid</t>
        </is>
      </c>
      <c r="U597" s="12" t="inlineStr">
        <is>
          <t>Completed</t>
        </is>
      </c>
      <c r="V597">
        <f>IF(OR(P597="",P597&lt;0,P597&gt;0.5),0,P597)</f>
        <v/>
      </c>
      <c r="W597">
        <f>N597*O597*(1-V597)</f>
        <v/>
      </c>
      <c r="X597">
        <f>W597-R597</f>
        <v/>
      </c>
      <c r="Y597">
        <f>IF(W597=0,0,X597/W597)</f>
        <v/>
      </c>
      <c r="Z597">
        <f>C597-B597</f>
        <v/>
      </c>
      <c r="AA597">
        <f>TEXT(B597,"mmmm")</f>
        <v/>
      </c>
      <c r="AB597">
        <f>YEAR(B597)</f>
        <v/>
      </c>
      <c r="AC597">
        <f>IF(OR(P597&lt;0,P597&gt;0.5,C597&lt;B597),"INVALID","CLEAN")</f>
        <v/>
      </c>
    </row>
    <row r="598">
      <c r="A598" s="12" t="inlineStr">
        <is>
          <t>ORD-2024-10597</t>
        </is>
      </c>
      <c r="B598" s="12" t="inlineStr">
        <is>
          <t>10 Apr 2024</t>
        </is>
      </c>
      <c r="C598" s="12" t="inlineStr">
        <is>
          <t>04/16/2024</t>
        </is>
      </c>
      <c r="D598" s="12" t="inlineStr">
        <is>
          <t>CUST-2593</t>
        </is>
      </c>
      <c r="E598" s="12" t="inlineStr">
        <is>
          <t>Aditi Sen</t>
        </is>
      </c>
      <c r="F598" s="12" t="inlineStr">
        <is>
          <t>Consumer</t>
        </is>
      </c>
      <c r="G598" s="12" t="inlineStr">
        <is>
          <t>South</t>
        </is>
      </c>
      <c r="H598" s="12" t="inlineStr">
        <is>
          <t>Kerala</t>
        </is>
      </c>
      <c r="I598" s="12" t="inlineStr">
        <is>
          <t>Kochi</t>
        </is>
      </c>
      <c r="J598" s="12" t="inlineStr">
        <is>
          <t>Furniture</t>
        </is>
      </c>
      <c r="K598" s="12" t="inlineStr">
        <is>
          <t>Chairs</t>
        </is>
      </c>
      <c r="L598" s="12" t="inlineStr">
        <is>
          <t>Elite Chairs 700</t>
        </is>
      </c>
      <c r="M598" s="12" t="inlineStr">
        <is>
          <t>Second Class</t>
        </is>
      </c>
      <c r="N598" s="12" t="n">
        <v>9</v>
      </c>
      <c r="O598" s="12" t="n">
        <v>2723.26</v>
      </c>
      <c r="P598" s="12" t="n">
        <v>0.25</v>
      </c>
      <c r="Q598" s="12" t="n">
        <v>18382.01</v>
      </c>
      <c r="R598" s="12" t="n">
        <v>13108.2</v>
      </c>
      <c r="S598" s="12" t="n">
        <v>5273.81</v>
      </c>
      <c r="T598" s="12" t="inlineStr">
        <is>
          <t>Paid</t>
        </is>
      </c>
      <c r="U598" s="12" t="inlineStr">
        <is>
          <t>Completed</t>
        </is>
      </c>
      <c r="V598">
        <f>IF(OR(P598="",P598&lt;0,P598&gt;0.5),0,P598)</f>
        <v/>
      </c>
      <c r="W598">
        <f>N598*O598*(1-V598)</f>
        <v/>
      </c>
      <c r="X598">
        <f>W598-R598</f>
        <v/>
      </c>
      <c r="Y598">
        <f>IF(W598=0,0,X598/W598)</f>
        <v/>
      </c>
      <c r="Z598">
        <f>C598-B598</f>
        <v/>
      </c>
      <c r="AA598">
        <f>TEXT(B598,"mmmm")</f>
        <v/>
      </c>
      <c r="AB598">
        <f>YEAR(B598)</f>
        <v/>
      </c>
      <c r="AC598">
        <f>IF(OR(P598&lt;0,P598&gt;0.5,C598&lt;B598),"INVALID","CLEAN")</f>
        <v/>
      </c>
    </row>
    <row r="599">
      <c r="A599" s="12" t="inlineStr">
        <is>
          <t>ORD-2025-10598</t>
        </is>
      </c>
      <c r="B599" s="12" t="inlineStr">
        <is>
          <t>08 Jul 2025</t>
        </is>
      </c>
      <c r="C599" s="12" t="inlineStr">
        <is>
          <t>07/08/2025</t>
        </is>
      </c>
      <c r="D599" s="12" t="inlineStr">
        <is>
          <t>CUST-6957</t>
        </is>
      </c>
      <c r="E599" s="12" t="inlineStr">
        <is>
          <t>Aditi Sen</t>
        </is>
      </c>
      <c r="F599" s="12" t="inlineStr">
        <is>
          <t>Consumer</t>
        </is>
      </c>
      <c r="G599" s="12" t="inlineStr">
        <is>
          <t>South</t>
        </is>
      </c>
      <c r="H599" s="12" t="inlineStr">
        <is>
          <t>Telangana</t>
        </is>
      </c>
      <c r="I599" s="12" t="inlineStr">
        <is>
          <t>Hyderabad</t>
        </is>
      </c>
      <c r="J599" s="12" t="inlineStr">
        <is>
          <t>Technology</t>
        </is>
      </c>
      <c r="K599" s="12" t="inlineStr">
        <is>
          <t>Copiers</t>
        </is>
      </c>
      <c r="L599" s="12" t="inlineStr">
        <is>
          <t>Prime Copiers 969</t>
        </is>
      </c>
      <c r="M599" s="12" t="inlineStr">
        <is>
          <t>Same Day</t>
        </is>
      </c>
      <c r="N599" s="12" t="n">
        <v>9</v>
      </c>
      <c r="O599" s="12" t="n">
        <v>274.88</v>
      </c>
      <c r="P599" s="12" t="n">
        <v>0.25</v>
      </c>
      <c r="Q599" s="12" t="n">
        <v>1855.44</v>
      </c>
      <c r="R599" s="12" t="n">
        <v>1262.74</v>
      </c>
      <c r="S599" s="12" t="n">
        <v>592.7</v>
      </c>
      <c r="T599" s="12" t="inlineStr">
        <is>
          <t>Paid</t>
        </is>
      </c>
      <c r="U599" s="12" t="inlineStr">
        <is>
          <t>Completed</t>
        </is>
      </c>
      <c r="V599">
        <f>IF(OR(P599="",P599&lt;0,P599&gt;0.5),0,P599)</f>
        <v/>
      </c>
      <c r="W599">
        <f>N599*O599*(1-V599)</f>
        <v/>
      </c>
      <c r="X599">
        <f>W599-R599</f>
        <v/>
      </c>
      <c r="Y599">
        <f>IF(W599=0,0,X599/W599)</f>
        <v/>
      </c>
      <c r="Z599">
        <f>C599-B599</f>
        <v/>
      </c>
      <c r="AA599">
        <f>TEXT(B599,"mmmm")</f>
        <v/>
      </c>
      <c r="AB599">
        <f>YEAR(B599)</f>
        <v/>
      </c>
      <c r="AC599">
        <f>IF(OR(P599&lt;0,P599&gt;0.5,C599&lt;B599),"INVALID","CLEAN")</f>
        <v/>
      </c>
    </row>
    <row r="600">
      <c r="A600" s="12" t="inlineStr">
        <is>
          <t>ORD-2024-10599</t>
        </is>
      </c>
      <c r="B600" s="12" t="inlineStr">
        <is>
          <t>08/17/2024</t>
        </is>
      </c>
      <c r="C600" s="12" t="inlineStr">
        <is>
          <t>08/24/2024</t>
        </is>
      </c>
      <c r="D600" s="12" t="inlineStr">
        <is>
          <t>CUST-8498</t>
        </is>
      </c>
      <c r="E600" s="12" t="inlineStr">
        <is>
          <t>Ananya Rao</t>
        </is>
      </c>
      <c r="F600" s="12" t="inlineStr">
        <is>
          <t>Corporate</t>
        </is>
      </c>
      <c r="G600" s="12" t="inlineStr">
        <is>
          <t>East</t>
        </is>
      </c>
      <c r="H600" s="12" t="inlineStr">
        <is>
          <t>West Bengal</t>
        </is>
      </c>
      <c r="I600" s="12" t="inlineStr">
        <is>
          <t>Kolkata</t>
        </is>
      </c>
      <c r="J600" s="12" t="inlineStr">
        <is>
          <t>Technology</t>
        </is>
      </c>
      <c r="K600" s="12" t="inlineStr">
        <is>
          <t>Copiers</t>
        </is>
      </c>
      <c r="L600" s="12" t="inlineStr">
        <is>
          <t>Eco Copiers 268</t>
        </is>
      </c>
      <c r="M600" s="12" t="inlineStr">
        <is>
          <t>Same Day</t>
        </is>
      </c>
      <c r="N600" s="12" t="n">
        <v>3</v>
      </c>
      <c r="O600" s="12" t="n">
        <v>1490.69</v>
      </c>
      <c r="P600" s="12" t="n">
        <v>0.25</v>
      </c>
      <c r="Q600" s="12" t="n">
        <v>3354.05</v>
      </c>
      <c r="R600" s="12" t="n">
        <v>2672.67</v>
      </c>
      <c r="S600" s="12" t="n">
        <v>681.38</v>
      </c>
      <c r="T600" s="12" t="inlineStr">
        <is>
          <t>Paid</t>
        </is>
      </c>
      <c r="U600" s="12" t="inlineStr">
        <is>
          <t>Completed</t>
        </is>
      </c>
      <c r="V600">
        <f>IF(OR(P600="",P600&lt;0,P600&gt;0.5),0,P600)</f>
        <v/>
      </c>
      <c r="W600">
        <f>N600*O600*(1-V600)</f>
        <v/>
      </c>
      <c r="X600">
        <f>W600-R600</f>
        <v/>
      </c>
      <c r="Y600">
        <f>IF(W600=0,0,X600/W600)</f>
        <v/>
      </c>
      <c r="Z600">
        <f>C600-B600</f>
        <v/>
      </c>
      <c r="AA600">
        <f>TEXT(B600,"mmmm")</f>
        <v/>
      </c>
      <c r="AB600">
        <f>YEAR(B600)</f>
        <v/>
      </c>
      <c r="AC600">
        <f>IF(OR(P600&lt;0,P600&gt;0.5,C600&lt;B600),"INVALID","CLEAN")</f>
        <v/>
      </c>
    </row>
    <row r="601">
      <c r="A601" s="12" t="inlineStr">
        <is>
          <t>ORD-2024-10600</t>
        </is>
      </c>
      <c r="B601" s="12" t="inlineStr">
        <is>
          <t>19-08-2024</t>
        </is>
      </c>
      <c r="C601" s="12" t="inlineStr">
        <is>
          <t>21 Aug 2024</t>
        </is>
      </c>
      <c r="D601" s="12" t="inlineStr">
        <is>
          <t>CUST-2612</t>
        </is>
      </c>
      <c r="E601" s="12" t="inlineStr">
        <is>
          <t>Arjun Bose</t>
        </is>
      </c>
      <c r="F601" s="12" t="inlineStr">
        <is>
          <t>Consumer</t>
        </is>
      </c>
      <c r="G601" s="12" t="inlineStr">
        <is>
          <t>North</t>
        </is>
      </c>
      <c r="H601" s="12" t="inlineStr">
        <is>
          <t>Punjab</t>
        </is>
      </c>
      <c r="I601" s="12" t="inlineStr">
        <is>
          <t>Ludhiana</t>
        </is>
      </c>
      <c r="J601" s="12" t="inlineStr">
        <is>
          <t>Technology</t>
        </is>
      </c>
      <c r="K601" s="12" t="inlineStr">
        <is>
          <t>Phones</t>
        </is>
      </c>
      <c r="L601" s="12" t="inlineStr">
        <is>
          <t>Pro Phones 588</t>
        </is>
      </c>
      <c r="M601" s="12" t="inlineStr">
        <is>
          <t>First Class</t>
        </is>
      </c>
      <c r="N601" s="12" t="n">
        <v>3</v>
      </c>
      <c r="O601" s="12" t="n">
        <v>1103.54</v>
      </c>
      <c r="P601" s="12" t="n">
        <v>0.25</v>
      </c>
      <c r="Q601" s="12" t="n">
        <v>2482.97</v>
      </c>
      <c r="R601" s="12" t="n">
        <v>1621.72</v>
      </c>
      <c r="S601" s="12" t="n">
        <v>861.25</v>
      </c>
      <c r="T601" s="12" t="inlineStr">
        <is>
          <t>Paid</t>
        </is>
      </c>
      <c r="U601" s="12" t="inlineStr">
        <is>
          <t>Completed</t>
        </is>
      </c>
      <c r="V601">
        <f>IF(OR(P601="",P601&lt;0,P601&gt;0.5),0,P601)</f>
        <v/>
      </c>
      <c r="W601">
        <f>N601*O601*(1-V601)</f>
        <v/>
      </c>
      <c r="X601">
        <f>W601-R601</f>
        <v/>
      </c>
      <c r="Y601">
        <f>IF(W601=0,0,X601/W601)</f>
        <v/>
      </c>
      <c r="Z601">
        <f>C601-B601</f>
        <v/>
      </c>
      <c r="AA601">
        <f>TEXT(B601,"mmmm")</f>
        <v/>
      </c>
      <c r="AB601">
        <f>YEAR(B601)</f>
        <v/>
      </c>
      <c r="AC601">
        <f>IF(OR(P601&lt;0,P601&gt;0.5,C601&lt;B601),"INVALID","CLEAN")</f>
        <v/>
      </c>
    </row>
    <row r="602">
      <c r="A602" s="12" t="inlineStr">
        <is>
          <t>ORD-2025-10601</t>
        </is>
      </c>
      <c r="B602" s="12" t="inlineStr">
        <is>
          <t>05-03-2025</t>
        </is>
      </c>
      <c r="C602" s="12" t="inlineStr">
        <is>
          <t>2025-03-12</t>
        </is>
      </c>
      <c r="D602" s="12" t="inlineStr">
        <is>
          <t>CUST-6013</t>
        </is>
      </c>
      <c r="E602" s="12" t="inlineStr">
        <is>
          <t>Ananya Rao</t>
        </is>
      </c>
      <c r="F602" s="12" t="inlineStr">
        <is>
          <t>Corporate</t>
        </is>
      </c>
      <c r="G602" s="12" t="inlineStr">
        <is>
          <t>West</t>
        </is>
      </c>
      <c r="H602" s="12" t="inlineStr">
        <is>
          <t>Madhya Pradesh</t>
        </is>
      </c>
      <c r="I602" s="12" t="inlineStr">
        <is>
          <t>Indore</t>
        </is>
      </c>
      <c r="J602" s="12" t="inlineStr">
        <is>
          <t>Office Supplies</t>
        </is>
      </c>
      <c r="K602" s="12" t="inlineStr">
        <is>
          <t>Storage</t>
        </is>
      </c>
      <c r="L602" s="12" t="inlineStr">
        <is>
          <t>Prime Storage 432</t>
        </is>
      </c>
      <c r="M602" s="12" t="inlineStr">
        <is>
          <t>Same Day</t>
        </is>
      </c>
      <c r="N602" s="12" t="n">
        <v>3</v>
      </c>
      <c r="O602" s="12" t="n">
        <v>3682.75</v>
      </c>
      <c r="P602" s="12" t="n"/>
      <c r="Q602" s="12" t="n">
        <v>11048.25</v>
      </c>
      <c r="R602" s="12" t="n">
        <v>9062.719999999999</v>
      </c>
      <c r="S602" s="12" t="n">
        <v>1985.53</v>
      </c>
      <c r="T602" s="12" t="inlineStr">
        <is>
          <t>Paid</t>
        </is>
      </c>
      <c r="U602" s="12" t="inlineStr">
        <is>
          <t>Completed</t>
        </is>
      </c>
      <c r="V602">
        <f>IF(OR(P602="",P602&lt;0,P602&gt;0.5),0,P602)</f>
        <v/>
      </c>
      <c r="W602">
        <f>N602*O602*(1-V602)</f>
        <v/>
      </c>
      <c r="X602">
        <f>W602-R602</f>
        <v/>
      </c>
      <c r="Y602">
        <f>IF(W602=0,0,X602/W602)</f>
        <v/>
      </c>
      <c r="Z602">
        <f>C602-B602</f>
        <v/>
      </c>
      <c r="AA602">
        <f>TEXT(B602,"mmmm")</f>
        <v/>
      </c>
      <c r="AB602">
        <f>YEAR(B602)</f>
        <v/>
      </c>
      <c r="AC602">
        <f>IF(OR(P602&lt;0,P602&gt;0.5,C602&lt;B602),"INVALID","CLEAN")</f>
        <v/>
      </c>
    </row>
    <row r="603">
      <c r="A603" s="12" t="inlineStr">
        <is>
          <t>ORD-2024-10602</t>
        </is>
      </c>
      <c r="B603" s="12" t="inlineStr">
        <is>
          <t>26 Jan 2024</t>
        </is>
      </c>
      <c r="C603" s="12" t="inlineStr">
        <is>
          <t>01/31/2024</t>
        </is>
      </c>
      <c r="D603" s="12" t="inlineStr">
        <is>
          <t>CUST-8289</t>
        </is>
      </c>
      <c r="E603" s="12" t="inlineStr">
        <is>
          <t>Ananya Rao</t>
        </is>
      </c>
      <c r="F603" s="12" t="inlineStr">
        <is>
          <t>Home Office</t>
        </is>
      </c>
      <c r="G603" s="12" t="inlineStr">
        <is>
          <t>East</t>
        </is>
      </c>
      <c r="H603" s="12" t="inlineStr">
        <is>
          <t>West Bengal</t>
        </is>
      </c>
      <c r="I603" s="12" t="inlineStr">
        <is>
          <t>Kolkata</t>
        </is>
      </c>
      <c r="J603" s="12" t="inlineStr">
        <is>
          <t>Office Supplies</t>
        </is>
      </c>
      <c r="K603" s="12" t="inlineStr">
        <is>
          <t>Paper</t>
        </is>
      </c>
      <c r="L603" s="12" t="inlineStr">
        <is>
          <t>Basic Paper 452</t>
        </is>
      </c>
      <c r="M603" s="12" t="inlineStr">
        <is>
          <t>Second Class</t>
        </is>
      </c>
      <c r="N603" s="12" t="n">
        <v>5</v>
      </c>
      <c r="O603" s="12" t="n">
        <v>1615.03</v>
      </c>
      <c r="P603" s="12" t="n">
        <v>0.2</v>
      </c>
      <c r="Q603" s="12" t="n">
        <v>6460.12</v>
      </c>
      <c r="R603" s="12" t="n">
        <v>3604.03</v>
      </c>
      <c r="S603" s="12" t="n">
        <v>2856.09</v>
      </c>
      <c r="T603" s="12" t="inlineStr">
        <is>
          <t>Paid</t>
        </is>
      </c>
      <c r="U603" s="12" t="inlineStr">
        <is>
          <t>Completed</t>
        </is>
      </c>
      <c r="V603">
        <f>IF(OR(P603="",P603&lt;0,P603&gt;0.5),0,P603)</f>
        <v/>
      </c>
      <c r="W603">
        <f>N603*O603*(1-V603)</f>
        <v/>
      </c>
      <c r="X603">
        <f>W603-R603</f>
        <v/>
      </c>
      <c r="Y603">
        <f>IF(W603=0,0,X603/W603)</f>
        <v/>
      </c>
      <c r="Z603">
        <f>C603-B603</f>
        <v/>
      </c>
      <c r="AA603">
        <f>TEXT(B603,"mmmm")</f>
        <v/>
      </c>
      <c r="AB603">
        <f>YEAR(B603)</f>
        <v/>
      </c>
      <c r="AC603">
        <f>IF(OR(P603&lt;0,P603&gt;0.5,C603&lt;B603),"INVALID","CLEAN")</f>
        <v/>
      </c>
    </row>
    <row r="604">
      <c r="A604" s="12" t="inlineStr">
        <is>
          <t>ORD-2024-10603</t>
        </is>
      </c>
      <c r="B604" s="12" t="inlineStr">
        <is>
          <t>23-10-2024</t>
        </is>
      </c>
      <c r="C604" s="12" t="inlineStr">
        <is>
          <t>2024-10-30</t>
        </is>
      </c>
      <c r="D604" s="12" t="inlineStr">
        <is>
          <t>CUST-5668</t>
        </is>
      </c>
      <c r="E604" s="12" t="inlineStr">
        <is>
          <t>Aarav Sharma</t>
        </is>
      </c>
      <c r="F604" s="12" t="inlineStr">
        <is>
          <t>Consumer</t>
        </is>
      </c>
      <c r="G604" s="12" t="inlineStr">
        <is>
          <t>East</t>
        </is>
      </c>
      <c r="H604" s="12" t="inlineStr">
        <is>
          <t>Jharkhand</t>
        </is>
      </c>
      <c r="I604" s="12" t="inlineStr">
        <is>
          <t>Ranchi</t>
        </is>
      </c>
      <c r="J604" s="12" t="inlineStr">
        <is>
          <t>Technology</t>
        </is>
      </c>
      <c r="K604" s="12" t="inlineStr">
        <is>
          <t>Copiers</t>
        </is>
      </c>
      <c r="L604" s="12" t="inlineStr">
        <is>
          <t>Max Copiers 477</t>
        </is>
      </c>
      <c r="M604" s="12" t="inlineStr">
        <is>
          <t>Second Class</t>
        </is>
      </c>
      <c r="N604" s="12" t="n">
        <v>9</v>
      </c>
      <c r="O604" s="12" t="n">
        <v>3423.82</v>
      </c>
      <c r="P604" s="12" t="n">
        <v>0.15</v>
      </c>
      <c r="Q604" s="12" t="n">
        <v>26192.22</v>
      </c>
      <c r="R604" s="12" t="n">
        <v>20795.55</v>
      </c>
      <c r="S604" s="12" t="n">
        <v>5396.67</v>
      </c>
      <c r="T604" s="12" t="inlineStr">
        <is>
          <t>Paid</t>
        </is>
      </c>
      <c r="U604" s="12" t="inlineStr">
        <is>
          <t>Completed</t>
        </is>
      </c>
      <c r="V604">
        <f>IF(OR(P604="",P604&lt;0,P604&gt;0.5),0,P604)</f>
        <v/>
      </c>
      <c r="W604">
        <f>N604*O604*(1-V604)</f>
        <v/>
      </c>
      <c r="X604">
        <f>W604-R604</f>
        <v/>
      </c>
      <c r="Y604">
        <f>IF(W604=0,0,X604/W604)</f>
        <v/>
      </c>
      <c r="Z604">
        <f>C604-B604</f>
        <v/>
      </c>
      <c r="AA604">
        <f>TEXT(B604,"mmmm")</f>
        <v/>
      </c>
      <c r="AB604">
        <f>YEAR(B604)</f>
        <v/>
      </c>
      <c r="AC604">
        <f>IF(OR(P604&lt;0,P604&gt;0.5,C604&lt;B604),"INVALID","CLEAN")</f>
        <v/>
      </c>
    </row>
    <row r="605">
      <c r="A605" s="12" t="inlineStr">
        <is>
          <t>ORD-2025-10604</t>
        </is>
      </c>
      <c r="B605" s="12" t="inlineStr">
        <is>
          <t>01/03/2025</t>
        </is>
      </c>
      <c r="C605" s="12" t="inlineStr">
        <is>
          <t>11-01-2025</t>
        </is>
      </c>
      <c r="D605" s="12" t="inlineStr">
        <is>
          <t>CUST-5808</t>
        </is>
      </c>
      <c r="E605" s="12" t="inlineStr">
        <is>
          <t>Vikram Iyer</t>
        </is>
      </c>
      <c r="F605" s="12" t="inlineStr">
        <is>
          <t>Corporate</t>
        </is>
      </c>
      <c r="G605" s="12" t="inlineStr">
        <is>
          <t>East</t>
        </is>
      </c>
      <c r="H605" s="12" t="inlineStr">
        <is>
          <t>Bihar</t>
        </is>
      </c>
      <c r="I605" s="12" t="inlineStr">
        <is>
          <t>Patna</t>
        </is>
      </c>
      <c r="J605" s="12" t="inlineStr">
        <is>
          <t xml:space="preserve">Technology </t>
        </is>
      </c>
      <c r="K605" s="12" t="inlineStr">
        <is>
          <t>Accessories</t>
        </is>
      </c>
      <c r="L605" s="12" t="inlineStr">
        <is>
          <t>Prime Accessories 300</t>
        </is>
      </c>
      <c r="M605" s="12" t="inlineStr">
        <is>
          <t>First Class</t>
        </is>
      </c>
      <c r="N605" s="12" t="n">
        <v>8</v>
      </c>
      <c r="O605" s="12" t="n">
        <v>2574.29</v>
      </c>
      <c r="P605" s="12" t="n">
        <v>0.05</v>
      </c>
      <c r="Q605" s="12" t="n">
        <v>19564.6</v>
      </c>
      <c r="R605" s="12" t="n">
        <v>11154.59</v>
      </c>
      <c r="S605" s="12" t="n">
        <v>8410.01</v>
      </c>
      <c r="T605" s="12" t="inlineStr">
        <is>
          <t>Pending</t>
        </is>
      </c>
      <c r="U605" s="12" t="inlineStr">
        <is>
          <t>Cancelled</t>
        </is>
      </c>
      <c r="V605">
        <f>IF(OR(P605="",P605&lt;0,P605&gt;0.5),0,P605)</f>
        <v/>
      </c>
      <c r="W605">
        <f>N605*O605*(1-V605)</f>
        <v/>
      </c>
      <c r="X605">
        <f>W605-R605</f>
        <v/>
      </c>
      <c r="Y605">
        <f>IF(W605=0,0,X605/W605)</f>
        <v/>
      </c>
      <c r="Z605">
        <f>C605-B605</f>
        <v/>
      </c>
      <c r="AA605">
        <f>TEXT(B605,"mmmm")</f>
        <v/>
      </c>
      <c r="AB605">
        <f>YEAR(B605)</f>
        <v/>
      </c>
      <c r="AC605">
        <f>IF(OR(P605&lt;0,P605&gt;0.5,C605&lt;B605),"INVALID","CLEAN")</f>
        <v/>
      </c>
    </row>
    <row r="606">
      <c r="A606" s="12" t="inlineStr">
        <is>
          <t>ORD-2025-10605</t>
        </is>
      </c>
      <c r="B606" s="12" t="inlineStr">
        <is>
          <t>05-02-2025</t>
        </is>
      </c>
      <c r="C606" s="12" t="inlineStr">
        <is>
          <t>02/06/2025</t>
        </is>
      </c>
      <c r="D606" s="12" t="inlineStr">
        <is>
          <t>CUST-4526</t>
        </is>
      </c>
      <c r="E606" s="12" t="inlineStr">
        <is>
          <t>Ananya Rao</t>
        </is>
      </c>
      <c r="F606" s="12" t="inlineStr">
        <is>
          <t>Consumer</t>
        </is>
      </c>
      <c r="G606" s="12" t="inlineStr">
        <is>
          <t>West</t>
        </is>
      </c>
      <c r="H606" s="12" t="inlineStr">
        <is>
          <t>Madhya Pradesh</t>
        </is>
      </c>
      <c r="I606" s="12" t="inlineStr">
        <is>
          <t>Indore</t>
        </is>
      </c>
      <c r="J606" s="12" t="inlineStr">
        <is>
          <t>Office Supplies</t>
        </is>
      </c>
      <c r="K606" s="12" t="inlineStr">
        <is>
          <t>Binders</t>
        </is>
      </c>
      <c r="L606" s="12" t="inlineStr">
        <is>
          <t>Max Binders 547</t>
        </is>
      </c>
      <c r="M606" s="12" t="inlineStr">
        <is>
          <t>Same Day</t>
        </is>
      </c>
      <c r="N606" s="12" t="n">
        <v>3</v>
      </c>
      <c r="O606" s="12" t="n">
        <v>1076.3</v>
      </c>
      <c r="P606" s="12" t="n">
        <v>0</v>
      </c>
      <c r="Q606" s="12" t="n">
        <v>3228.9</v>
      </c>
      <c r="R606" s="12" t="n">
        <v>1853.23</v>
      </c>
      <c r="S606" s="12" t="n">
        <v>1375.67</v>
      </c>
      <c r="T606" s="12" t="inlineStr">
        <is>
          <t>Paid</t>
        </is>
      </c>
      <c r="U606" s="12" t="inlineStr">
        <is>
          <t>Completed</t>
        </is>
      </c>
      <c r="V606">
        <f>IF(OR(P606="",P606&lt;0,P606&gt;0.5),0,P606)</f>
        <v/>
      </c>
      <c r="W606">
        <f>N606*O606*(1-V606)</f>
        <v/>
      </c>
      <c r="X606">
        <f>W606-R606</f>
        <v/>
      </c>
      <c r="Y606">
        <f>IF(W606=0,0,X606/W606)</f>
        <v/>
      </c>
      <c r="Z606">
        <f>C606-B606</f>
        <v/>
      </c>
      <c r="AA606">
        <f>TEXT(B606,"mmmm")</f>
        <v/>
      </c>
      <c r="AB606">
        <f>YEAR(B606)</f>
        <v/>
      </c>
      <c r="AC606">
        <f>IF(OR(P606&lt;0,P606&gt;0.5,C606&lt;B606),"INVALID","CLEAN")</f>
        <v/>
      </c>
    </row>
    <row r="607">
      <c r="A607" s="12" t="inlineStr">
        <is>
          <t>ORD-2025-10606</t>
        </is>
      </c>
      <c r="B607" s="12" t="inlineStr">
        <is>
          <t>2025-07-09</t>
        </is>
      </c>
      <c r="C607" s="12" t="inlineStr">
        <is>
          <t>13 Jul 2025</t>
        </is>
      </c>
      <c r="D607" s="12" t="inlineStr">
        <is>
          <t>CUST-4447</t>
        </is>
      </c>
      <c r="E607" s="12" t="inlineStr">
        <is>
          <t>Kabir Singh</t>
        </is>
      </c>
      <c r="F607" s="12" t="inlineStr">
        <is>
          <t>Corporate</t>
        </is>
      </c>
      <c r="G607" s="12" t="inlineStr">
        <is>
          <t>West</t>
        </is>
      </c>
      <c r="H607" s="12" t="inlineStr">
        <is>
          <t>Goa</t>
        </is>
      </c>
      <c r="I607" s="12" t="inlineStr">
        <is>
          <t>Panaji</t>
        </is>
      </c>
      <c r="J607" s="12" t="inlineStr">
        <is>
          <t>Furniture</t>
        </is>
      </c>
      <c r="K607" s="12" t="inlineStr">
        <is>
          <t>Furnishings</t>
        </is>
      </c>
      <c r="L607" s="12" t="inlineStr">
        <is>
          <t>Pro Furnishings 267</t>
        </is>
      </c>
      <c r="M607" s="12" t="inlineStr">
        <is>
          <t>Second Class</t>
        </is>
      </c>
      <c r="N607" s="12" t="n">
        <v>5</v>
      </c>
      <c r="O607" s="12" t="n">
        <v>1680.01</v>
      </c>
      <c r="P607" s="12" t="inlineStr">
        <is>
          <t>85%</t>
        </is>
      </c>
      <c r="Q607" s="12" t="n">
        <v>7560.04</v>
      </c>
      <c r="R607" s="12" t="n">
        <v>6448.05</v>
      </c>
      <c r="S607" s="12" t="n">
        <v>1111.99</v>
      </c>
      <c r="T607" s="12" t="inlineStr">
        <is>
          <t>Paid</t>
        </is>
      </c>
      <c r="U607" s="12" t="inlineStr">
        <is>
          <t>Cancelled</t>
        </is>
      </c>
      <c r="V607">
        <f>IF(OR(P607="",P607&lt;0,P607&gt;0.5),0,P607)</f>
        <v/>
      </c>
      <c r="W607">
        <f>N607*O607*(1-V607)</f>
        <v/>
      </c>
      <c r="X607">
        <f>W607-R607</f>
        <v/>
      </c>
      <c r="Y607">
        <f>IF(W607=0,0,X607/W607)</f>
        <v/>
      </c>
      <c r="Z607">
        <f>C607-B607</f>
        <v/>
      </c>
      <c r="AA607">
        <f>TEXT(B607,"mmmm")</f>
        <v/>
      </c>
      <c r="AB607">
        <f>YEAR(B607)</f>
        <v/>
      </c>
      <c r="AC607">
        <f>IF(OR(P607&lt;0,P607&gt;0.5,C607&lt;B607),"INVALID","CLEAN")</f>
        <v/>
      </c>
    </row>
    <row r="608">
      <c r="A608" s="12" t="inlineStr">
        <is>
          <t>ORD-2025-10607</t>
        </is>
      </c>
      <c r="B608" s="12" t="inlineStr">
        <is>
          <t>22 Feb 2025</t>
        </is>
      </c>
      <c r="C608" s="12" t="inlineStr">
        <is>
          <t>02/28/2025</t>
        </is>
      </c>
      <c r="D608" s="12" t="inlineStr">
        <is>
          <t>CUST-2698</t>
        </is>
      </c>
      <c r="E608" s="12" t="inlineStr">
        <is>
          <t>Rahul Verma</t>
        </is>
      </c>
      <c r="F608" s="12" t="inlineStr">
        <is>
          <t>Home Office</t>
        </is>
      </c>
      <c r="G608" s="12" t="inlineStr">
        <is>
          <t>West</t>
        </is>
      </c>
      <c r="H608" s="12" t="inlineStr">
        <is>
          <t>Madhya Pradesh</t>
        </is>
      </c>
      <c r="I608" s="12" t="inlineStr">
        <is>
          <t>Indore</t>
        </is>
      </c>
      <c r="J608" s="12" t="inlineStr">
        <is>
          <t>Technology</t>
        </is>
      </c>
      <c r="K608" s="12" t="inlineStr">
        <is>
          <t>Copiers</t>
        </is>
      </c>
      <c r="L608" s="12" t="inlineStr">
        <is>
          <t>Max Copiers 520</t>
        </is>
      </c>
      <c r="M608" s="12" t="inlineStr">
        <is>
          <t>Same Day</t>
        </is>
      </c>
      <c r="N608" s="12" t="n">
        <v>3</v>
      </c>
      <c r="O608" s="12" t="n">
        <v>3890.81</v>
      </c>
      <c r="P608" s="12" t="n">
        <v>0.25</v>
      </c>
      <c r="Q608" s="12" t="n">
        <v>8754.32</v>
      </c>
      <c r="R608" s="12" t="n">
        <v>6238.9</v>
      </c>
      <c r="S608" s="12" t="n">
        <v>2515.42</v>
      </c>
      <c r="T608" s="12" t="inlineStr">
        <is>
          <t>Paid</t>
        </is>
      </c>
      <c r="U608" s="12" t="inlineStr">
        <is>
          <t>Completed</t>
        </is>
      </c>
      <c r="V608">
        <f>IF(OR(P608="",P608&lt;0,P608&gt;0.5),0,P608)</f>
        <v/>
      </c>
      <c r="W608">
        <f>N608*O608*(1-V608)</f>
        <v/>
      </c>
      <c r="X608">
        <f>W608-R608</f>
        <v/>
      </c>
      <c r="Y608">
        <f>IF(W608=0,0,X608/W608)</f>
        <v/>
      </c>
      <c r="Z608">
        <f>C608-B608</f>
        <v/>
      </c>
      <c r="AA608">
        <f>TEXT(B608,"mmmm")</f>
        <v/>
      </c>
      <c r="AB608">
        <f>YEAR(B608)</f>
        <v/>
      </c>
      <c r="AC608">
        <f>IF(OR(P608&lt;0,P608&gt;0.5,C608&lt;B608),"INVALID","CLEAN")</f>
        <v/>
      </c>
    </row>
    <row r="609">
      <c r="A609" s="12" t="inlineStr">
        <is>
          <t>ORD-2025-10608</t>
        </is>
      </c>
      <c r="B609" s="12" t="inlineStr">
        <is>
          <t>16-02-2025</t>
        </is>
      </c>
      <c r="C609" s="12" t="inlineStr">
        <is>
          <t>22 Feb 2025</t>
        </is>
      </c>
      <c r="D609" s="12" t="inlineStr">
        <is>
          <t>CUST-6297</t>
        </is>
      </c>
      <c r="E609" s="12" t="inlineStr">
        <is>
          <t>Sneha Kapoor</t>
        </is>
      </c>
      <c r="F609" s="12" t="inlineStr">
        <is>
          <t>Home Office</t>
        </is>
      </c>
      <c r="G609" s="12" t="inlineStr">
        <is>
          <t>East</t>
        </is>
      </c>
      <c r="H609" s="12" t="inlineStr">
        <is>
          <t>Bihar</t>
        </is>
      </c>
      <c r="I609" s="12" t="inlineStr">
        <is>
          <t>Patna</t>
        </is>
      </c>
      <c r="J609" s="12" t="inlineStr">
        <is>
          <t>Office Supplies</t>
        </is>
      </c>
      <c r="K609" s="12" t="inlineStr">
        <is>
          <t>Storage</t>
        </is>
      </c>
      <c r="L609" s="12" t="inlineStr">
        <is>
          <t>Max Storage 424</t>
        </is>
      </c>
      <c r="M609" s="12" t="inlineStr">
        <is>
          <t>Same Day</t>
        </is>
      </c>
      <c r="N609" s="12" t="n">
        <v>5</v>
      </c>
      <c r="O609" s="12" t="n">
        <v>954.67</v>
      </c>
      <c r="P609" s="12" t="n">
        <v>0.15</v>
      </c>
      <c r="Q609" s="12" t="n">
        <v>4057.35</v>
      </c>
      <c r="R609" s="12" t="n">
        <v>2862.03</v>
      </c>
      <c r="S609" s="12" t="n">
        <v>1195.32</v>
      </c>
      <c r="T609" s="12" t="inlineStr">
        <is>
          <t>Paid</t>
        </is>
      </c>
      <c r="U609" s="12" t="inlineStr">
        <is>
          <t>Completed</t>
        </is>
      </c>
      <c r="V609">
        <f>IF(OR(P609="",P609&lt;0,P609&gt;0.5),0,P609)</f>
        <v/>
      </c>
      <c r="W609">
        <f>N609*O609*(1-V609)</f>
        <v/>
      </c>
      <c r="X609">
        <f>W609-R609</f>
        <v/>
      </c>
      <c r="Y609">
        <f>IF(W609=0,0,X609/W609)</f>
        <v/>
      </c>
      <c r="Z609">
        <f>C609-B609</f>
        <v/>
      </c>
      <c r="AA609">
        <f>TEXT(B609,"mmmm")</f>
        <v/>
      </c>
      <c r="AB609">
        <f>YEAR(B609)</f>
        <v/>
      </c>
      <c r="AC609">
        <f>IF(OR(P609&lt;0,P609&gt;0.5,C609&lt;B609),"INVALID","CLEAN")</f>
        <v/>
      </c>
    </row>
    <row r="610">
      <c r="A610" s="12" t="inlineStr">
        <is>
          <t>ORD-2024-10609</t>
        </is>
      </c>
      <c r="B610" s="12" t="inlineStr">
        <is>
          <t>21 Jun 2024</t>
        </is>
      </c>
      <c r="C610" s="12" t="inlineStr">
        <is>
          <t>23 Jun 2024</t>
        </is>
      </c>
      <c r="D610" s="12" t="inlineStr">
        <is>
          <t>CUST-7690</t>
        </is>
      </c>
      <c r="E610" s="12" t="inlineStr">
        <is>
          <t>Karan Malhotra</t>
        </is>
      </c>
      <c r="F610" s="12" t="inlineStr">
        <is>
          <t>Home Office</t>
        </is>
      </c>
      <c r="G610" s="12" t="inlineStr">
        <is>
          <t>West</t>
        </is>
      </c>
      <c r="H610" s="12" t="inlineStr">
        <is>
          <t>Goa</t>
        </is>
      </c>
      <c r="I610" s="12" t="inlineStr">
        <is>
          <t>Panaji</t>
        </is>
      </c>
      <c r="J610" s="12" t="inlineStr">
        <is>
          <t>Furniture</t>
        </is>
      </c>
      <c r="K610" s="12" t="inlineStr">
        <is>
          <t>Furnishings</t>
        </is>
      </c>
      <c r="L610" s="12" t="inlineStr">
        <is>
          <t>Elite Furnishings 706</t>
        </is>
      </c>
      <c r="M610" s="12" t="inlineStr">
        <is>
          <t>Second Class</t>
        </is>
      </c>
      <c r="N610" s="12" t="n">
        <v>9</v>
      </c>
      <c r="O610" s="12" t="n">
        <v>2153.75</v>
      </c>
      <c r="P610" s="12" t="n">
        <v>0</v>
      </c>
      <c r="Q610" s="12" t="n">
        <v>19383.75</v>
      </c>
      <c r="R610" s="12" t="n">
        <v>11667.43</v>
      </c>
      <c r="S610" s="12" t="n">
        <v>7716.32</v>
      </c>
      <c r="T610" s="12" t="inlineStr">
        <is>
          <t>Paid</t>
        </is>
      </c>
      <c r="U610" s="12" t="inlineStr">
        <is>
          <t>Completed</t>
        </is>
      </c>
      <c r="V610">
        <f>IF(OR(P610="",P610&lt;0,P610&gt;0.5),0,P610)</f>
        <v/>
      </c>
      <c r="W610">
        <f>N610*O610*(1-V610)</f>
        <v/>
      </c>
      <c r="X610">
        <f>W610-R610</f>
        <v/>
      </c>
      <c r="Y610">
        <f>IF(W610=0,0,X610/W610)</f>
        <v/>
      </c>
      <c r="Z610">
        <f>C610-B610</f>
        <v/>
      </c>
      <c r="AA610">
        <f>TEXT(B610,"mmmm")</f>
        <v/>
      </c>
      <c r="AB610">
        <f>YEAR(B610)</f>
        <v/>
      </c>
      <c r="AC610">
        <f>IF(OR(P610&lt;0,P610&gt;0.5,C610&lt;B610),"INVALID","CLEAN")</f>
        <v/>
      </c>
    </row>
    <row r="611">
      <c r="A611" s="12" t="inlineStr">
        <is>
          <t>ORD-2025-10610</t>
        </is>
      </c>
      <c r="B611" s="12" t="inlineStr">
        <is>
          <t>2025-01-08</t>
        </is>
      </c>
      <c r="C611" s="12" t="inlineStr">
        <is>
          <t>12-01-2025</t>
        </is>
      </c>
      <c r="D611" s="12" t="inlineStr">
        <is>
          <t>CUST-4380</t>
        </is>
      </c>
      <c r="E611" s="12" t="inlineStr">
        <is>
          <t>Sneha Kapoor</t>
        </is>
      </c>
      <c r="F611" s="12" t="inlineStr">
        <is>
          <t>Home Office</t>
        </is>
      </c>
      <c r="G611" s="12" t="inlineStr">
        <is>
          <t>South</t>
        </is>
      </c>
      <c r="H611" s="12" t="inlineStr">
        <is>
          <t>Karnataka</t>
        </is>
      </c>
      <c r="I611" s="12" t="inlineStr">
        <is>
          <t>Bengaluru</t>
        </is>
      </c>
      <c r="J611" s="12" t="inlineStr">
        <is>
          <t>Furniture</t>
        </is>
      </c>
      <c r="K611" s="12" t="inlineStr">
        <is>
          <t>Chairs</t>
        </is>
      </c>
      <c r="L611" s="12" t="inlineStr">
        <is>
          <t>Pro Chairs 908</t>
        </is>
      </c>
      <c r="M611" s="12" t="inlineStr">
        <is>
          <t>Standard Class</t>
        </is>
      </c>
      <c r="N611" s="12" t="n">
        <v>7</v>
      </c>
      <c r="O611" s="12" t="n">
        <v>4337.48</v>
      </c>
      <c r="P611" s="12" t="n">
        <v>0</v>
      </c>
      <c r="Q611" s="12" t="n">
        <v>30362.36</v>
      </c>
      <c r="R611" s="12" t="n">
        <v>25065.4</v>
      </c>
      <c r="S611" s="12" t="n">
        <v>5296.96</v>
      </c>
      <c r="T611" s="12" t="inlineStr">
        <is>
          <t>Paid</t>
        </is>
      </c>
      <c r="U611" s="12" t="inlineStr">
        <is>
          <t>Completed</t>
        </is>
      </c>
      <c r="V611">
        <f>IF(OR(P611="",P611&lt;0,P611&gt;0.5),0,P611)</f>
        <v/>
      </c>
      <c r="W611">
        <f>N611*O611*(1-V611)</f>
        <v/>
      </c>
      <c r="X611">
        <f>W611-R611</f>
        <v/>
      </c>
      <c r="Y611">
        <f>IF(W611=0,0,X611/W611)</f>
        <v/>
      </c>
      <c r="Z611">
        <f>C611-B611</f>
        <v/>
      </c>
      <c r="AA611">
        <f>TEXT(B611,"mmmm")</f>
        <v/>
      </c>
      <c r="AB611">
        <f>YEAR(B611)</f>
        <v/>
      </c>
      <c r="AC611">
        <f>IF(OR(P611&lt;0,P611&gt;0.5,C611&lt;B611),"INVALID","CLEAN")</f>
        <v/>
      </c>
    </row>
    <row r="612">
      <c r="A612" s="12" t="inlineStr">
        <is>
          <t>ORD-2024-10611</t>
        </is>
      </c>
      <c r="B612" s="12" t="inlineStr">
        <is>
          <t>20 May 2024</t>
        </is>
      </c>
      <c r="C612" s="12" t="inlineStr">
        <is>
          <t>05/20/2024</t>
        </is>
      </c>
      <c r="D612" s="12" t="inlineStr">
        <is>
          <t>CUST-2779</t>
        </is>
      </c>
      <c r="E612" s="12" t="inlineStr">
        <is>
          <t>Karan Malhotra</t>
        </is>
      </c>
      <c r="F612" s="12" t="inlineStr">
        <is>
          <t>Home Office</t>
        </is>
      </c>
      <c r="G612" s="12" t="inlineStr">
        <is>
          <t>West</t>
        </is>
      </c>
      <c r="H612" s="12" t="inlineStr">
        <is>
          <t>Madhya Pradesh</t>
        </is>
      </c>
      <c r="I612" s="12" t="inlineStr">
        <is>
          <t>Indore</t>
        </is>
      </c>
      <c r="J612" s="12" t="inlineStr">
        <is>
          <t>Furniture</t>
        </is>
      </c>
      <c r="K612" s="12" t="inlineStr">
        <is>
          <t>Chairs</t>
        </is>
      </c>
      <c r="L612" s="12" t="inlineStr">
        <is>
          <t>Pro Chairs 712</t>
        </is>
      </c>
      <c r="M612" s="12" t="inlineStr">
        <is>
          <t>Standard Class</t>
        </is>
      </c>
      <c r="N612" s="12" t="n">
        <v>1</v>
      </c>
      <c r="O612" s="12" t="n">
        <v>3032.95</v>
      </c>
      <c r="P612" s="12" t="n">
        <v>0.1</v>
      </c>
      <c r="Q612" s="12" t="n">
        <v>2729.65</v>
      </c>
      <c r="R612" s="12" t="n">
        <v>1715.36</v>
      </c>
      <c r="S612" s="12" t="n">
        <v>1014.29</v>
      </c>
      <c r="T612" s="12" t="inlineStr">
        <is>
          <t>Paid</t>
        </is>
      </c>
      <c r="U612" s="12" t="inlineStr">
        <is>
          <t>Completed</t>
        </is>
      </c>
      <c r="V612">
        <f>IF(OR(P612="",P612&lt;0,P612&gt;0.5),0,P612)</f>
        <v/>
      </c>
      <c r="W612">
        <f>N612*O612*(1-V612)</f>
        <v/>
      </c>
      <c r="X612">
        <f>W612-R612</f>
        <v/>
      </c>
      <c r="Y612">
        <f>IF(W612=0,0,X612/W612)</f>
        <v/>
      </c>
      <c r="Z612">
        <f>C612-B612</f>
        <v/>
      </c>
      <c r="AA612">
        <f>TEXT(B612,"mmmm")</f>
        <v/>
      </c>
      <c r="AB612">
        <f>YEAR(B612)</f>
        <v/>
      </c>
      <c r="AC612">
        <f>IF(OR(P612&lt;0,P612&gt;0.5,C612&lt;B612),"INVALID","CLEAN")</f>
        <v/>
      </c>
    </row>
    <row r="613">
      <c r="A613" s="12" t="inlineStr">
        <is>
          <t>ORD-2025-10612</t>
        </is>
      </c>
      <c r="B613" s="12" t="inlineStr">
        <is>
          <t>08-07-2025</t>
        </is>
      </c>
      <c r="C613" s="12" t="inlineStr">
        <is>
          <t>15 Jul 2025</t>
        </is>
      </c>
      <c r="D613" s="12" t="inlineStr">
        <is>
          <t>CUST-6108</t>
        </is>
      </c>
      <c r="E613" s="12" t="inlineStr">
        <is>
          <t>Ananya Rao</t>
        </is>
      </c>
      <c r="F613" s="12" t="inlineStr">
        <is>
          <t xml:space="preserve">Small Business </t>
        </is>
      </c>
      <c r="G613" s="12" t="inlineStr">
        <is>
          <t>North</t>
        </is>
      </c>
      <c r="H613" s="12" t="inlineStr">
        <is>
          <t>Rajasthan</t>
        </is>
      </c>
      <c r="I613" s="12" t="inlineStr">
        <is>
          <t>Jaipur</t>
        </is>
      </c>
      <c r="J613" s="12" t="inlineStr">
        <is>
          <t>Office Supplies</t>
        </is>
      </c>
      <c r="K613" s="12" t="inlineStr">
        <is>
          <t>Binders</t>
        </is>
      </c>
      <c r="L613" s="12" t="inlineStr">
        <is>
          <t>Max Binders 785</t>
        </is>
      </c>
      <c r="M613" s="12" t="inlineStr">
        <is>
          <t>Same Day</t>
        </is>
      </c>
      <c r="N613" s="12" t="n">
        <v>8</v>
      </c>
      <c r="O613" s="12" t="n">
        <v>655.28</v>
      </c>
      <c r="P613" s="12" t="n">
        <v>0.1</v>
      </c>
      <c r="Q613" s="12" t="n">
        <v>4718.02</v>
      </c>
      <c r="R613" s="12" t="n">
        <v>3908.23</v>
      </c>
      <c r="S613" s="12" t="n">
        <v>809.79</v>
      </c>
      <c r="T613" s="12" t="inlineStr">
        <is>
          <t>Paid</t>
        </is>
      </c>
      <c r="U613" s="12" t="inlineStr">
        <is>
          <t>Completed</t>
        </is>
      </c>
      <c r="V613">
        <f>IF(OR(P613="",P613&lt;0,P613&gt;0.5),0,P613)</f>
        <v/>
      </c>
      <c r="W613">
        <f>N613*O613*(1-V613)</f>
        <v/>
      </c>
      <c r="X613">
        <f>W613-R613</f>
        <v/>
      </c>
      <c r="Y613">
        <f>IF(W613=0,0,X613/W613)</f>
        <v/>
      </c>
      <c r="Z613">
        <f>C613-B613</f>
        <v/>
      </c>
      <c r="AA613">
        <f>TEXT(B613,"mmmm")</f>
        <v/>
      </c>
      <c r="AB613">
        <f>YEAR(B613)</f>
        <v/>
      </c>
      <c r="AC613">
        <f>IF(OR(P613&lt;0,P613&gt;0.5,C613&lt;B613),"INVALID","CLEAN")</f>
        <v/>
      </c>
    </row>
    <row r="614">
      <c r="A614" s="12" t="inlineStr">
        <is>
          <t>ORD-2025-10613</t>
        </is>
      </c>
      <c r="B614" s="12" t="inlineStr">
        <is>
          <t>06 Apr 2025</t>
        </is>
      </c>
      <c r="C614" s="12" t="inlineStr">
        <is>
          <t>13-04-2025</t>
        </is>
      </c>
      <c r="D614" s="12" t="inlineStr">
        <is>
          <t>CUST-5663</t>
        </is>
      </c>
      <c r="E614" s="12" t="inlineStr">
        <is>
          <t>Aditi Sen</t>
        </is>
      </c>
      <c r="F614" s="12" t="inlineStr">
        <is>
          <t>Consumer</t>
        </is>
      </c>
      <c r="G614" s="12" t="n"/>
      <c r="H614" s="12" t="inlineStr">
        <is>
          <t>Odisha</t>
        </is>
      </c>
      <c r="I614" s="12" t="inlineStr">
        <is>
          <t>Bhubaneswar</t>
        </is>
      </c>
      <c r="J614" s="12" t="inlineStr">
        <is>
          <t>Technology</t>
        </is>
      </c>
      <c r="K614" s="12" t="inlineStr">
        <is>
          <t>Phones</t>
        </is>
      </c>
      <c r="L614" s="12" t="inlineStr">
        <is>
          <t>Elite Phones 239</t>
        </is>
      </c>
      <c r="M614" s="12" t="inlineStr">
        <is>
          <t>Standard Class</t>
        </is>
      </c>
      <c r="N614" s="12" t="n">
        <v>1</v>
      </c>
      <c r="O614" s="12" t="n">
        <v>3844.01</v>
      </c>
      <c r="P614" s="12" t="n">
        <v>0</v>
      </c>
      <c r="Q614" s="12" t="n">
        <v>3844.01</v>
      </c>
      <c r="R614" s="12" t="n">
        <v>2195.79</v>
      </c>
      <c r="S614" s="12" t="n">
        <v>1648.22</v>
      </c>
      <c r="T614" s="12" t="inlineStr">
        <is>
          <t>Paid</t>
        </is>
      </c>
      <c r="U614" s="12" t="inlineStr">
        <is>
          <t>Completed</t>
        </is>
      </c>
      <c r="V614">
        <f>IF(OR(P614="",P614&lt;0,P614&gt;0.5),0,P614)</f>
        <v/>
      </c>
      <c r="W614">
        <f>N614*O614*(1-V614)</f>
        <v/>
      </c>
      <c r="X614">
        <f>W614-R614</f>
        <v/>
      </c>
      <c r="Y614">
        <f>IF(W614=0,0,X614/W614)</f>
        <v/>
      </c>
      <c r="Z614">
        <f>C614-B614</f>
        <v/>
      </c>
      <c r="AA614">
        <f>TEXT(B614,"mmmm")</f>
        <v/>
      </c>
      <c r="AB614">
        <f>YEAR(B614)</f>
        <v/>
      </c>
      <c r="AC614">
        <f>IF(OR(P614&lt;0,P614&gt;0.5,C614&lt;B614),"INVALID","CLEAN")</f>
        <v/>
      </c>
    </row>
    <row r="615">
      <c r="A615" s="12" t="inlineStr">
        <is>
          <t>ORD-2024-10614</t>
        </is>
      </c>
      <c r="B615" s="12" t="inlineStr">
        <is>
          <t>2024-10-05</t>
        </is>
      </c>
      <c r="C615" s="12" t="inlineStr">
        <is>
          <t>10/10/2024</t>
        </is>
      </c>
      <c r="D615" s="12" t="inlineStr">
        <is>
          <t>CUST-9311</t>
        </is>
      </c>
      <c r="E615" s="12" t="inlineStr">
        <is>
          <t>Diya Patel</t>
        </is>
      </c>
      <c r="F615" s="12" t="inlineStr">
        <is>
          <t>Home Office</t>
        </is>
      </c>
      <c r="G615" s="12" t="inlineStr">
        <is>
          <t>West</t>
        </is>
      </c>
      <c r="H615" s="12" t="inlineStr">
        <is>
          <t>Gujarat</t>
        </is>
      </c>
      <c r="I615" s="12" t="inlineStr">
        <is>
          <t>Ahmedabad</t>
        </is>
      </c>
      <c r="J615" s="12" t="inlineStr">
        <is>
          <t>Technology</t>
        </is>
      </c>
      <c r="K615" s="12" t="inlineStr">
        <is>
          <t>Machines</t>
        </is>
      </c>
      <c r="L615" s="12" t="inlineStr">
        <is>
          <t>Basic Machines 413</t>
        </is>
      </c>
      <c r="M615" s="12" t="inlineStr">
        <is>
          <t>Same Day</t>
        </is>
      </c>
      <c r="N615" s="12" t="n">
        <v>9</v>
      </c>
      <c r="O615" s="12" t="n">
        <v>3361.3</v>
      </c>
      <c r="P615" s="12" t="n">
        <v>0.25</v>
      </c>
      <c r="Q615" s="12" t="n">
        <v>22688.78</v>
      </c>
      <c r="R615" s="12" t="n">
        <v>14672.41</v>
      </c>
      <c r="S615" s="12" t="n">
        <v>8016.37</v>
      </c>
      <c r="T615" s="12" t="inlineStr">
        <is>
          <t>Paid</t>
        </is>
      </c>
      <c r="U615" s="12" t="inlineStr">
        <is>
          <t>Completed</t>
        </is>
      </c>
      <c r="V615">
        <f>IF(OR(P615="",P615&lt;0,P615&gt;0.5),0,P615)</f>
        <v/>
      </c>
      <c r="W615">
        <f>N615*O615*(1-V615)</f>
        <v/>
      </c>
      <c r="X615">
        <f>W615-R615</f>
        <v/>
      </c>
      <c r="Y615">
        <f>IF(W615=0,0,X615/W615)</f>
        <v/>
      </c>
      <c r="Z615">
        <f>C615-B615</f>
        <v/>
      </c>
      <c r="AA615">
        <f>TEXT(B615,"mmmm")</f>
        <v/>
      </c>
      <c r="AB615">
        <f>YEAR(B615)</f>
        <v/>
      </c>
      <c r="AC615">
        <f>IF(OR(P615&lt;0,P615&gt;0.5,C615&lt;B615),"INVALID","CLEAN")</f>
        <v/>
      </c>
    </row>
    <row r="616">
      <c r="A616" s="12" t="inlineStr">
        <is>
          <t>ORD-2024-10615</t>
        </is>
      </c>
      <c r="B616" s="12" t="inlineStr">
        <is>
          <t>11-02-2024</t>
        </is>
      </c>
      <c r="C616" s="12" t="inlineStr">
        <is>
          <t>19-02-2024</t>
        </is>
      </c>
      <c r="D616" s="12" t="inlineStr">
        <is>
          <t>CUST-8154</t>
        </is>
      </c>
      <c r="E616" s="12" t="inlineStr">
        <is>
          <t>Ananya Rao</t>
        </is>
      </c>
      <c r="F616" s="12" t="inlineStr">
        <is>
          <t>Home Office</t>
        </is>
      </c>
      <c r="G616" s="12" t="inlineStr">
        <is>
          <t>South</t>
        </is>
      </c>
      <c r="H616" s="12" t="inlineStr">
        <is>
          <t>Telangana</t>
        </is>
      </c>
      <c r="I616" s="12" t="inlineStr">
        <is>
          <t>Hyderabad</t>
        </is>
      </c>
      <c r="J616" s="12" t="inlineStr">
        <is>
          <t>Furniture</t>
        </is>
      </c>
      <c r="K616" s="12" t="inlineStr">
        <is>
          <t>Chairs</t>
        </is>
      </c>
      <c r="L616" s="12" t="inlineStr">
        <is>
          <t>Elite Chairs 140</t>
        </is>
      </c>
      <c r="M616" s="12" t="inlineStr">
        <is>
          <t>Standard Class</t>
        </is>
      </c>
      <c r="N616" s="12" t="n">
        <v>8</v>
      </c>
      <c r="O616" s="12" t="n">
        <v>3398.32</v>
      </c>
      <c r="P616" s="12" t="n">
        <v>0.25</v>
      </c>
      <c r="Q616" s="12" t="n">
        <v>20389.92</v>
      </c>
      <c r="R616" s="12" t="n">
        <v>16661.08</v>
      </c>
      <c r="S616" s="12" t="n">
        <v>3728.84</v>
      </c>
      <c r="T616" s="12" t="inlineStr">
        <is>
          <t>Refunded</t>
        </is>
      </c>
      <c r="U616" s="12" t="inlineStr">
        <is>
          <t>Cancelled</t>
        </is>
      </c>
      <c r="V616">
        <f>IF(OR(P616="",P616&lt;0,P616&gt;0.5),0,P616)</f>
        <v/>
      </c>
      <c r="W616">
        <f>N616*O616*(1-V616)</f>
        <v/>
      </c>
      <c r="X616">
        <f>W616-R616</f>
        <v/>
      </c>
      <c r="Y616">
        <f>IF(W616=0,0,X616/W616)</f>
        <v/>
      </c>
      <c r="Z616">
        <f>C616-B616</f>
        <v/>
      </c>
      <c r="AA616">
        <f>TEXT(B616,"mmmm")</f>
        <v/>
      </c>
      <c r="AB616">
        <f>YEAR(B616)</f>
        <v/>
      </c>
      <c r="AC616">
        <f>IF(OR(P616&lt;0,P616&gt;0.5,C616&lt;B616),"INVALID","CLEAN")</f>
        <v/>
      </c>
    </row>
    <row r="617">
      <c r="A617" s="12" t="inlineStr">
        <is>
          <t>ORD-2024-10616</t>
        </is>
      </c>
      <c r="B617" s="12" t="inlineStr">
        <is>
          <t>2024-10-04</t>
        </is>
      </c>
      <c r="C617" s="12" t="inlineStr">
        <is>
          <t>10/07/2024</t>
        </is>
      </c>
      <c r="D617" s="12" t="inlineStr">
        <is>
          <t>CUST-4462</t>
        </is>
      </c>
      <c r="E617" s="12" t="inlineStr">
        <is>
          <t>Rahul Verma</t>
        </is>
      </c>
      <c r="F617" s="12" t="inlineStr">
        <is>
          <t>Corporate</t>
        </is>
      </c>
      <c r="G617" s="12" t="inlineStr">
        <is>
          <t>South</t>
        </is>
      </c>
      <c r="H617" s="12" t="inlineStr">
        <is>
          <t>Kerala</t>
        </is>
      </c>
      <c r="I617" s="12" t="inlineStr">
        <is>
          <t>Kochi</t>
        </is>
      </c>
      <c r="J617" s="12" t="inlineStr">
        <is>
          <t>Office Supplies</t>
        </is>
      </c>
      <c r="K617" s="12" t="inlineStr">
        <is>
          <t>Art</t>
        </is>
      </c>
      <c r="L617" s="12" t="inlineStr">
        <is>
          <t>Basic Art 771</t>
        </is>
      </c>
      <c r="M617" s="12" t="inlineStr">
        <is>
          <t>Second Class</t>
        </is>
      </c>
      <c r="N617" s="12" t="n">
        <v>2</v>
      </c>
      <c r="O617" s="12" t="n">
        <v>3144.38</v>
      </c>
      <c r="P617" s="12" t="n">
        <v>0.1</v>
      </c>
      <c r="Q617" s="12" t="n">
        <v>5904.57</v>
      </c>
      <c r="R617" s="12" t="n">
        <v>4337.79</v>
      </c>
      <c r="S617" s="12" t="n">
        <v>1322.09</v>
      </c>
      <c r="T617" s="12" t="inlineStr">
        <is>
          <t>Paid</t>
        </is>
      </c>
      <c r="U617" s="12" t="inlineStr">
        <is>
          <t xml:space="preserve">  Completed </t>
        </is>
      </c>
      <c r="V617">
        <f>IF(OR(P617="",P617&lt;0,P617&gt;0.5),0,P617)</f>
        <v/>
      </c>
      <c r="W617">
        <f>N617*O617*(1-V617)</f>
        <v/>
      </c>
      <c r="X617">
        <f>W617-R617</f>
        <v/>
      </c>
      <c r="Y617">
        <f>IF(W617=0,0,X617/W617)</f>
        <v/>
      </c>
      <c r="Z617">
        <f>C617-B617</f>
        <v/>
      </c>
      <c r="AA617">
        <f>TEXT(B617,"mmmm")</f>
        <v/>
      </c>
      <c r="AB617">
        <f>YEAR(B617)</f>
        <v/>
      </c>
      <c r="AC617">
        <f>IF(OR(P617&lt;0,P617&gt;0.5,C617&lt;B617),"INVALID","CLEAN")</f>
        <v/>
      </c>
    </row>
    <row r="618">
      <c r="A618" s="12" t="inlineStr">
        <is>
          <t>ORD-2024-10617</t>
        </is>
      </c>
      <c r="B618" s="12" t="inlineStr">
        <is>
          <t>16 Aug 2024</t>
        </is>
      </c>
      <c r="C618" s="12" t="inlineStr">
        <is>
          <t>19-08-2024</t>
        </is>
      </c>
      <c r="D618" s="12" t="inlineStr">
        <is>
          <t>CUST-4660</t>
        </is>
      </c>
      <c r="E618" s="12" t="inlineStr">
        <is>
          <t>Kabir Singh</t>
        </is>
      </c>
      <c r="F618" s="12" t="inlineStr">
        <is>
          <t>Consumer</t>
        </is>
      </c>
      <c r="G618" s="12" t="inlineStr">
        <is>
          <t>South</t>
        </is>
      </c>
      <c r="H618" s="12" t="inlineStr">
        <is>
          <t>Telangana</t>
        </is>
      </c>
      <c r="I618" s="12" t="inlineStr">
        <is>
          <t>Hyderabad</t>
        </is>
      </c>
      <c r="J618" s="12" t="inlineStr">
        <is>
          <t>Office Supplies</t>
        </is>
      </c>
      <c r="K618" s="12" t="inlineStr">
        <is>
          <t>Paper</t>
        </is>
      </c>
      <c r="L618" s="12" t="inlineStr">
        <is>
          <t>Prime Paper 664</t>
        </is>
      </c>
      <c r="M618" s="12" t="inlineStr">
        <is>
          <t>Standard Class</t>
        </is>
      </c>
      <c r="N618" s="12" t="n">
        <v>6</v>
      </c>
      <c r="O618" s="12" t="n">
        <v>3925.55</v>
      </c>
      <c r="P618" s="12" t="n">
        <v>0.2</v>
      </c>
      <c r="Q618" s="12" t="n">
        <v>18842.64</v>
      </c>
      <c r="R618" s="12" t="n">
        <v>11840.58</v>
      </c>
      <c r="S618" s="12" t="n">
        <v>7002.06</v>
      </c>
      <c r="T618" s="12" t="inlineStr">
        <is>
          <t>Paid</t>
        </is>
      </c>
      <c r="U618" s="12" t="inlineStr">
        <is>
          <t>Completed</t>
        </is>
      </c>
      <c r="V618">
        <f>IF(OR(P618="",P618&lt;0,P618&gt;0.5),0,P618)</f>
        <v/>
      </c>
      <c r="W618">
        <f>N618*O618*(1-V618)</f>
        <v/>
      </c>
      <c r="X618">
        <f>W618-R618</f>
        <v/>
      </c>
      <c r="Y618">
        <f>IF(W618=0,0,X618/W618)</f>
        <v/>
      </c>
      <c r="Z618">
        <f>C618-B618</f>
        <v/>
      </c>
      <c r="AA618">
        <f>TEXT(B618,"mmmm")</f>
        <v/>
      </c>
      <c r="AB618">
        <f>YEAR(B618)</f>
        <v/>
      </c>
      <c r="AC618">
        <f>IF(OR(P618&lt;0,P618&gt;0.5,C618&lt;B618),"INVALID","CLEAN")</f>
        <v/>
      </c>
    </row>
    <row r="619">
      <c r="A619" s="12" t="inlineStr">
        <is>
          <t>ORD-2024-10618</t>
        </is>
      </c>
      <c r="B619" s="12" t="inlineStr">
        <is>
          <t>09/29/2024</t>
        </is>
      </c>
      <c r="C619" s="12" t="inlineStr">
        <is>
          <t>2024-09-30</t>
        </is>
      </c>
      <c r="D619" s="12" t="inlineStr">
        <is>
          <t>CUST-9002</t>
        </is>
      </c>
      <c r="E619" s="12" t="inlineStr">
        <is>
          <t>Mira Das</t>
        </is>
      </c>
      <c r="F619" s="12" t="inlineStr">
        <is>
          <t>Home Office</t>
        </is>
      </c>
      <c r="G619" s="12" t="inlineStr">
        <is>
          <t>South</t>
        </is>
      </c>
      <c r="H619" s="12" t="inlineStr">
        <is>
          <t>Telangana</t>
        </is>
      </c>
      <c r="I619" s="12" t="inlineStr">
        <is>
          <t>Hyderabad</t>
        </is>
      </c>
      <c r="J619" s="12" t="inlineStr">
        <is>
          <t>Technology</t>
        </is>
      </c>
      <c r="K619" s="12" t="inlineStr">
        <is>
          <t>Phones</t>
        </is>
      </c>
      <c r="L619" s="12" t="inlineStr">
        <is>
          <t>Pro Phones 226</t>
        </is>
      </c>
      <c r="M619" s="12" t="inlineStr">
        <is>
          <t>Standard Class</t>
        </is>
      </c>
      <c r="N619" s="12" t="n">
        <v>9</v>
      </c>
      <c r="O619" s="12" t="n">
        <v>2741.91</v>
      </c>
      <c r="P619" s="12" t="n">
        <v>0</v>
      </c>
      <c r="Q619" s="12" t="n">
        <v>24677.19</v>
      </c>
      <c r="R619" s="12" t="n">
        <v>20350.85</v>
      </c>
      <c r="S619" s="12" t="n">
        <v>4326.34</v>
      </c>
      <c r="T619" s="12" t="inlineStr">
        <is>
          <t>Paid</t>
        </is>
      </c>
      <c r="U619" s="12" t="inlineStr">
        <is>
          <t>Completed</t>
        </is>
      </c>
      <c r="V619">
        <f>IF(OR(P619="",P619&lt;0,P619&gt;0.5),0,P619)</f>
        <v/>
      </c>
      <c r="W619">
        <f>N619*O619*(1-V619)</f>
        <v/>
      </c>
      <c r="X619">
        <f>W619-R619</f>
        <v/>
      </c>
      <c r="Y619">
        <f>IF(W619=0,0,X619/W619)</f>
        <v/>
      </c>
      <c r="Z619">
        <f>C619-B619</f>
        <v/>
      </c>
      <c r="AA619">
        <f>TEXT(B619,"mmmm")</f>
        <v/>
      </c>
      <c r="AB619">
        <f>YEAR(B619)</f>
        <v/>
      </c>
      <c r="AC619">
        <f>IF(OR(P619&lt;0,P619&gt;0.5,C619&lt;B619),"INVALID","CLEAN")</f>
        <v/>
      </c>
    </row>
    <row r="620">
      <c r="A620" s="12" t="inlineStr">
        <is>
          <t>ORD-2024-10619</t>
        </is>
      </c>
      <c r="B620" s="12" t="inlineStr">
        <is>
          <t>2024-07-23</t>
        </is>
      </c>
      <c r="C620" s="12" t="inlineStr">
        <is>
          <t>2024-07-30</t>
        </is>
      </c>
      <c r="D620" s="12" t="inlineStr">
        <is>
          <t>CUST-1057</t>
        </is>
      </c>
      <c r="E620" s="12" t="inlineStr">
        <is>
          <t>Kabir Singh</t>
        </is>
      </c>
      <c r="F620" s="12" t="inlineStr">
        <is>
          <t>Corporate</t>
        </is>
      </c>
      <c r="G620" s="12" t="inlineStr">
        <is>
          <t>North</t>
        </is>
      </c>
      <c r="H620" s="12" t="inlineStr">
        <is>
          <t>Rajasthan</t>
        </is>
      </c>
      <c r="I620" s="12" t="inlineStr">
        <is>
          <t>Jaipur</t>
        </is>
      </c>
      <c r="J620" s="12" t="inlineStr">
        <is>
          <t>Furniture</t>
        </is>
      </c>
      <c r="K620" s="12" t="inlineStr">
        <is>
          <t>Tables</t>
        </is>
      </c>
      <c r="L620" s="12" t="inlineStr">
        <is>
          <t>Basic Tables 684</t>
        </is>
      </c>
      <c r="M620" s="12" t="inlineStr">
        <is>
          <t>Same Day</t>
        </is>
      </c>
      <c r="N620" s="12" t="n">
        <v>9</v>
      </c>
      <c r="O620" s="12" t="n">
        <v>1870.11</v>
      </c>
      <c r="P620" s="12" t="n">
        <v>0.25</v>
      </c>
      <c r="Q620" s="12" t="n">
        <v>12623.24</v>
      </c>
      <c r="R620" s="12" t="n">
        <v>10540.8</v>
      </c>
      <c r="S620" s="12" t="n">
        <v>2082.44</v>
      </c>
      <c r="T620" s="12" t="inlineStr">
        <is>
          <t>Failed</t>
        </is>
      </c>
      <c r="U620" s="12" t="inlineStr">
        <is>
          <t>Cancelled</t>
        </is>
      </c>
      <c r="V620">
        <f>IF(OR(P620="",P620&lt;0,P620&gt;0.5),0,P620)</f>
        <v/>
      </c>
      <c r="W620">
        <f>N620*O620*(1-V620)</f>
        <v/>
      </c>
      <c r="X620">
        <f>W620-R620</f>
        <v/>
      </c>
      <c r="Y620">
        <f>IF(W620=0,0,X620/W620)</f>
        <v/>
      </c>
      <c r="Z620">
        <f>C620-B620</f>
        <v/>
      </c>
      <c r="AA620">
        <f>TEXT(B620,"mmmm")</f>
        <v/>
      </c>
      <c r="AB620">
        <f>YEAR(B620)</f>
        <v/>
      </c>
      <c r="AC620">
        <f>IF(OR(P620&lt;0,P620&gt;0.5,C620&lt;B620),"INVALID","CLEAN")</f>
        <v/>
      </c>
    </row>
    <row r="621">
      <c r="A621" s="12" t="inlineStr">
        <is>
          <t>ORD-2024-10620</t>
        </is>
      </c>
      <c r="B621" s="12" t="inlineStr">
        <is>
          <t>11/22/2024</t>
        </is>
      </c>
      <c r="C621" s="12" t="inlineStr">
        <is>
          <t>27 Nov 2024</t>
        </is>
      </c>
      <c r="D621" s="12" t="inlineStr">
        <is>
          <t>CUST-9596</t>
        </is>
      </c>
      <c r="E621" s="12" t="inlineStr">
        <is>
          <t>Priya Menon</t>
        </is>
      </c>
      <c r="F621" s="12" t="inlineStr">
        <is>
          <t>Corporate</t>
        </is>
      </c>
      <c r="G621" s="12" t="inlineStr">
        <is>
          <t>South</t>
        </is>
      </c>
      <c r="H621" s="12" t="inlineStr">
        <is>
          <t>Tamil Nadu</t>
        </is>
      </c>
      <c r="I621" s="12" t="inlineStr">
        <is>
          <t>Chennai</t>
        </is>
      </c>
      <c r="J621" s="12" t="inlineStr">
        <is>
          <t>Office Supplies</t>
        </is>
      </c>
      <c r="K621" s="12" t="inlineStr">
        <is>
          <t>Binders</t>
        </is>
      </c>
      <c r="L621" s="12" t="inlineStr">
        <is>
          <t>Prime Binders 938</t>
        </is>
      </c>
      <c r="M621" s="12" t="inlineStr">
        <is>
          <t>First Class</t>
        </is>
      </c>
      <c r="N621" s="12" t="n">
        <v>1</v>
      </c>
      <c r="O621" s="12" t="n">
        <v>4251.26</v>
      </c>
      <c r="P621" s="12" t="n">
        <v>0.2</v>
      </c>
      <c r="Q621" s="12" t="n">
        <v>3401.01</v>
      </c>
      <c r="R621" s="12" t="n">
        <v>2917.54</v>
      </c>
      <c r="S621" s="12" t="n">
        <v>483.47</v>
      </c>
      <c r="T621" s="12" t="inlineStr">
        <is>
          <t>Refunded</t>
        </is>
      </c>
      <c r="U621" s="12" t="inlineStr">
        <is>
          <t>Returned</t>
        </is>
      </c>
      <c r="V621">
        <f>IF(OR(P621="",P621&lt;0,P621&gt;0.5),0,P621)</f>
        <v/>
      </c>
      <c r="W621">
        <f>N621*O621*(1-V621)</f>
        <v/>
      </c>
      <c r="X621">
        <f>W621-R621</f>
        <v/>
      </c>
      <c r="Y621">
        <f>IF(W621=0,0,X621/W621)</f>
        <v/>
      </c>
      <c r="Z621">
        <f>C621-B621</f>
        <v/>
      </c>
      <c r="AA621">
        <f>TEXT(B621,"mmmm")</f>
        <v/>
      </c>
      <c r="AB621">
        <f>YEAR(B621)</f>
        <v/>
      </c>
      <c r="AC621">
        <f>IF(OR(P621&lt;0,P621&gt;0.5,C621&lt;B621),"INVALID","CLEAN")</f>
        <v/>
      </c>
    </row>
    <row r="622">
      <c r="A622" s="12" t="inlineStr">
        <is>
          <t>ORD-2024-10621</t>
        </is>
      </c>
      <c r="B622" s="12" t="inlineStr">
        <is>
          <t>18-08-2024</t>
        </is>
      </c>
      <c r="C622" s="12" t="inlineStr">
        <is>
          <t>08/21/2024</t>
        </is>
      </c>
      <c r="D622" s="12" t="inlineStr">
        <is>
          <t>CUST-6947</t>
        </is>
      </c>
      <c r="E622" s="12" t="inlineStr">
        <is>
          <t>Vikram Iyer</t>
        </is>
      </c>
      <c r="F622" s="12" t="inlineStr">
        <is>
          <t>Consumer</t>
        </is>
      </c>
      <c r="G622" s="12" t="inlineStr">
        <is>
          <t>North</t>
        </is>
      </c>
      <c r="H622" s="12" t="inlineStr">
        <is>
          <t>Uttar Pradesh</t>
        </is>
      </c>
      <c r="I622" s="12" t="inlineStr">
        <is>
          <t>Noida</t>
        </is>
      </c>
      <c r="J622" s="12" t="inlineStr">
        <is>
          <t>Technology</t>
        </is>
      </c>
      <c r="K622" s="12" t="inlineStr">
        <is>
          <t>Machines</t>
        </is>
      </c>
      <c r="L622" s="12" t="inlineStr">
        <is>
          <t>Classic Machines 337</t>
        </is>
      </c>
      <c r="M622" s="12" t="inlineStr">
        <is>
          <t>Standard Class</t>
        </is>
      </c>
      <c r="N622" s="12" t="n">
        <v>9</v>
      </c>
      <c r="O622" s="12" t="n">
        <v>734.34</v>
      </c>
      <c r="P622" s="12" t="n">
        <v>0</v>
      </c>
      <c r="Q622" s="12" t="n">
        <v>6609.06</v>
      </c>
      <c r="R622" s="12" t="n">
        <v>4946.78</v>
      </c>
      <c r="S622" s="12" t="n">
        <v>1662.28</v>
      </c>
      <c r="T622" s="12" t="inlineStr">
        <is>
          <t>Paid</t>
        </is>
      </c>
      <c r="U622" s="12" t="inlineStr">
        <is>
          <t>Completed</t>
        </is>
      </c>
      <c r="V622">
        <f>IF(OR(P622="",P622&lt;0,P622&gt;0.5),0,P622)</f>
        <v/>
      </c>
      <c r="W622">
        <f>N622*O622*(1-V622)</f>
        <v/>
      </c>
      <c r="X622">
        <f>W622-R622</f>
        <v/>
      </c>
      <c r="Y622">
        <f>IF(W622=0,0,X622/W622)</f>
        <v/>
      </c>
      <c r="Z622">
        <f>C622-B622</f>
        <v/>
      </c>
      <c r="AA622">
        <f>TEXT(B622,"mmmm")</f>
        <v/>
      </c>
      <c r="AB622">
        <f>YEAR(B622)</f>
        <v/>
      </c>
      <c r="AC622">
        <f>IF(OR(P622&lt;0,P622&gt;0.5,C622&lt;B622),"INVALID","CLEAN")</f>
        <v/>
      </c>
    </row>
    <row r="623">
      <c r="A623" s="12" t="inlineStr">
        <is>
          <t>ORD-2024-10622</t>
        </is>
      </c>
      <c r="B623" s="12" t="inlineStr">
        <is>
          <t>28-11-2024</t>
        </is>
      </c>
      <c r="C623" s="12" t="inlineStr">
        <is>
          <t>06-12-2024</t>
        </is>
      </c>
      <c r="D623" s="12" t="inlineStr">
        <is>
          <t>CUST-7236</t>
        </is>
      </c>
      <c r="E623" s="12" t="inlineStr">
        <is>
          <t>Aditi Sen</t>
        </is>
      </c>
      <c r="F623" s="12" t="inlineStr">
        <is>
          <t>Consumer</t>
        </is>
      </c>
      <c r="G623" s="12" t="inlineStr">
        <is>
          <t>West</t>
        </is>
      </c>
      <c r="H623" s="12" t="inlineStr">
        <is>
          <t>Maharashtra</t>
        </is>
      </c>
      <c r="I623" s="12" t="inlineStr">
        <is>
          <t>Mumbai</t>
        </is>
      </c>
      <c r="J623" s="12" t="inlineStr">
        <is>
          <t>Furniture</t>
        </is>
      </c>
      <c r="K623" s="12" t="inlineStr">
        <is>
          <t>Chairs</t>
        </is>
      </c>
      <c r="L623" s="12" t="inlineStr">
        <is>
          <t>Max Chairs 748</t>
        </is>
      </c>
      <c r="M623" s="12" t="inlineStr">
        <is>
          <t>Same Day</t>
        </is>
      </c>
      <c r="N623" s="12" t="n">
        <v>5</v>
      </c>
      <c r="O623" s="12" t="n">
        <v>1092.84</v>
      </c>
      <c r="P623" s="12" t="n"/>
      <c r="Q623" s="12" t="n">
        <v>5464.2</v>
      </c>
      <c r="R623" s="12" t="n">
        <v>3318.09</v>
      </c>
      <c r="S623" s="12" t="n">
        <v>2146.11</v>
      </c>
      <c r="T623" s="12" t="inlineStr">
        <is>
          <t>Paid</t>
        </is>
      </c>
      <c r="U623" s="12" t="inlineStr">
        <is>
          <t>Completed</t>
        </is>
      </c>
      <c r="V623">
        <f>IF(OR(P623="",P623&lt;0,P623&gt;0.5),0,P623)</f>
        <v/>
      </c>
      <c r="W623">
        <f>N623*O623*(1-V623)</f>
        <v/>
      </c>
      <c r="X623">
        <f>W623-R623</f>
        <v/>
      </c>
      <c r="Y623">
        <f>IF(W623=0,0,X623/W623)</f>
        <v/>
      </c>
      <c r="Z623">
        <f>C623-B623</f>
        <v/>
      </c>
      <c r="AA623">
        <f>TEXT(B623,"mmmm")</f>
        <v/>
      </c>
      <c r="AB623">
        <f>YEAR(B623)</f>
        <v/>
      </c>
      <c r="AC623">
        <f>IF(OR(P623&lt;0,P623&gt;0.5,C623&lt;B623),"INVALID","CLEAN")</f>
        <v/>
      </c>
    </row>
    <row r="624">
      <c r="A624" s="12" t="inlineStr">
        <is>
          <t>ORD-2025-10623</t>
        </is>
      </c>
      <c r="B624" s="12" t="inlineStr">
        <is>
          <t>29-01-2025</t>
        </is>
      </c>
      <c r="C624" s="12" t="inlineStr">
        <is>
          <t>06 Feb 2025</t>
        </is>
      </c>
      <c r="D624" s="12" t="inlineStr">
        <is>
          <t>CUST-1127</t>
        </is>
      </c>
      <c r="E624" s="12" t="inlineStr">
        <is>
          <t>Vikram Iyer</t>
        </is>
      </c>
      <c r="F624" s="12" t="inlineStr">
        <is>
          <t>Consumer</t>
        </is>
      </c>
      <c r="G624" s="12" t="inlineStr">
        <is>
          <t>East</t>
        </is>
      </c>
      <c r="H624" s="12" t="inlineStr">
        <is>
          <t>Bihar</t>
        </is>
      </c>
      <c r="I624" s="12" t="inlineStr">
        <is>
          <t>Patna</t>
        </is>
      </c>
      <c r="J624" s="12" t="inlineStr">
        <is>
          <t>Office Supplies</t>
        </is>
      </c>
      <c r="K624" s="12" t="inlineStr">
        <is>
          <t>Storage</t>
        </is>
      </c>
      <c r="L624" s="12" t="inlineStr">
        <is>
          <t>Basic Storage 934</t>
        </is>
      </c>
      <c r="M624" s="12" t="inlineStr">
        <is>
          <t>Standard Class</t>
        </is>
      </c>
      <c r="N624" s="12" t="n">
        <v>4</v>
      </c>
      <c r="O624" s="12" t="n">
        <v>2759.01</v>
      </c>
      <c r="P624" s="12" t="n">
        <v>0.05</v>
      </c>
      <c r="Q624" s="12" t="n">
        <v>10484.24</v>
      </c>
      <c r="R624" s="12" t="n">
        <v>6680.15</v>
      </c>
      <c r="S624" s="12" t="n">
        <v>3804.09</v>
      </c>
      <c r="T624" s="12" t="inlineStr">
        <is>
          <t>Paid</t>
        </is>
      </c>
      <c r="U624" s="12" t="inlineStr">
        <is>
          <t>Completed</t>
        </is>
      </c>
      <c r="V624">
        <f>IF(OR(P624="",P624&lt;0,P624&gt;0.5),0,P624)</f>
        <v/>
      </c>
      <c r="W624">
        <f>N624*O624*(1-V624)</f>
        <v/>
      </c>
      <c r="X624">
        <f>W624-R624</f>
        <v/>
      </c>
      <c r="Y624">
        <f>IF(W624=0,0,X624/W624)</f>
        <v/>
      </c>
      <c r="Z624">
        <f>C624-B624</f>
        <v/>
      </c>
      <c r="AA624">
        <f>TEXT(B624,"mmmm")</f>
        <v/>
      </c>
      <c r="AB624">
        <f>YEAR(B624)</f>
        <v/>
      </c>
      <c r="AC624">
        <f>IF(OR(P624&lt;0,P624&gt;0.5,C624&lt;B624),"INVALID","CLEAN")</f>
        <v/>
      </c>
    </row>
    <row r="625">
      <c r="A625" s="12" t="inlineStr">
        <is>
          <t>ORD-2024-10624</t>
        </is>
      </c>
      <c r="B625" s="12" t="inlineStr">
        <is>
          <t>08 Aug 2024</t>
        </is>
      </c>
      <c r="C625" s="12" t="inlineStr">
        <is>
          <t>14 Aug 2024</t>
        </is>
      </c>
      <c r="D625" s="12" t="inlineStr">
        <is>
          <t>CUST-6262</t>
        </is>
      </c>
      <c r="E625" s="12" t="inlineStr">
        <is>
          <t>Vikram Iyer</t>
        </is>
      </c>
      <c r="F625" s="12" t="inlineStr">
        <is>
          <t>Home Office</t>
        </is>
      </c>
      <c r="G625" s="12" t="inlineStr">
        <is>
          <t>North</t>
        </is>
      </c>
      <c r="H625" s="12" t="inlineStr">
        <is>
          <t>Punjab</t>
        </is>
      </c>
      <c r="I625" s="12" t="inlineStr">
        <is>
          <t>Ludhiana</t>
        </is>
      </c>
      <c r="J625" s="12" t="inlineStr">
        <is>
          <t>Office Supplies</t>
        </is>
      </c>
      <c r="K625" s="12" t="inlineStr">
        <is>
          <t>Storage</t>
        </is>
      </c>
      <c r="L625" s="12" t="inlineStr">
        <is>
          <t>Pro Storage 509</t>
        </is>
      </c>
      <c r="M625" s="12" t="inlineStr">
        <is>
          <t>Second Class</t>
        </is>
      </c>
      <c r="N625" s="12" t="n">
        <v>8</v>
      </c>
      <c r="O625" s="12" t="n">
        <v>1359.19</v>
      </c>
      <c r="P625" s="12" t="n">
        <v>0.05</v>
      </c>
      <c r="Q625" s="12" t="n">
        <v>10329.84</v>
      </c>
      <c r="R625" s="12" t="n">
        <v>7512.22</v>
      </c>
      <c r="S625" s="12" t="n">
        <v>2817.62</v>
      </c>
      <c r="T625" s="12" t="inlineStr">
        <is>
          <t>Paid</t>
        </is>
      </c>
      <c r="U625" s="12" t="inlineStr">
        <is>
          <t>Completed</t>
        </is>
      </c>
      <c r="V625">
        <f>IF(OR(P625="",P625&lt;0,P625&gt;0.5),0,P625)</f>
        <v/>
      </c>
      <c r="W625">
        <f>N625*O625*(1-V625)</f>
        <v/>
      </c>
      <c r="X625">
        <f>W625-R625</f>
        <v/>
      </c>
      <c r="Y625">
        <f>IF(W625=0,0,X625/W625)</f>
        <v/>
      </c>
      <c r="Z625">
        <f>C625-B625</f>
        <v/>
      </c>
      <c r="AA625">
        <f>TEXT(B625,"mmmm")</f>
        <v/>
      </c>
      <c r="AB625">
        <f>YEAR(B625)</f>
        <v/>
      </c>
      <c r="AC625">
        <f>IF(OR(P625&lt;0,P625&gt;0.5,C625&lt;B625),"INVALID","CLEAN")</f>
        <v/>
      </c>
    </row>
    <row r="626">
      <c r="A626" s="12" t="inlineStr">
        <is>
          <t>ORD-2024-10625</t>
        </is>
      </c>
      <c r="B626" s="12" t="inlineStr">
        <is>
          <t>01/30/2024</t>
        </is>
      </c>
      <c r="C626" s="12" t="inlineStr">
        <is>
          <t>2024-02-01</t>
        </is>
      </c>
      <c r="D626" s="12" t="inlineStr">
        <is>
          <t>CUST-5070</t>
        </is>
      </c>
      <c r="E626" s="12" t="inlineStr">
        <is>
          <t>Neha Gupta</t>
        </is>
      </c>
      <c r="F626" s="12" t="inlineStr">
        <is>
          <t>Home Office</t>
        </is>
      </c>
      <c r="G626" s="12" t="inlineStr">
        <is>
          <t>East</t>
        </is>
      </c>
      <c r="H626" s="12" t="inlineStr">
        <is>
          <t>Assam</t>
        </is>
      </c>
      <c r="I626" s="12" t="inlineStr">
        <is>
          <t>Guwahati</t>
        </is>
      </c>
      <c r="J626" s="12" t="inlineStr">
        <is>
          <t>Furniture</t>
        </is>
      </c>
      <c r="K626" s="12" t="inlineStr">
        <is>
          <t>Chairs</t>
        </is>
      </c>
      <c r="L626" s="12" t="inlineStr">
        <is>
          <t>Prime Chairs 765</t>
        </is>
      </c>
      <c r="M626" s="12" t="inlineStr">
        <is>
          <t>First Class</t>
        </is>
      </c>
      <c r="N626" s="12" t="n">
        <v>2</v>
      </c>
      <c r="O626" s="12" t="n">
        <v>4451.03</v>
      </c>
      <c r="P626" s="12" t="n">
        <v>0.05</v>
      </c>
      <c r="Q626" s="12" t="n">
        <v>8456.959999999999</v>
      </c>
      <c r="R626" s="12" t="n">
        <v>5462.85</v>
      </c>
      <c r="S626" s="12" t="n">
        <v>2994.11</v>
      </c>
      <c r="T626" s="12" t="inlineStr">
        <is>
          <t>Paid</t>
        </is>
      </c>
      <c r="U626" s="12" t="inlineStr">
        <is>
          <t>Completed</t>
        </is>
      </c>
      <c r="V626">
        <f>IF(OR(P626="",P626&lt;0,P626&gt;0.5),0,P626)</f>
        <v/>
      </c>
      <c r="W626">
        <f>N626*O626*(1-V626)</f>
        <v/>
      </c>
      <c r="X626">
        <f>W626-R626</f>
        <v/>
      </c>
      <c r="Y626">
        <f>IF(W626=0,0,X626/W626)</f>
        <v/>
      </c>
      <c r="Z626">
        <f>C626-B626</f>
        <v/>
      </c>
      <c r="AA626">
        <f>TEXT(B626,"mmmm")</f>
        <v/>
      </c>
      <c r="AB626">
        <f>YEAR(B626)</f>
        <v/>
      </c>
      <c r="AC626">
        <f>IF(OR(P626&lt;0,P626&gt;0.5,C626&lt;B626),"INVALID","CLEAN")</f>
        <v/>
      </c>
    </row>
    <row r="627">
      <c r="A627" s="12" t="inlineStr">
        <is>
          <t>ORD-2024-10626</t>
        </is>
      </c>
      <c r="B627" s="12" t="inlineStr">
        <is>
          <t>12/15/2024</t>
        </is>
      </c>
      <c r="C627" s="12" t="inlineStr">
        <is>
          <t>21 Dec 2024</t>
        </is>
      </c>
      <c r="D627" s="12" t="inlineStr">
        <is>
          <t>CUST-7946</t>
        </is>
      </c>
      <c r="E627" s="12" t="inlineStr">
        <is>
          <t>Diya Patel</t>
        </is>
      </c>
      <c r="F627" s="12" t="inlineStr">
        <is>
          <t>Corporate</t>
        </is>
      </c>
      <c r="G627" s="12" t="inlineStr">
        <is>
          <t>West</t>
        </is>
      </c>
      <c r="H627" s="12" t="inlineStr">
        <is>
          <t>Rajasthan</t>
        </is>
      </c>
      <c r="I627" s="12" t="inlineStr">
        <is>
          <t>Udaipur</t>
        </is>
      </c>
      <c r="J627" s="12" t="inlineStr">
        <is>
          <t>Furniture</t>
        </is>
      </c>
      <c r="K627" s="12" t="inlineStr">
        <is>
          <t>Chairs</t>
        </is>
      </c>
      <c r="L627" s="12" t="inlineStr">
        <is>
          <t>Elite Chairs 358</t>
        </is>
      </c>
      <c r="M627" s="12" t="inlineStr">
        <is>
          <t>Same Day</t>
        </is>
      </c>
      <c r="N627" s="12" t="n">
        <v>3</v>
      </c>
      <c r="O627" s="12" t="n">
        <v>527.67</v>
      </c>
      <c r="P627" s="12" t="n">
        <v>0.2</v>
      </c>
      <c r="Q627" s="12" t="n">
        <v>1266.41</v>
      </c>
      <c r="R627" s="12" t="n">
        <v>983.92</v>
      </c>
      <c r="S627" s="12" t="n">
        <v>282.49</v>
      </c>
      <c r="T627" s="12" t="inlineStr">
        <is>
          <t>Paid</t>
        </is>
      </c>
      <c r="U627" s="12" t="inlineStr">
        <is>
          <t>Completed</t>
        </is>
      </c>
      <c r="V627">
        <f>IF(OR(P627="",P627&lt;0,P627&gt;0.5),0,P627)</f>
        <v/>
      </c>
      <c r="W627">
        <f>N627*O627*(1-V627)</f>
        <v/>
      </c>
      <c r="X627">
        <f>W627-R627</f>
        <v/>
      </c>
      <c r="Y627">
        <f>IF(W627=0,0,X627/W627)</f>
        <v/>
      </c>
      <c r="Z627">
        <f>C627-B627</f>
        <v/>
      </c>
      <c r="AA627">
        <f>TEXT(B627,"mmmm")</f>
        <v/>
      </c>
      <c r="AB627">
        <f>YEAR(B627)</f>
        <v/>
      </c>
      <c r="AC627">
        <f>IF(OR(P627&lt;0,P627&gt;0.5,C627&lt;B627),"INVALID","CLEAN")</f>
        <v/>
      </c>
    </row>
    <row r="628">
      <c r="A628" s="12" t="inlineStr">
        <is>
          <t>ORD-2025-10627</t>
        </is>
      </c>
      <c r="B628" s="12" t="inlineStr">
        <is>
          <t>04-06-2025</t>
        </is>
      </c>
      <c r="C628" s="12" t="inlineStr">
        <is>
          <t>06/07/2025</t>
        </is>
      </c>
      <c r="D628" s="12" t="inlineStr">
        <is>
          <t>CUST-1793</t>
        </is>
      </c>
      <c r="E628" s="12" t="inlineStr">
        <is>
          <t>Sneha Kapoor</t>
        </is>
      </c>
      <c r="F628" s="12" t="inlineStr">
        <is>
          <t>Home Office</t>
        </is>
      </c>
      <c r="G628" s="12" t="inlineStr">
        <is>
          <t>East</t>
        </is>
      </c>
      <c r="H628" s="12" t="inlineStr">
        <is>
          <t>Assam</t>
        </is>
      </c>
      <c r="I628" s="12" t="inlineStr">
        <is>
          <t>Guwahati</t>
        </is>
      </c>
      <c r="J628" s="12" t="inlineStr">
        <is>
          <t xml:space="preserve">  Technology </t>
        </is>
      </c>
      <c r="K628" s="12" t="inlineStr">
        <is>
          <t>Machines</t>
        </is>
      </c>
      <c r="L628" s="12" t="inlineStr">
        <is>
          <t>Elite Machines 971</t>
        </is>
      </c>
      <c r="M628" s="12" t="inlineStr">
        <is>
          <t>Standard Class</t>
        </is>
      </c>
      <c r="N628" s="12" t="n">
        <v>8</v>
      </c>
      <c r="O628" s="12" t="n">
        <v>1434.13</v>
      </c>
      <c r="P628" s="12" t="n">
        <v>0</v>
      </c>
      <c r="Q628" s="12" t="n">
        <v>11473.04</v>
      </c>
      <c r="R628" s="12" t="n">
        <v>8931.33</v>
      </c>
      <c r="S628" s="12" t="n">
        <v>2541.71</v>
      </c>
      <c r="T628" s="12" t="inlineStr">
        <is>
          <t>Pending</t>
        </is>
      </c>
      <c r="U628" s="12" t="inlineStr">
        <is>
          <t>Returned</t>
        </is>
      </c>
      <c r="V628">
        <f>IF(OR(P628="",P628&lt;0,P628&gt;0.5),0,P628)</f>
        <v/>
      </c>
      <c r="W628">
        <f>N628*O628*(1-V628)</f>
        <v/>
      </c>
      <c r="X628">
        <f>W628-R628</f>
        <v/>
      </c>
      <c r="Y628">
        <f>IF(W628=0,0,X628/W628)</f>
        <v/>
      </c>
      <c r="Z628">
        <f>C628-B628</f>
        <v/>
      </c>
      <c r="AA628">
        <f>TEXT(B628,"mmmm")</f>
        <v/>
      </c>
      <c r="AB628">
        <f>YEAR(B628)</f>
        <v/>
      </c>
      <c r="AC628">
        <f>IF(OR(P628&lt;0,P628&gt;0.5,C628&lt;B628),"INVALID","CLEAN")</f>
        <v/>
      </c>
    </row>
    <row r="629">
      <c r="A629" s="12" t="inlineStr">
        <is>
          <t>ORD-2025-10628</t>
        </is>
      </c>
      <c r="B629" s="12" t="inlineStr">
        <is>
          <t>02/13/2025</t>
        </is>
      </c>
      <c r="C629" s="12" t="inlineStr">
        <is>
          <t>21-02-2025</t>
        </is>
      </c>
      <c r="D629" s="12" t="inlineStr">
        <is>
          <t>CUST-8839</t>
        </is>
      </c>
      <c r="E629" s="12" t="inlineStr">
        <is>
          <t>Karan Malhotra</t>
        </is>
      </c>
      <c r="F629" s="12" t="inlineStr">
        <is>
          <t>Small Business</t>
        </is>
      </c>
      <c r="G629" s="12" t="inlineStr">
        <is>
          <t>South</t>
        </is>
      </c>
      <c r="H629" s="12" t="inlineStr">
        <is>
          <t>Kerala</t>
        </is>
      </c>
      <c r="I629" s="12" t="inlineStr">
        <is>
          <t>Kochi</t>
        </is>
      </c>
      <c r="J629" s="12" t="inlineStr">
        <is>
          <t>Technology</t>
        </is>
      </c>
      <c r="K629" s="12" t="inlineStr">
        <is>
          <t>Phones</t>
        </is>
      </c>
      <c r="L629" s="12" t="inlineStr">
        <is>
          <t>Max Phones 825</t>
        </is>
      </c>
      <c r="M629" s="12" t="inlineStr">
        <is>
          <t>Second Class</t>
        </is>
      </c>
      <c r="N629" s="12" t="n">
        <v>2</v>
      </c>
      <c r="O629" s="12" t="n">
        <v>2360.02</v>
      </c>
      <c r="P629" s="12" t="n">
        <v>0.15</v>
      </c>
      <c r="Q629" s="12" t="n">
        <v>4012.03</v>
      </c>
      <c r="R629" s="12" t="n">
        <v>3142.92</v>
      </c>
      <c r="S629" s="12" t="n">
        <v>869.11</v>
      </c>
      <c r="T629" s="12" t="inlineStr">
        <is>
          <t>Pending</t>
        </is>
      </c>
      <c r="U629" s="12" t="inlineStr">
        <is>
          <t>Cancelled</t>
        </is>
      </c>
      <c r="V629">
        <f>IF(OR(P629="",P629&lt;0,P629&gt;0.5),0,P629)</f>
        <v/>
      </c>
      <c r="W629">
        <f>N629*O629*(1-V629)</f>
        <v/>
      </c>
      <c r="X629">
        <f>W629-R629</f>
        <v/>
      </c>
      <c r="Y629">
        <f>IF(W629=0,0,X629/W629)</f>
        <v/>
      </c>
      <c r="Z629">
        <f>C629-B629</f>
        <v/>
      </c>
      <c r="AA629">
        <f>TEXT(B629,"mmmm")</f>
        <v/>
      </c>
      <c r="AB629">
        <f>YEAR(B629)</f>
        <v/>
      </c>
      <c r="AC629">
        <f>IF(OR(P629&lt;0,P629&gt;0.5,C629&lt;B629),"INVALID","CLEAN")</f>
        <v/>
      </c>
    </row>
    <row r="630">
      <c r="A630" s="12" t="inlineStr">
        <is>
          <t>ORD-2025-10629</t>
        </is>
      </c>
      <c r="B630" s="12" t="inlineStr">
        <is>
          <t>2025-10-05</t>
        </is>
      </c>
      <c r="C630" s="12" t="inlineStr">
        <is>
          <t>12 Oct 2025</t>
        </is>
      </c>
      <c r="D630" s="12" t="inlineStr">
        <is>
          <t>CUST-6725</t>
        </is>
      </c>
      <c r="E630" s="12" t="inlineStr">
        <is>
          <t>Ananya Rao</t>
        </is>
      </c>
      <c r="F630" s="12" t="inlineStr">
        <is>
          <t>Home Office</t>
        </is>
      </c>
      <c r="G630" s="12" t="inlineStr">
        <is>
          <t>East</t>
        </is>
      </c>
      <c r="H630" s="12" t="inlineStr">
        <is>
          <t>Jharkhand</t>
        </is>
      </c>
      <c r="I630" s="12" t="inlineStr">
        <is>
          <t>Ranchi</t>
        </is>
      </c>
      <c r="J630" s="12" t="inlineStr">
        <is>
          <t>Technology</t>
        </is>
      </c>
      <c r="K630" s="12" t="inlineStr">
        <is>
          <t>Accessories</t>
        </is>
      </c>
      <c r="L630" s="12" t="inlineStr">
        <is>
          <t>Eco Accessories 933</t>
        </is>
      </c>
      <c r="M630" s="12" t="inlineStr">
        <is>
          <t>Same Day</t>
        </is>
      </c>
      <c r="N630" s="12" t="n">
        <v>7</v>
      </c>
      <c r="O630" s="12" t="n">
        <v>806.67</v>
      </c>
      <c r="P630" s="12" t="n">
        <v>0.05</v>
      </c>
      <c r="Q630" s="12" t="n">
        <v>5364.36</v>
      </c>
      <c r="R630" s="12" t="n">
        <v>4391.29</v>
      </c>
      <c r="S630" s="12" t="n">
        <v>973.0700000000001</v>
      </c>
      <c r="T630" s="12" t="inlineStr">
        <is>
          <t>Paid</t>
        </is>
      </c>
      <c r="U630" s="12" t="inlineStr">
        <is>
          <t>Completed</t>
        </is>
      </c>
      <c r="V630">
        <f>IF(OR(P630="",P630&lt;0,P630&gt;0.5),0,P630)</f>
        <v/>
      </c>
      <c r="W630">
        <f>N630*O630*(1-V630)</f>
        <v/>
      </c>
      <c r="X630">
        <f>W630-R630</f>
        <v/>
      </c>
      <c r="Y630">
        <f>IF(W630=0,0,X630/W630)</f>
        <v/>
      </c>
      <c r="Z630">
        <f>C630-B630</f>
        <v/>
      </c>
      <c r="AA630">
        <f>TEXT(B630,"mmmm")</f>
        <v/>
      </c>
      <c r="AB630">
        <f>YEAR(B630)</f>
        <v/>
      </c>
      <c r="AC630">
        <f>IF(OR(P630&lt;0,P630&gt;0.5,C630&lt;B630),"INVALID","CLEAN")</f>
        <v/>
      </c>
    </row>
    <row r="631">
      <c r="A631" s="12" t="inlineStr">
        <is>
          <t>ORD-2025-10630</t>
        </is>
      </c>
      <c r="B631" s="12" t="inlineStr">
        <is>
          <t>09/10/2025</t>
        </is>
      </c>
      <c r="C631" s="12" t="inlineStr">
        <is>
          <t>14 Sep 2025</t>
        </is>
      </c>
      <c r="D631" s="12" t="inlineStr">
        <is>
          <t>CUST-3793</t>
        </is>
      </c>
      <c r="E631" s="12" t="inlineStr">
        <is>
          <t>Arjun Bose</t>
        </is>
      </c>
      <c r="F631" s="12" t="inlineStr">
        <is>
          <t>Home Office</t>
        </is>
      </c>
      <c r="G631" s="12" t="inlineStr">
        <is>
          <t>West</t>
        </is>
      </c>
      <c r="H631" s="12" t="inlineStr">
        <is>
          <t>Gujarat</t>
        </is>
      </c>
      <c r="I631" s="12" t="inlineStr">
        <is>
          <t>Ahmedabad</t>
        </is>
      </c>
      <c r="J631" s="12" t="inlineStr">
        <is>
          <t>Furniture</t>
        </is>
      </c>
      <c r="K631" s="12" t="inlineStr">
        <is>
          <t>Tables</t>
        </is>
      </c>
      <c r="L631" s="12" t="inlineStr">
        <is>
          <t>Max Tables 908</t>
        </is>
      </c>
      <c r="M631" s="12" t="inlineStr">
        <is>
          <t>Same Day</t>
        </is>
      </c>
      <c r="N631" s="12" t="n">
        <v>3</v>
      </c>
      <c r="O631" s="12" t="n">
        <v>4198.46</v>
      </c>
      <c r="P631" s="12" t="n">
        <v>0.15</v>
      </c>
      <c r="Q631" s="12" t="n">
        <v>10706.07</v>
      </c>
      <c r="R631" s="12" t="n">
        <v>5927.1</v>
      </c>
      <c r="S631" s="12" t="n">
        <v>4778.97</v>
      </c>
      <c r="T631" s="12" t="inlineStr">
        <is>
          <t>Paid</t>
        </is>
      </c>
      <c r="U631" s="12" t="inlineStr">
        <is>
          <t>Completed</t>
        </is>
      </c>
      <c r="V631">
        <f>IF(OR(P631="",P631&lt;0,P631&gt;0.5),0,P631)</f>
        <v/>
      </c>
      <c r="W631">
        <f>N631*O631*(1-V631)</f>
        <v/>
      </c>
      <c r="X631">
        <f>W631-R631</f>
        <v/>
      </c>
      <c r="Y631">
        <f>IF(W631=0,0,X631/W631)</f>
        <v/>
      </c>
      <c r="Z631">
        <f>C631-B631</f>
        <v/>
      </c>
      <c r="AA631">
        <f>TEXT(B631,"mmmm")</f>
        <v/>
      </c>
      <c r="AB631">
        <f>YEAR(B631)</f>
        <v/>
      </c>
      <c r="AC631">
        <f>IF(OR(P631&lt;0,P631&gt;0.5,C631&lt;B631),"INVALID","CLEAN")</f>
        <v/>
      </c>
    </row>
    <row r="632">
      <c r="A632" s="12" t="inlineStr">
        <is>
          <t>ORD-2024-10631</t>
        </is>
      </c>
      <c r="B632" s="12" t="inlineStr">
        <is>
          <t>2024-04-09</t>
        </is>
      </c>
      <c r="C632" s="12" t="inlineStr">
        <is>
          <t>2024-04-10</t>
        </is>
      </c>
      <c r="D632" s="12" t="inlineStr">
        <is>
          <t>CUST-6075</t>
        </is>
      </c>
      <c r="E632" s="12" t="inlineStr">
        <is>
          <t>Priya Menon</t>
        </is>
      </c>
      <c r="F632" s="12" t="inlineStr">
        <is>
          <t>Corporate</t>
        </is>
      </c>
      <c r="G632" s="12" t="inlineStr">
        <is>
          <t>East</t>
        </is>
      </c>
      <c r="H632" s="12" t="inlineStr">
        <is>
          <t>Assam</t>
        </is>
      </c>
      <c r="I632" s="12" t="inlineStr">
        <is>
          <t>Guwahati</t>
        </is>
      </c>
      <c r="J632" s="12" t="inlineStr">
        <is>
          <t>Office Supplies</t>
        </is>
      </c>
      <c r="K632" s="12" t="inlineStr">
        <is>
          <t>Paper</t>
        </is>
      </c>
      <c r="L632" s="12" t="inlineStr">
        <is>
          <t>Elite Paper 239</t>
        </is>
      </c>
      <c r="M632" s="12" t="inlineStr">
        <is>
          <t>Standard Class</t>
        </is>
      </c>
      <c r="N632" s="12" t="n">
        <v>4</v>
      </c>
      <c r="O632" s="12" t="n">
        <v>3047.05</v>
      </c>
      <c r="P632" s="12" t="n">
        <v>0.1</v>
      </c>
      <c r="Q632" s="12" t="n">
        <v>10969.38</v>
      </c>
      <c r="R632" s="12" t="n">
        <v>9254.459999999999</v>
      </c>
      <c r="S632" s="12" t="n">
        <v>1714.92</v>
      </c>
      <c r="T632" s="12" t="inlineStr">
        <is>
          <t>Paid</t>
        </is>
      </c>
      <c r="U632" s="12" t="inlineStr">
        <is>
          <t>Completed</t>
        </is>
      </c>
      <c r="V632">
        <f>IF(OR(P632="",P632&lt;0,P632&gt;0.5),0,P632)</f>
        <v/>
      </c>
      <c r="W632">
        <f>N632*O632*(1-V632)</f>
        <v/>
      </c>
      <c r="X632">
        <f>W632-R632</f>
        <v/>
      </c>
      <c r="Y632">
        <f>IF(W632=0,0,X632/W632)</f>
        <v/>
      </c>
      <c r="Z632">
        <f>C632-B632</f>
        <v/>
      </c>
      <c r="AA632">
        <f>TEXT(B632,"mmmm")</f>
        <v/>
      </c>
      <c r="AB632">
        <f>YEAR(B632)</f>
        <v/>
      </c>
      <c r="AC632">
        <f>IF(OR(P632&lt;0,P632&gt;0.5,C632&lt;B632),"INVALID","CLEAN")</f>
        <v/>
      </c>
    </row>
    <row r="633">
      <c r="A633" s="12" t="inlineStr">
        <is>
          <t>ORD-2024-10632</t>
        </is>
      </c>
      <c r="B633" s="12" t="inlineStr">
        <is>
          <t>10 Apr 2024</t>
        </is>
      </c>
      <c r="C633" s="12" t="inlineStr">
        <is>
          <t>15-04-2024</t>
        </is>
      </c>
      <c r="D633" s="12" t="inlineStr">
        <is>
          <t>CUST-6381</t>
        </is>
      </c>
      <c r="E633" s="12" t="inlineStr">
        <is>
          <t>Aarav Sharma</t>
        </is>
      </c>
      <c r="F633" s="12" t="inlineStr">
        <is>
          <t>Home Office</t>
        </is>
      </c>
      <c r="G633" s="12" t="inlineStr">
        <is>
          <t>West</t>
        </is>
      </c>
      <c r="H633" s="12" t="inlineStr">
        <is>
          <t>Rajasthan</t>
        </is>
      </c>
      <c r="I633" s="12" t="inlineStr">
        <is>
          <t>Udaipur</t>
        </is>
      </c>
      <c r="J633" s="12" t="inlineStr">
        <is>
          <t>Furniture</t>
        </is>
      </c>
      <c r="K633" s="12" t="inlineStr">
        <is>
          <t>Chairs</t>
        </is>
      </c>
      <c r="L633" s="12" t="inlineStr">
        <is>
          <t>Eco Chairs 452</t>
        </is>
      </c>
      <c r="M633" s="12" t="inlineStr">
        <is>
          <t>Standard Class</t>
        </is>
      </c>
      <c r="N633" s="12" t="n">
        <v>8</v>
      </c>
      <c r="O633" s="12" t="n">
        <v>4362.48</v>
      </c>
      <c r="P633" s="12" t="n">
        <v>0.1</v>
      </c>
      <c r="Q633" s="12" t="n">
        <v>31409.86</v>
      </c>
      <c r="R633" s="12" t="n">
        <v>22523.54</v>
      </c>
      <c r="S633" s="12" t="n">
        <v>8886.32</v>
      </c>
      <c r="T633" s="12" t="inlineStr">
        <is>
          <t>Paid</t>
        </is>
      </c>
      <c r="U633" s="12" t="inlineStr">
        <is>
          <t>Completed</t>
        </is>
      </c>
      <c r="V633">
        <f>IF(OR(P633="",P633&lt;0,P633&gt;0.5),0,P633)</f>
        <v/>
      </c>
      <c r="W633">
        <f>N633*O633*(1-V633)</f>
        <v/>
      </c>
      <c r="X633">
        <f>W633-R633</f>
        <v/>
      </c>
      <c r="Y633">
        <f>IF(W633=0,0,X633/W633)</f>
        <v/>
      </c>
      <c r="Z633">
        <f>C633-B633</f>
        <v/>
      </c>
      <c r="AA633">
        <f>TEXT(B633,"mmmm")</f>
        <v/>
      </c>
      <c r="AB633">
        <f>YEAR(B633)</f>
        <v/>
      </c>
      <c r="AC633">
        <f>IF(OR(P633&lt;0,P633&gt;0.5,C633&lt;B633),"INVALID","CLEAN")</f>
        <v/>
      </c>
    </row>
    <row r="634">
      <c r="A634" s="12" t="inlineStr">
        <is>
          <t>ORD-2025-10633</t>
        </is>
      </c>
      <c r="B634" s="12" t="inlineStr">
        <is>
          <t>15-04-2025</t>
        </is>
      </c>
      <c r="C634" s="12" t="inlineStr">
        <is>
          <t>16-04-2025</t>
        </is>
      </c>
      <c r="D634" s="12" t="inlineStr">
        <is>
          <t>CUST-4593</t>
        </is>
      </c>
      <c r="E634" s="12" t="inlineStr">
        <is>
          <t>Sneha Kapoor</t>
        </is>
      </c>
      <c r="F634" s="12" t="inlineStr">
        <is>
          <t>Small Business</t>
        </is>
      </c>
      <c r="G634" s="12" t="inlineStr">
        <is>
          <t>South</t>
        </is>
      </c>
      <c r="H634" s="12" t="inlineStr">
        <is>
          <t>Karnataka</t>
        </is>
      </c>
      <c r="I634" s="12" t="inlineStr">
        <is>
          <t>Bengaluru</t>
        </is>
      </c>
      <c r="J634" s="12" t="inlineStr">
        <is>
          <t>Furniture</t>
        </is>
      </c>
      <c r="K634" s="12" t="inlineStr">
        <is>
          <t>Furnishings</t>
        </is>
      </c>
      <c r="L634" s="12" t="inlineStr">
        <is>
          <t>Smart Furnishings 721</t>
        </is>
      </c>
      <c r="M634" s="12" t="inlineStr">
        <is>
          <t>First Class</t>
        </is>
      </c>
      <c r="N634" s="12" t="n">
        <v>5</v>
      </c>
      <c r="O634" s="12" t="n">
        <v>2850.53</v>
      </c>
      <c r="P634" s="12" t="n">
        <v>0</v>
      </c>
      <c r="Q634" s="12" t="n">
        <v>14252.65</v>
      </c>
      <c r="R634" s="12" t="n">
        <v>11558.31</v>
      </c>
      <c r="S634" s="12" t="n">
        <v>2694.34</v>
      </c>
      <c r="T634" s="12" t="inlineStr">
        <is>
          <t>Paid</t>
        </is>
      </c>
      <c r="U634" s="12" t="inlineStr">
        <is>
          <t>Completed</t>
        </is>
      </c>
      <c r="V634">
        <f>IF(OR(P634="",P634&lt;0,P634&gt;0.5),0,P634)</f>
        <v/>
      </c>
      <c r="W634">
        <f>N634*O634*(1-V634)</f>
        <v/>
      </c>
      <c r="X634">
        <f>W634-R634</f>
        <v/>
      </c>
      <c r="Y634">
        <f>IF(W634=0,0,X634/W634)</f>
        <v/>
      </c>
      <c r="Z634">
        <f>C634-B634</f>
        <v/>
      </c>
      <c r="AA634">
        <f>TEXT(B634,"mmmm")</f>
        <v/>
      </c>
      <c r="AB634">
        <f>YEAR(B634)</f>
        <v/>
      </c>
      <c r="AC634">
        <f>IF(OR(P634&lt;0,P634&gt;0.5,C634&lt;B634),"INVALID","CLEAN")</f>
        <v/>
      </c>
    </row>
    <row r="635">
      <c r="A635" s="12" t="inlineStr">
        <is>
          <t>ORD-2025-10634</t>
        </is>
      </c>
      <c r="B635" s="12" t="inlineStr">
        <is>
          <t>04/18/2025</t>
        </is>
      </c>
      <c r="C635" s="12" t="inlineStr">
        <is>
          <t>20 Apr 2025</t>
        </is>
      </c>
      <c r="D635" s="12" t="inlineStr">
        <is>
          <t>CUST-5043</t>
        </is>
      </c>
      <c r="E635" s="12" t="inlineStr">
        <is>
          <t>Aarav Sharma</t>
        </is>
      </c>
      <c r="F635" s="12" t="inlineStr">
        <is>
          <t>Small Business</t>
        </is>
      </c>
      <c r="G635" s="12" t="inlineStr">
        <is>
          <t>South</t>
        </is>
      </c>
      <c r="H635" s="12" t="inlineStr">
        <is>
          <t>Tamil Nadu</t>
        </is>
      </c>
      <c r="I635" s="12" t="inlineStr">
        <is>
          <t>Chennai</t>
        </is>
      </c>
      <c r="J635" s="12" t="inlineStr">
        <is>
          <t>Technology</t>
        </is>
      </c>
      <c r="K635" s="12" t="inlineStr">
        <is>
          <t>Accessories</t>
        </is>
      </c>
      <c r="L635" s="12" t="inlineStr">
        <is>
          <t>Basic Accessories 729</t>
        </is>
      </c>
      <c r="M635" s="12" t="inlineStr">
        <is>
          <t>Second Class</t>
        </is>
      </c>
      <c r="N635" s="12" t="n">
        <v>1</v>
      </c>
      <c r="O635" s="12" t="n">
        <v>1626.08</v>
      </c>
      <c r="P635" s="12" t="n">
        <v>0.15</v>
      </c>
      <c r="Q635" s="12" t="n">
        <v>1382.17</v>
      </c>
      <c r="R635" s="12" t="n">
        <v>810.03</v>
      </c>
      <c r="S635" s="12" t="n">
        <v>572.14</v>
      </c>
      <c r="T635" s="12" t="inlineStr">
        <is>
          <t>Paid</t>
        </is>
      </c>
      <c r="U635" s="12" t="inlineStr">
        <is>
          <t>Completed</t>
        </is>
      </c>
      <c r="V635">
        <f>IF(OR(P635="",P635&lt;0,P635&gt;0.5),0,P635)</f>
        <v/>
      </c>
      <c r="W635">
        <f>N635*O635*(1-V635)</f>
        <v/>
      </c>
      <c r="X635">
        <f>W635-R635</f>
        <v/>
      </c>
      <c r="Y635">
        <f>IF(W635=0,0,X635/W635)</f>
        <v/>
      </c>
      <c r="Z635">
        <f>C635-B635</f>
        <v/>
      </c>
      <c r="AA635">
        <f>TEXT(B635,"mmmm")</f>
        <v/>
      </c>
      <c r="AB635">
        <f>YEAR(B635)</f>
        <v/>
      </c>
      <c r="AC635">
        <f>IF(OR(P635&lt;0,P635&gt;0.5,C635&lt;B635),"INVALID","CLEAN")</f>
        <v/>
      </c>
    </row>
    <row r="636">
      <c r="A636" s="12" t="inlineStr">
        <is>
          <t>ORD-2025-10635</t>
        </is>
      </c>
      <c r="B636" s="12" t="inlineStr">
        <is>
          <t>01/11/2025</t>
        </is>
      </c>
      <c r="C636" s="12" t="inlineStr">
        <is>
          <t>12 Jan 2025</t>
        </is>
      </c>
      <c r="D636" s="12" t="inlineStr">
        <is>
          <t>CUST-4722</t>
        </is>
      </c>
      <c r="E636" s="12" t="inlineStr">
        <is>
          <t>Aditi Sen</t>
        </is>
      </c>
      <c r="F636" s="12" t="inlineStr">
        <is>
          <t>Consumer</t>
        </is>
      </c>
      <c r="G636" s="12" t="inlineStr">
        <is>
          <t>South</t>
        </is>
      </c>
      <c r="H636" s="12" t="inlineStr">
        <is>
          <t>Telangana</t>
        </is>
      </c>
      <c r="I636" s="12" t="inlineStr">
        <is>
          <t>Hyderabad</t>
        </is>
      </c>
      <c r="J636" s="12" t="inlineStr">
        <is>
          <t>Furniture</t>
        </is>
      </c>
      <c r="K636" s="12" t="inlineStr">
        <is>
          <t>Chairs</t>
        </is>
      </c>
      <c r="L636" s="12" t="inlineStr">
        <is>
          <t>Classic Chairs 220</t>
        </is>
      </c>
      <c r="M636" s="12" t="inlineStr">
        <is>
          <t>Second Class</t>
        </is>
      </c>
      <c r="N636" s="12" t="n">
        <v>4</v>
      </c>
      <c r="O636" s="12" t="n">
        <v>2427.15</v>
      </c>
      <c r="P636" s="12" t="n">
        <v>0.05</v>
      </c>
      <c r="Q636" s="12" t="n">
        <v>9223.17</v>
      </c>
      <c r="R636" s="12" t="n">
        <v>5103.7</v>
      </c>
      <c r="S636" s="12" t="n">
        <v>4119.47</v>
      </c>
      <c r="T636" s="12" t="inlineStr">
        <is>
          <t>Paid</t>
        </is>
      </c>
      <c r="U636" s="12" t="inlineStr">
        <is>
          <t>Completed</t>
        </is>
      </c>
      <c r="V636">
        <f>IF(OR(P636="",P636&lt;0,P636&gt;0.5),0,P636)</f>
        <v/>
      </c>
      <c r="W636">
        <f>N636*O636*(1-V636)</f>
        <v/>
      </c>
      <c r="X636">
        <f>W636-R636</f>
        <v/>
      </c>
      <c r="Y636">
        <f>IF(W636=0,0,X636/W636)</f>
        <v/>
      </c>
      <c r="Z636">
        <f>C636-B636</f>
        <v/>
      </c>
      <c r="AA636">
        <f>TEXT(B636,"mmmm")</f>
        <v/>
      </c>
      <c r="AB636">
        <f>YEAR(B636)</f>
        <v/>
      </c>
      <c r="AC636">
        <f>IF(OR(P636&lt;0,P636&gt;0.5,C636&lt;B636),"INVALID","CLEAN")</f>
        <v/>
      </c>
    </row>
    <row r="637">
      <c r="A637" s="12" t="inlineStr">
        <is>
          <t>ORD-2024-10636</t>
        </is>
      </c>
      <c r="B637" s="12" t="inlineStr">
        <is>
          <t>20 May 2024</t>
        </is>
      </c>
      <c r="C637" s="12" t="inlineStr">
        <is>
          <t>2024-05-25</t>
        </is>
      </c>
      <c r="D637" s="12" t="inlineStr">
        <is>
          <t>CUST-7931</t>
        </is>
      </c>
      <c r="E637" s="12" t="inlineStr">
        <is>
          <t>Mira Das</t>
        </is>
      </c>
      <c r="F637" s="12" t="inlineStr">
        <is>
          <t>Corporate</t>
        </is>
      </c>
      <c r="G637" s="12" t="inlineStr">
        <is>
          <t>South</t>
        </is>
      </c>
      <c r="H637" s="12" t="inlineStr">
        <is>
          <t>Andhra Pradesh</t>
        </is>
      </c>
      <c r="I637" s="12" t="inlineStr">
        <is>
          <t>Vijayawada</t>
        </is>
      </c>
      <c r="J637" s="12" t="inlineStr">
        <is>
          <t>Furniture</t>
        </is>
      </c>
      <c r="K637" s="12" t="inlineStr">
        <is>
          <t>Chairs</t>
        </is>
      </c>
      <c r="L637" s="12" t="inlineStr">
        <is>
          <t>Max Chairs 305</t>
        </is>
      </c>
      <c r="M637" s="12" t="inlineStr">
        <is>
          <t>Same Day</t>
        </is>
      </c>
      <c r="N637" s="12" t="n">
        <v>7</v>
      </c>
      <c r="O637" s="12" t="n">
        <v>3122.85</v>
      </c>
      <c r="P637" s="12" t="n">
        <v>0.25</v>
      </c>
      <c r="Q637" s="12" t="n">
        <v>16394.96</v>
      </c>
      <c r="R637" s="12" t="n">
        <v>10404.17</v>
      </c>
      <c r="S637" s="12" t="n">
        <v>5990.79</v>
      </c>
      <c r="T637" s="12" t="inlineStr">
        <is>
          <t>Paid</t>
        </is>
      </c>
      <c r="U637" s="12" t="inlineStr">
        <is>
          <t>Completed</t>
        </is>
      </c>
      <c r="V637">
        <f>IF(OR(P637="",P637&lt;0,P637&gt;0.5),0,P637)</f>
        <v/>
      </c>
      <c r="W637">
        <f>N637*O637*(1-V637)</f>
        <v/>
      </c>
      <c r="X637">
        <f>W637-R637</f>
        <v/>
      </c>
      <c r="Y637">
        <f>IF(W637=0,0,X637/W637)</f>
        <v/>
      </c>
      <c r="Z637">
        <f>C637-B637</f>
        <v/>
      </c>
      <c r="AA637">
        <f>TEXT(B637,"mmmm")</f>
        <v/>
      </c>
      <c r="AB637">
        <f>YEAR(B637)</f>
        <v/>
      </c>
      <c r="AC637">
        <f>IF(OR(P637&lt;0,P637&gt;0.5,C637&lt;B637),"INVALID","CLEAN")</f>
        <v/>
      </c>
    </row>
    <row r="638">
      <c r="A638" s="12" t="inlineStr">
        <is>
          <t>ORD-2024-10637</t>
        </is>
      </c>
      <c r="B638" s="12" t="inlineStr">
        <is>
          <t>02 Oct 2024</t>
        </is>
      </c>
      <c r="C638" s="12" t="inlineStr">
        <is>
          <t>09 Oct 2024</t>
        </is>
      </c>
      <c r="D638" s="12" t="inlineStr">
        <is>
          <t>CUST-7221</t>
        </is>
      </c>
      <c r="E638" s="12" t="inlineStr">
        <is>
          <t>Ananya Rao</t>
        </is>
      </c>
      <c r="F638" s="12" t="inlineStr">
        <is>
          <t>Consumer</t>
        </is>
      </c>
      <c r="G638" s="12" t="inlineStr">
        <is>
          <t>South</t>
        </is>
      </c>
      <c r="H638" s="12" t="inlineStr">
        <is>
          <t>Tamil Nadu</t>
        </is>
      </c>
      <c r="I638" s="12" t="inlineStr">
        <is>
          <t>Chennai</t>
        </is>
      </c>
      <c r="J638" s="12" t="inlineStr">
        <is>
          <t>Office Supplies</t>
        </is>
      </c>
      <c r="K638" s="12" t="inlineStr">
        <is>
          <t>Paper</t>
        </is>
      </c>
      <c r="L638" s="12" t="inlineStr">
        <is>
          <t>Smart Paper 872</t>
        </is>
      </c>
      <c r="M638" s="12" t="inlineStr">
        <is>
          <t>Standard Class</t>
        </is>
      </c>
      <c r="N638" s="12" t="n">
        <v>8</v>
      </c>
      <c r="O638" s="12" t="n">
        <v>1910.31</v>
      </c>
      <c r="P638" s="12" t="n">
        <v>0.15</v>
      </c>
      <c r="Q638" s="12" t="n">
        <v>12990.11</v>
      </c>
      <c r="R638" s="12" t="n">
        <v>10200.8</v>
      </c>
      <c r="S638" s="12" t="n">
        <v>2789.31</v>
      </c>
      <c r="T638" s="12" t="inlineStr">
        <is>
          <t>Paid</t>
        </is>
      </c>
      <c r="U638" s="12" t="inlineStr">
        <is>
          <t>Completed</t>
        </is>
      </c>
      <c r="V638">
        <f>IF(OR(P638="",P638&lt;0,P638&gt;0.5),0,P638)</f>
        <v/>
      </c>
      <c r="W638">
        <f>N638*O638*(1-V638)</f>
        <v/>
      </c>
      <c r="X638">
        <f>W638-R638</f>
        <v/>
      </c>
      <c r="Y638">
        <f>IF(W638=0,0,X638/W638)</f>
        <v/>
      </c>
      <c r="Z638">
        <f>C638-B638</f>
        <v/>
      </c>
      <c r="AA638">
        <f>TEXT(B638,"mmmm")</f>
        <v/>
      </c>
      <c r="AB638">
        <f>YEAR(B638)</f>
        <v/>
      </c>
      <c r="AC638">
        <f>IF(OR(P638&lt;0,P638&gt;0.5,C638&lt;B638),"INVALID","CLEAN")</f>
        <v/>
      </c>
    </row>
    <row r="639">
      <c r="A639" s="12" t="inlineStr">
        <is>
          <t>ORD-2024-10638</t>
        </is>
      </c>
      <c r="B639" s="12" t="inlineStr">
        <is>
          <t>26-05-2024</t>
        </is>
      </c>
      <c r="C639" s="12" t="inlineStr">
        <is>
          <t>2024-05-26</t>
        </is>
      </c>
      <c r="D639" s="12" t="inlineStr">
        <is>
          <t>CUST-2594</t>
        </is>
      </c>
      <c r="E639" s="12" t="inlineStr">
        <is>
          <t>Rahul Verma</t>
        </is>
      </c>
      <c r="F639" s="12" t="inlineStr">
        <is>
          <t>Small Business</t>
        </is>
      </c>
      <c r="G639" s="12" t="inlineStr">
        <is>
          <t>West</t>
        </is>
      </c>
      <c r="H639" s="12" t="inlineStr">
        <is>
          <t>Goa</t>
        </is>
      </c>
      <c r="I639" s="12" t="inlineStr">
        <is>
          <t>Panaji</t>
        </is>
      </c>
      <c r="J639" s="12" t="inlineStr">
        <is>
          <t>Technology</t>
        </is>
      </c>
      <c r="K639" s="12" t="inlineStr">
        <is>
          <t>Copiers</t>
        </is>
      </c>
      <c r="L639" s="12" t="inlineStr">
        <is>
          <t>Max Copiers 994</t>
        </is>
      </c>
      <c r="M639" s="12" t="inlineStr">
        <is>
          <t>First Class</t>
        </is>
      </c>
      <c r="N639" s="12" t="n">
        <v>2</v>
      </c>
      <c r="O639" s="12" t="n">
        <v>3192.47</v>
      </c>
      <c r="P639" s="12" t="n">
        <v>0.2</v>
      </c>
      <c r="Q639" s="12" t="n">
        <v>5107.95</v>
      </c>
      <c r="R639" s="12" t="n">
        <v>3133.08</v>
      </c>
      <c r="S639" s="12" t="n">
        <v>1974.87</v>
      </c>
      <c r="T639" s="12" t="inlineStr">
        <is>
          <t>Paid</t>
        </is>
      </c>
      <c r="U639" s="12" t="inlineStr">
        <is>
          <t>Completed</t>
        </is>
      </c>
      <c r="V639">
        <f>IF(OR(P639="",P639&lt;0,P639&gt;0.5),0,P639)</f>
        <v/>
      </c>
      <c r="W639">
        <f>N639*O639*(1-V639)</f>
        <v/>
      </c>
      <c r="X639">
        <f>W639-R639</f>
        <v/>
      </c>
      <c r="Y639">
        <f>IF(W639=0,0,X639/W639)</f>
        <v/>
      </c>
      <c r="Z639">
        <f>C639-B639</f>
        <v/>
      </c>
      <c r="AA639">
        <f>TEXT(B639,"mmmm")</f>
        <v/>
      </c>
      <c r="AB639">
        <f>YEAR(B639)</f>
        <v/>
      </c>
      <c r="AC639">
        <f>IF(OR(P639&lt;0,P639&gt;0.5,C639&lt;B639),"INVALID","CLEAN")</f>
        <v/>
      </c>
    </row>
    <row r="640">
      <c r="A640" s="12" t="inlineStr">
        <is>
          <t>ORD-2024-10639</t>
        </is>
      </c>
      <c r="B640" s="12" t="inlineStr">
        <is>
          <t>26 Jan 2024</t>
        </is>
      </c>
      <c r="C640" s="12" t="inlineStr">
        <is>
          <t>31-01-2024</t>
        </is>
      </c>
      <c r="D640" s="12" t="inlineStr">
        <is>
          <t>CUST-2111</t>
        </is>
      </c>
      <c r="E640" s="12" t="inlineStr">
        <is>
          <t>Karan Malhotra</t>
        </is>
      </c>
      <c r="F640" s="12" t="inlineStr">
        <is>
          <t>Corporate</t>
        </is>
      </c>
      <c r="G640" s="12" t="inlineStr">
        <is>
          <t>South</t>
        </is>
      </c>
      <c r="H640" s="12" t="inlineStr">
        <is>
          <t>Kerala</t>
        </is>
      </c>
      <c r="I640" s="12" t="inlineStr">
        <is>
          <t>Kochi</t>
        </is>
      </c>
      <c r="J640" s="12" t="inlineStr">
        <is>
          <t>Office Supplies</t>
        </is>
      </c>
      <c r="K640" s="12" t="inlineStr">
        <is>
          <t>Storage</t>
        </is>
      </c>
      <c r="L640" s="12" t="inlineStr">
        <is>
          <t>Pro Storage 744</t>
        </is>
      </c>
      <c r="M640" s="12" t="inlineStr">
        <is>
          <t>Second Class</t>
        </is>
      </c>
      <c r="N640" s="12" t="n">
        <v>3</v>
      </c>
      <c r="O640" s="12" t="n">
        <v>3224.32</v>
      </c>
      <c r="P640" s="12" t="n">
        <v>0.2</v>
      </c>
      <c r="Q640" s="12" t="n">
        <v>7738.37</v>
      </c>
      <c r="R640" s="12" t="n">
        <v>4626.85</v>
      </c>
      <c r="S640" s="12" t="n">
        <v>3111.52</v>
      </c>
      <c r="T640" s="12" t="inlineStr">
        <is>
          <t>Failed</t>
        </is>
      </c>
      <c r="U640" s="12" t="inlineStr">
        <is>
          <t>Returned</t>
        </is>
      </c>
      <c r="V640">
        <f>IF(OR(P640="",P640&lt;0,P640&gt;0.5),0,P640)</f>
        <v/>
      </c>
      <c r="W640">
        <f>N640*O640*(1-V640)</f>
        <v/>
      </c>
      <c r="X640">
        <f>W640-R640</f>
        <v/>
      </c>
      <c r="Y640">
        <f>IF(W640=0,0,X640/W640)</f>
        <v/>
      </c>
      <c r="Z640">
        <f>C640-B640</f>
        <v/>
      </c>
      <c r="AA640">
        <f>TEXT(B640,"mmmm")</f>
        <v/>
      </c>
      <c r="AB640">
        <f>YEAR(B640)</f>
        <v/>
      </c>
      <c r="AC640">
        <f>IF(OR(P640&lt;0,P640&gt;0.5,C640&lt;B640),"INVALID","CLEAN")</f>
        <v/>
      </c>
    </row>
    <row r="641">
      <c r="A641" s="12" t="inlineStr">
        <is>
          <t>ORD-2024-10640</t>
        </is>
      </c>
      <c r="B641" s="12" t="inlineStr">
        <is>
          <t>12/27/2024</t>
        </is>
      </c>
      <c r="C641" s="12" t="inlineStr">
        <is>
          <t>31-12-2024</t>
        </is>
      </c>
      <c r="D641" s="12" t="inlineStr">
        <is>
          <t>CUST-6829</t>
        </is>
      </c>
      <c r="E641" s="12" t="inlineStr">
        <is>
          <t>Isha Nair</t>
        </is>
      </c>
      <c r="F641" s="12" t="inlineStr">
        <is>
          <t>Small Business</t>
        </is>
      </c>
      <c r="G641" s="12" t="inlineStr">
        <is>
          <t>East</t>
        </is>
      </c>
      <c r="H641" s="12" t="inlineStr">
        <is>
          <t>Odisha</t>
        </is>
      </c>
      <c r="I641" s="12" t="inlineStr">
        <is>
          <t>Bhubaneswar</t>
        </is>
      </c>
      <c r="J641" s="12" t="inlineStr">
        <is>
          <t>Furniture</t>
        </is>
      </c>
      <c r="K641" s="12" t="inlineStr">
        <is>
          <t>Chairs</t>
        </is>
      </c>
      <c r="L641" s="12" t="inlineStr">
        <is>
          <t>Elite Chairs 744</t>
        </is>
      </c>
      <c r="M641" s="12" t="inlineStr">
        <is>
          <t>Second Class</t>
        </is>
      </c>
      <c r="N641" s="12" t="n">
        <v>1</v>
      </c>
      <c r="O641" s="12" t="n">
        <v>1594.7</v>
      </c>
      <c r="P641" s="12" t="n">
        <v>0.05</v>
      </c>
      <c r="Q641" s="12" t="n">
        <v>1514.96</v>
      </c>
      <c r="R641" s="12" t="n">
        <v>1046.17</v>
      </c>
      <c r="S641" s="12" t="n">
        <v>468.79</v>
      </c>
      <c r="T641" s="12" t="inlineStr">
        <is>
          <t>Paid</t>
        </is>
      </c>
      <c r="U641" s="12" t="inlineStr">
        <is>
          <t>Completed</t>
        </is>
      </c>
      <c r="V641">
        <f>IF(OR(P641="",P641&lt;0,P641&gt;0.5),0,P641)</f>
        <v/>
      </c>
      <c r="W641">
        <f>N641*O641*(1-V641)</f>
        <v/>
      </c>
      <c r="X641">
        <f>W641-R641</f>
        <v/>
      </c>
      <c r="Y641">
        <f>IF(W641=0,0,X641/W641)</f>
        <v/>
      </c>
      <c r="Z641">
        <f>C641-B641</f>
        <v/>
      </c>
      <c r="AA641">
        <f>TEXT(B641,"mmmm")</f>
        <v/>
      </c>
      <c r="AB641">
        <f>YEAR(B641)</f>
        <v/>
      </c>
      <c r="AC641">
        <f>IF(OR(P641&lt;0,P641&gt;0.5,C641&lt;B641),"INVALID","CLEAN")</f>
        <v/>
      </c>
    </row>
    <row r="642">
      <c r="A642" s="12" t="inlineStr">
        <is>
          <t>ORD-2025-10641</t>
        </is>
      </c>
      <c r="B642" s="12" t="inlineStr">
        <is>
          <t>14-01-2025</t>
        </is>
      </c>
      <c r="C642" s="12" t="inlineStr">
        <is>
          <t>17 Jan 2025</t>
        </is>
      </c>
      <c r="D642" s="12" t="inlineStr">
        <is>
          <t>CUST-5061</t>
        </is>
      </c>
      <c r="E642" s="12" t="inlineStr">
        <is>
          <t>Vikram Iyer</t>
        </is>
      </c>
      <c r="F642" s="12" t="inlineStr">
        <is>
          <t>Consumer</t>
        </is>
      </c>
      <c r="G642" s="12" t="inlineStr">
        <is>
          <t>West</t>
        </is>
      </c>
      <c r="H642" s="12" t="inlineStr">
        <is>
          <t>Goa</t>
        </is>
      </c>
      <c r="I642" s="12" t="inlineStr">
        <is>
          <t>Panaji</t>
        </is>
      </c>
      <c r="J642" s="12" t="inlineStr">
        <is>
          <t>Office Supplies</t>
        </is>
      </c>
      <c r="K642" s="12" t="inlineStr">
        <is>
          <t>Storage</t>
        </is>
      </c>
      <c r="L642" s="12" t="inlineStr">
        <is>
          <t>Basic Storage 973</t>
        </is>
      </c>
      <c r="M642" s="12" t="inlineStr">
        <is>
          <t>First Class</t>
        </is>
      </c>
      <c r="N642" s="12" t="n">
        <v>1</v>
      </c>
      <c r="O642" s="12" t="n">
        <v>1584.12</v>
      </c>
      <c r="P642" s="12" t="n">
        <v>0.2</v>
      </c>
      <c r="Q642" s="12" t="n">
        <v>1267.3</v>
      </c>
      <c r="R642" s="12" t="n">
        <v>923.53</v>
      </c>
      <c r="S642" s="12" t="n">
        <v>343.77</v>
      </c>
      <c r="T642" s="12" t="inlineStr">
        <is>
          <t>Paid</t>
        </is>
      </c>
      <c r="U642" s="12" t="inlineStr">
        <is>
          <t>Completed</t>
        </is>
      </c>
      <c r="V642">
        <f>IF(OR(P642="",P642&lt;0,P642&gt;0.5),0,P642)</f>
        <v/>
      </c>
      <c r="W642">
        <f>N642*O642*(1-V642)</f>
        <v/>
      </c>
      <c r="X642">
        <f>W642-R642</f>
        <v/>
      </c>
      <c r="Y642">
        <f>IF(W642=0,0,X642/W642)</f>
        <v/>
      </c>
      <c r="Z642">
        <f>C642-B642</f>
        <v/>
      </c>
      <c r="AA642">
        <f>TEXT(B642,"mmmm")</f>
        <v/>
      </c>
      <c r="AB642">
        <f>YEAR(B642)</f>
        <v/>
      </c>
      <c r="AC642">
        <f>IF(OR(P642&lt;0,P642&gt;0.5,C642&lt;B642),"INVALID","CLEAN")</f>
        <v/>
      </c>
    </row>
    <row r="643">
      <c r="A643" s="12" t="inlineStr">
        <is>
          <t>ORD-2025-10642</t>
        </is>
      </c>
      <c r="B643" s="12" t="inlineStr">
        <is>
          <t>2025-04-09</t>
        </is>
      </c>
      <c r="C643" s="12" t="inlineStr">
        <is>
          <t>2025-04-14</t>
        </is>
      </c>
      <c r="D643" s="12" t="inlineStr">
        <is>
          <t>CUST-7915</t>
        </is>
      </c>
      <c r="E643" s="12" t="inlineStr">
        <is>
          <t>Karan Malhotra</t>
        </is>
      </c>
      <c r="F643" s="12" t="inlineStr">
        <is>
          <t>Consumer</t>
        </is>
      </c>
      <c r="G643" s="12" t="inlineStr">
        <is>
          <t>North</t>
        </is>
      </c>
      <c r="H643" s="12" t="inlineStr">
        <is>
          <t>Delhi</t>
        </is>
      </c>
      <c r="I643" s="12" t="inlineStr">
        <is>
          <t>New Delhi</t>
        </is>
      </c>
      <c r="J643" s="12" t="inlineStr">
        <is>
          <t>Furniture</t>
        </is>
      </c>
      <c r="K643" s="12" t="inlineStr">
        <is>
          <t>Furnishings</t>
        </is>
      </c>
      <c r="L643" s="12" t="inlineStr">
        <is>
          <t>Smart Furnishings 783</t>
        </is>
      </c>
      <c r="M643" s="12" t="inlineStr">
        <is>
          <t>Same Day</t>
        </is>
      </c>
      <c r="N643" s="12" t="n">
        <v>2</v>
      </c>
      <c r="O643" s="12" t="n">
        <v>3202.87</v>
      </c>
      <c r="P643" s="12" t="n">
        <v>0</v>
      </c>
      <c r="Q643" s="12" t="n">
        <v>6405.74</v>
      </c>
      <c r="R643" s="12" t="n">
        <v>3561.87</v>
      </c>
      <c r="S643" s="12" t="n">
        <v>2843.87</v>
      </c>
      <c r="T643" s="12" t="inlineStr">
        <is>
          <t>Paid</t>
        </is>
      </c>
      <c r="U643" s="12" t="inlineStr">
        <is>
          <t>Completed</t>
        </is>
      </c>
      <c r="V643">
        <f>IF(OR(P643="",P643&lt;0,P643&gt;0.5),0,P643)</f>
        <v/>
      </c>
      <c r="W643">
        <f>N643*O643*(1-V643)</f>
        <v/>
      </c>
      <c r="X643">
        <f>W643-R643</f>
        <v/>
      </c>
      <c r="Y643">
        <f>IF(W643=0,0,X643/W643)</f>
        <v/>
      </c>
      <c r="Z643">
        <f>C643-B643</f>
        <v/>
      </c>
      <c r="AA643">
        <f>TEXT(B643,"mmmm")</f>
        <v/>
      </c>
      <c r="AB643">
        <f>YEAR(B643)</f>
        <v/>
      </c>
      <c r="AC643">
        <f>IF(OR(P643&lt;0,P643&gt;0.5,C643&lt;B643),"INVALID","CLEAN")</f>
        <v/>
      </c>
    </row>
    <row r="644">
      <c r="A644" s="12" t="inlineStr">
        <is>
          <t>ORD-2024-10643</t>
        </is>
      </c>
      <c r="B644" s="12" t="inlineStr">
        <is>
          <t>08/29/2024</t>
        </is>
      </c>
      <c r="C644" s="12" t="inlineStr">
        <is>
          <t>08/31/2024</t>
        </is>
      </c>
      <c r="D644" s="12" t="inlineStr">
        <is>
          <t>CUST-1940</t>
        </is>
      </c>
      <c r="E644" s="12" t="inlineStr">
        <is>
          <t>Isha Nair</t>
        </is>
      </c>
      <c r="F644" s="12" t="inlineStr">
        <is>
          <t>Home Office</t>
        </is>
      </c>
      <c r="G644" s="12" t="inlineStr">
        <is>
          <t>East</t>
        </is>
      </c>
      <c r="H644" s="12" t="inlineStr">
        <is>
          <t>Assam</t>
        </is>
      </c>
      <c r="I644" s="12" t="inlineStr">
        <is>
          <t>Guwahati</t>
        </is>
      </c>
      <c r="J644" s="12" t="inlineStr">
        <is>
          <t>Office Supplies</t>
        </is>
      </c>
      <c r="K644" s="12" t="inlineStr">
        <is>
          <t>binders</t>
        </is>
      </c>
      <c r="L644" s="12" t="inlineStr">
        <is>
          <t>Prime Binders 287</t>
        </is>
      </c>
      <c r="M644" s="12" t="inlineStr">
        <is>
          <t>Second Class</t>
        </is>
      </c>
      <c r="N644" s="12" t="n">
        <v>9</v>
      </c>
      <c r="O644" s="12" t="n">
        <v>1275.21</v>
      </c>
      <c r="P644" s="12" t="n">
        <v>0.25</v>
      </c>
      <c r="Q644" s="12" t="n">
        <v>8607.67</v>
      </c>
      <c r="R644" s="12" t="n">
        <v>5337.64</v>
      </c>
      <c r="S644" s="12" t="n">
        <v>3270.03</v>
      </c>
      <c r="T644" s="12" t="inlineStr">
        <is>
          <t>Failed</t>
        </is>
      </c>
      <c r="U644" s="12" t="inlineStr">
        <is>
          <t>Returned</t>
        </is>
      </c>
      <c r="V644">
        <f>IF(OR(P644="",P644&lt;0,P644&gt;0.5),0,P644)</f>
        <v/>
      </c>
      <c r="W644">
        <f>N644*O644*(1-V644)</f>
        <v/>
      </c>
      <c r="X644">
        <f>W644-R644</f>
        <v/>
      </c>
      <c r="Y644">
        <f>IF(W644=0,0,X644/W644)</f>
        <v/>
      </c>
      <c r="Z644">
        <f>C644-B644</f>
        <v/>
      </c>
      <c r="AA644">
        <f>TEXT(B644,"mmmm")</f>
        <v/>
      </c>
      <c r="AB644">
        <f>YEAR(B644)</f>
        <v/>
      </c>
      <c r="AC644">
        <f>IF(OR(P644&lt;0,P644&gt;0.5,C644&lt;B644),"INVALID","CLEAN")</f>
        <v/>
      </c>
    </row>
    <row r="645">
      <c r="A645" s="12" t="inlineStr">
        <is>
          <t>ORD-2024-10644</t>
        </is>
      </c>
      <c r="B645" s="12" t="inlineStr">
        <is>
          <t>05-02-2024</t>
        </is>
      </c>
      <c r="C645" s="12" t="inlineStr">
        <is>
          <t>2024-02-13</t>
        </is>
      </c>
      <c r="D645" s="12" t="inlineStr">
        <is>
          <t>CUST-1986</t>
        </is>
      </c>
      <c r="E645" s="12" t="inlineStr">
        <is>
          <t>Aarav Sharma</t>
        </is>
      </c>
      <c r="F645" s="12" t="inlineStr">
        <is>
          <t>Home Office</t>
        </is>
      </c>
      <c r="G645" s="12" t="inlineStr">
        <is>
          <t>North</t>
        </is>
      </c>
      <c r="H645" s="12" t="inlineStr">
        <is>
          <t>Uttar Pradesh</t>
        </is>
      </c>
      <c r="I645" s="12" t="inlineStr">
        <is>
          <t>Noida</t>
        </is>
      </c>
      <c r="J645" s="12" t="inlineStr">
        <is>
          <t>Office Supplies</t>
        </is>
      </c>
      <c r="K645" s="12" t="inlineStr">
        <is>
          <t>Labels</t>
        </is>
      </c>
      <c r="L645" s="12" t="inlineStr">
        <is>
          <t>Elite Labels 654</t>
        </is>
      </c>
      <c r="M645" s="12" t="inlineStr">
        <is>
          <t>Standard Class</t>
        </is>
      </c>
      <c r="N645" s="12" t="n">
        <v>8</v>
      </c>
      <c r="O645" s="12" t="n">
        <v>3871.18</v>
      </c>
      <c r="P645" s="12" t="n">
        <v>0.15</v>
      </c>
      <c r="Q645" s="12" t="n">
        <v>26324.02</v>
      </c>
      <c r="R645" s="12" t="n">
        <v>16277.96</v>
      </c>
      <c r="S645" s="12" t="n">
        <v>10046.06</v>
      </c>
      <c r="T645" s="12" t="inlineStr">
        <is>
          <t>Failed</t>
        </is>
      </c>
      <c r="U645" s="12" t="inlineStr">
        <is>
          <t>Returned</t>
        </is>
      </c>
      <c r="V645">
        <f>IF(OR(P645="",P645&lt;0,P645&gt;0.5),0,P645)</f>
        <v/>
      </c>
      <c r="W645">
        <f>N645*O645*(1-V645)</f>
        <v/>
      </c>
      <c r="X645">
        <f>W645-R645</f>
        <v/>
      </c>
      <c r="Y645">
        <f>IF(W645=0,0,X645/W645)</f>
        <v/>
      </c>
      <c r="Z645">
        <f>C645-B645</f>
        <v/>
      </c>
      <c r="AA645">
        <f>TEXT(B645,"mmmm")</f>
        <v/>
      </c>
      <c r="AB645">
        <f>YEAR(B645)</f>
        <v/>
      </c>
      <c r="AC645">
        <f>IF(OR(P645&lt;0,P645&gt;0.5,C645&lt;B645),"INVALID","CLEAN")</f>
        <v/>
      </c>
    </row>
    <row r="646">
      <c r="A646" s="12" t="inlineStr">
        <is>
          <t>ORD-2025-10645</t>
        </is>
      </c>
      <c r="B646" s="12" t="inlineStr">
        <is>
          <t>2025-04-10</t>
        </is>
      </c>
      <c r="C646" s="12" t="inlineStr">
        <is>
          <t>04/17/2025</t>
        </is>
      </c>
      <c r="D646" s="12" t="inlineStr">
        <is>
          <t>CUST-5549</t>
        </is>
      </c>
      <c r="E646" s="12" t="inlineStr">
        <is>
          <t>Vikram Iyer</t>
        </is>
      </c>
      <c r="F646" s="12" t="inlineStr">
        <is>
          <t>Consumer</t>
        </is>
      </c>
      <c r="G646" s="12" t="inlineStr">
        <is>
          <t>East</t>
        </is>
      </c>
      <c r="H646" s="12" t="inlineStr">
        <is>
          <t>West Bengal</t>
        </is>
      </c>
      <c r="I646" s="12" t="inlineStr">
        <is>
          <t>Kolkata</t>
        </is>
      </c>
      <c r="J646" s="12" t="inlineStr">
        <is>
          <t>Furniture</t>
        </is>
      </c>
      <c r="K646" s="12" t="inlineStr">
        <is>
          <t>Chairs</t>
        </is>
      </c>
      <c r="L646" s="12" t="inlineStr">
        <is>
          <t>Pro Chairs 812</t>
        </is>
      </c>
      <c r="M646" s="12" t="inlineStr">
        <is>
          <t>Standard Class</t>
        </is>
      </c>
      <c r="N646" s="12" t="n">
        <v>4</v>
      </c>
      <c r="O646" s="12" t="n">
        <v>3750.02</v>
      </c>
      <c r="P646" s="12" t="n">
        <v>0.05</v>
      </c>
      <c r="Q646" s="12" t="n">
        <v>14250.08</v>
      </c>
      <c r="R646" s="12" t="n">
        <v>10914.92</v>
      </c>
      <c r="S646" s="12" t="n">
        <v>3335.16</v>
      </c>
      <c r="T646" s="12" t="inlineStr">
        <is>
          <t>Paid</t>
        </is>
      </c>
      <c r="U646" s="12" t="inlineStr">
        <is>
          <t>Completed</t>
        </is>
      </c>
      <c r="V646">
        <f>IF(OR(P646="",P646&lt;0,P646&gt;0.5),0,P646)</f>
        <v/>
      </c>
      <c r="W646">
        <f>N646*O646*(1-V646)</f>
        <v/>
      </c>
      <c r="X646">
        <f>W646-R646</f>
        <v/>
      </c>
      <c r="Y646">
        <f>IF(W646=0,0,X646/W646)</f>
        <v/>
      </c>
      <c r="Z646">
        <f>C646-B646</f>
        <v/>
      </c>
      <c r="AA646">
        <f>TEXT(B646,"mmmm")</f>
        <v/>
      </c>
      <c r="AB646">
        <f>YEAR(B646)</f>
        <v/>
      </c>
      <c r="AC646">
        <f>IF(OR(P646&lt;0,P646&gt;0.5,C646&lt;B646),"INVALID","CLEAN")</f>
        <v/>
      </c>
    </row>
    <row r="647">
      <c r="A647" s="12" t="inlineStr">
        <is>
          <t>ORD-2024-10646</t>
        </is>
      </c>
      <c r="B647" s="12" t="inlineStr">
        <is>
          <t>2024-01-04</t>
        </is>
      </c>
      <c r="C647" s="12" t="inlineStr">
        <is>
          <t>09-01-2024</t>
        </is>
      </c>
      <c r="D647" s="12" t="inlineStr">
        <is>
          <t>CUST-2314</t>
        </is>
      </c>
      <c r="E647" s="12" t="inlineStr">
        <is>
          <t>Kabir Singh</t>
        </is>
      </c>
      <c r="F647" s="12" t="inlineStr">
        <is>
          <t>Consumer</t>
        </is>
      </c>
      <c r="G647" s="12" t="inlineStr">
        <is>
          <t>East</t>
        </is>
      </c>
      <c r="H647" s="12" t="inlineStr">
        <is>
          <t>Bihar</t>
        </is>
      </c>
      <c r="I647" s="12" t="inlineStr">
        <is>
          <t>Patna</t>
        </is>
      </c>
      <c r="J647" s="12" t="inlineStr">
        <is>
          <t>Furniture</t>
        </is>
      </c>
      <c r="K647" s="12" t="inlineStr">
        <is>
          <t>Chairs</t>
        </is>
      </c>
      <c r="L647" s="12" t="inlineStr">
        <is>
          <t>Basic Chairs 480</t>
        </is>
      </c>
      <c r="M647" s="12" t="inlineStr">
        <is>
          <t>Second Class</t>
        </is>
      </c>
      <c r="N647" s="12" t="n">
        <v>6</v>
      </c>
      <c r="O647" s="12" t="n">
        <v>2423.61</v>
      </c>
      <c r="P647" s="12" t="n">
        <v>0.1</v>
      </c>
      <c r="Q647" s="12" t="n">
        <v>13087.49</v>
      </c>
      <c r="R647" s="12" t="n">
        <v>7608.89</v>
      </c>
      <c r="S647" s="12" t="n">
        <v>5133.22</v>
      </c>
      <c r="T647" s="12" t="inlineStr">
        <is>
          <t>Paid</t>
        </is>
      </c>
      <c r="U647" s="12" t="inlineStr">
        <is>
          <t>Completed</t>
        </is>
      </c>
      <c r="V647">
        <f>IF(OR(P647="",P647&lt;0,P647&gt;0.5),0,P647)</f>
        <v/>
      </c>
      <c r="W647">
        <f>N647*O647*(1-V647)</f>
        <v/>
      </c>
      <c r="X647">
        <f>W647-R647</f>
        <v/>
      </c>
      <c r="Y647">
        <f>IF(W647=0,0,X647/W647)</f>
        <v/>
      </c>
      <c r="Z647">
        <f>C647-B647</f>
        <v/>
      </c>
      <c r="AA647">
        <f>TEXT(B647,"mmmm")</f>
        <v/>
      </c>
      <c r="AB647">
        <f>YEAR(B647)</f>
        <v/>
      </c>
      <c r="AC647">
        <f>IF(OR(P647&lt;0,P647&gt;0.5,C647&lt;B647),"INVALID","CLEAN")</f>
        <v/>
      </c>
    </row>
    <row r="648">
      <c r="A648" s="12" t="inlineStr">
        <is>
          <t>ORD-2024-10647</t>
        </is>
      </c>
      <c r="B648" s="12" t="inlineStr">
        <is>
          <t>09/18/2024</t>
        </is>
      </c>
      <c r="C648" s="12" t="inlineStr">
        <is>
          <t>24-09-2024</t>
        </is>
      </c>
      <c r="D648" s="12" t="inlineStr">
        <is>
          <t>CUST-6360</t>
        </is>
      </c>
      <c r="E648" s="12" t="inlineStr">
        <is>
          <t>Vikram Iyer</t>
        </is>
      </c>
      <c r="F648" s="12" t="inlineStr">
        <is>
          <t>Small Business</t>
        </is>
      </c>
      <c r="G648" s="12" t="inlineStr">
        <is>
          <t>East</t>
        </is>
      </c>
      <c r="H648" s="12" t="inlineStr">
        <is>
          <t>Jharkhand</t>
        </is>
      </c>
      <c r="I648" s="12" t="inlineStr">
        <is>
          <t>Ranchi</t>
        </is>
      </c>
      <c r="J648" s="12" t="inlineStr">
        <is>
          <t>Technology</t>
        </is>
      </c>
      <c r="K648" s="12" t="inlineStr">
        <is>
          <t>Machines</t>
        </is>
      </c>
      <c r="L648" s="12" t="inlineStr">
        <is>
          <t>Elite Machines 955</t>
        </is>
      </c>
      <c r="M648" s="12" t="inlineStr">
        <is>
          <t>First Class</t>
        </is>
      </c>
      <c r="N648" s="12" t="n">
        <v>3</v>
      </c>
      <c r="O648" s="12" t="n">
        <v>729.14</v>
      </c>
      <c r="P648" s="12" t="n">
        <v>0.25</v>
      </c>
      <c r="Q648" s="12" t="n">
        <v>1640.57</v>
      </c>
      <c r="R648" s="12" t="n">
        <v>1136.98</v>
      </c>
      <c r="S648" s="12" t="n">
        <v>503.59</v>
      </c>
      <c r="T648" s="12" t="inlineStr">
        <is>
          <t>Paid</t>
        </is>
      </c>
      <c r="U648" s="12" t="inlineStr">
        <is>
          <t>Completed</t>
        </is>
      </c>
      <c r="V648">
        <f>IF(OR(P648="",P648&lt;0,P648&gt;0.5),0,P648)</f>
        <v/>
      </c>
      <c r="W648">
        <f>N648*O648*(1-V648)</f>
        <v/>
      </c>
      <c r="X648">
        <f>W648-R648</f>
        <v/>
      </c>
      <c r="Y648">
        <f>IF(W648=0,0,X648/W648)</f>
        <v/>
      </c>
      <c r="Z648">
        <f>C648-B648</f>
        <v/>
      </c>
      <c r="AA648">
        <f>TEXT(B648,"mmmm")</f>
        <v/>
      </c>
      <c r="AB648">
        <f>YEAR(B648)</f>
        <v/>
      </c>
      <c r="AC648">
        <f>IF(OR(P648&lt;0,P648&gt;0.5,C648&lt;B648),"INVALID","CLEAN")</f>
        <v/>
      </c>
    </row>
    <row r="649">
      <c r="A649" s="12" t="inlineStr">
        <is>
          <t>ORD-2025-10648</t>
        </is>
      </c>
      <c r="B649" s="12" t="inlineStr">
        <is>
          <t>01/01/2025</t>
        </is>
      </c>
      <c r="C649" s="12" t="inlineStr">
        <is>
          <t>09-01-2025</t>
        </is>
      </c>
      <c r="D649" s="12" t="inlineStr">
        <is>
          <t>CUST-9942</t>
        </is>
      </c>
      <c r="E649" s="12" t="inlineStr">
        <is>
          <t>Rohan  Mehta</t>
        </is>
      </c>
      <c r="F649" s="12" t="inlineStr">
        <is>
          <t>Small Business</t>
        </is>
      </c>
      <c r="G649" s="12" t="inlineStr">
        <is>
          <t>North</t>
        </is>
      </c>
      <c r="H649" s="12" t="inlineStr">
        <is>
          <t>Punjab</t>
        </is>
      </c>
      <c r="I649" s="12" t="inlineStr">
        <is>
          <t>Ludhiana</t>
        </is>
      </c>
      <c r="J649" s="12" t="inlineStr">
        <is>
          <t>Office Supplies</t>
        </is>
      </c>
      <c r="K649" s="12" t="inlineStr">
        <is>
          <t>Art</t>
        </is>
      </c>
      <c r="L649" s="12" t="inlineStr">
        <is>
          <t>Prime Art 461</t>
        </is>
      </c>
      <c r="M649" s="12" t="inlineStr">
        <is>
          <t>First Class</t>
        </is>
      </c>
      <c r="N649" s="12" t="n">
        <v>8</v>
      </c>
      <c r="O649" s="12" t="n">
        <v>2123.81</v>
      </c>
      <c r="P649" s="12" t="n">
        <v>0.15</v>
      </c>
      <c r="Q649" s="12" t="n">
        <v>14441.91</v>
      </c>
      <c r="R649" s="12" t="n">
        <v>10872.89</v>
      </c>
      <c r="S649" s="12" t="n">
        <v>3569.02</v>
      </c>
      <c r="T649" s="12" t="inlineStr">
        <is>
          <t>Paid</t>
        </is>
      </c>
      <c r="U649" s="12" t="inlineStr">
        <is>
          <t>Completed</t>
        </is>
      </c>
      <c r="V649">
        <f>IF(OR(P649="",P649&lt;0,P649&gt;0.5),0,P649)</f>
        <v/>
      </c>
      <c r="W649">
        <f>N649*O649*(1-V649)</f>
        <v/>
      </c>
      <c r="X649">
        <f>W649-R649</f>
        <v/>
      </c>
      <c r="Y649">
        <f>IF(W649=0,0,X649/W649)</f>
        <v/>
      </c>
      <c r="Z649">
        <f>C649-B649</f>
        <v/>
      </c>
      <c r="AA649">
        <f>TEXT(B649,"mmmm")</f>
        <v/>
      </c>
      <c r="AB649">
        <f>YEAR(B649)</f>
        <v/>
      </c>
      <c r="AC649">
        <f>IF(OR(P649&lt;0,P649&gt;0.5,C649&lt;B649),"INVALID","CLEAN")</f>
        <v/>
      </c>
    </row>
    <row r="650">
      <c r="A650" s="12" t="inlineStr">
        <is>
          <t>ORD-2024-10649</t>
        </is>
      </c>
      <c r="B650" s="12" t="inlineStr">
        <is>
          <t>21-04-2024</t>
        </is>
      </c>
      <c r="C650" s="12" t="inlineStr">
        <is>
          <t>24 Apr 2024</t>
        </is>
      </c>
      <c r="D650" s="12" t="inlineStr">
        <is>
          <t>CUST-1808</t>
        </is>
      </c>
      <c r="E650" s="12" t="inlineStr">
        <is>
          <t>Neha Gupta</t>
        </is>
      </c>
      <c r="F650" s="12" t="inlineStr">
        <is>
          <t>Small Business</t>
        </is>
      </c>
      <c r="G650" s="12" t="inlineStr">
        <is>
          <t>South</t>
        </is>
      </c>
      <c r="H650" s="12" t="inlineStr">
        <is>
          <t>Andhra Pradesh</t>
        </is>
      </c>
      <c r="I650" s="12" t="inlineStr">
        <is>
          <t>Vijayawada</t>
        </is>
      </c>
      <c r="J650" s="12" t="inlineStr">
        <is>
          <t>Office Supplies</t>
        </is>
      </c>
      <c r="K650" s="12" t="inlineStr">
        <is>
          <t>Art</t>
        </is>
      </c>
      <c r="L650" s="12" t="inlineStr">
        <is>
          <t>Prime Art 301</t>
        </is>
      </c>
      <c r="M650" s="12" t="inlineStr">
        <is>
          <t>Same Day</t>
        </is>
      </c>
      <c r="N650" s="12" t="n">
        <v>9</v>
      </c>
      <c r="O650" s="12" t="n">
        <v>703.59</v>
      </c>
      <c r="P650" s="12" t="n">
        <v>0.2</v>
      </c>
      <c r="Q650" s="12" t="n">
        <v>5065.85</v>
      </c>
      <c r="R650" s="12" t="n">
        <v>3517.23</v>
      </c>
      <c r="S650" s="12" t="n">
        <v>1548.62</v>
      </c>
      <c r="T650" s="12" t="inlineStr">
        <is>
          <t>Failed</t>
        </is>
      </c>
      <c r="U650" s="12" t="inlineStr">
        <is>
          <t>Returned</t>
        </is>
      </c>
      <c r="V650">
        <f>IF(OR(P650="",P650&lt;0,P650&gt;0.5),0,P650)</f>
        <v/>
      </c>
      <c r="W650">
        <f>N650*O650*(1-V650)</f>
        <v/>
      </c>
      <c r="X650">
        <f>W650-R650</f>
        <v/>
      </c>
      <c r="Y650">
        <f>IF(W650=0,0,X650/W650)</f>
        <v/>
      </c>
      <c r="Z650">
        <f>C650-B650</f>
        <v/>
      </c>
      <c r="AA650">
        <f>TEXT(B650,"mmmm")</f>
        <v/>
      </c>
      <c r="AB650">
        <f>YEAR(B650)</f>
        <v/>
      </c>
      <c r="AC650">
        <f>IF(OR(P650&lt;0,P650&gt;0.5,C650&lt;B650),"INVALID","CLEAN")</f>
        <v/>
      </c>
    </row>
    <row r="651">
      <c r="A651" s="12" t="inlineStr">
        <is>
          <t>ORD-2025-10650</t>
        </is>
      </c>
      <c r="B651" s="12" t="inlineStr">
        <is>
          <t>11 Aug 2025</t>
        </is>
      </c>
      <c r="C651" s="12" t="inlineStr">
        <is>
          <t>19-08-2025</t>
        </is>
      </c>
      <c r="D651" s="12" t="inlineStr">
        <is>
          <t>CUST-7277</t>
        </is>
      </c>
      <c r="E651" s="12" t="inlineStr">
        <is>
          <t>Kabir Singh</t>
        </is>
      </c>
      <c r="F651" s="12" t="inlineStr">
        <is>
          <t>Small Business</t>
        </is>
      </c>
      <c r="G651" s="12" t="inlineStr">
        <is>
          <t>South</t>
        </is>
      </c>
      <c r="H651" s="12" t="inlineStr">
        <is>
          <t>Kerala</t>
        </is>
      </c>
      <c r="I651" s="12" t="inlineStr">
        <is>
          <t>Kochi</t>
        </is>
      </c>
      <c r="J651" s="12" t="inlineStr">
        <is>
          <t>Technology</t>
        </is>
      </c>
      <c r="K651" s="12" t="inlineStr">
        <is>
          <t>Accessories</t>
        </is>
      </c>
      <c r="L651" s="12" t="inlineStr">
        <is>
          <t>Classic Accessories 354</t>
        </is>
      </c>
      <c r="M651" s="12" t="inlineStr">
        <is>
          <t>Standard Class</t>
        </is>
      </c>
      <c r="N651" s="12" t="n">
        <v>4</v>
      </c>
      <c r="O651" s="12" t="n">
        <v>2258.96</v>
      </c>
      <c r="P651" s="12" t="n">
        <v>0.25</v>
      </c>
      <c r="Q651" s="12" t="n">
        <v>6776.88</v>
      </c>
      <c r="R651" s="12" t="n">
        <v>3836.24</v>
      </c>
      <c r="S651" s="12" t="n">
        <v>2940.64</v>
      </c>
      <c r="T651" s="12" t="inlineStr">
        <is>
          <t>Paid</t>
        </is>
      </c>
      <c r="U651" s="12" t="inlineStr">
        <is>
          <t>Completed</t>
        </is>
      </c>
      <c r="V651">
        <f>IF(OR(P651="",P651&lt;0,P651&gt;0.5),0,P651)</f>
        <v/>
      </c>
      <c r="W651">
        <f>N651*O651*(1-V651)</f>
        <v/>
      </c>
      <c r="X651">
        <f>W651-R651</f>
        <v/>
      </c>
      <c r="Y651">
        <f>IF(W651=0,0,X651/W651)</f>
        <v/>
      </c>
      <c r="Z651">
        <f>C651-B651</f>
        <v/>
      </c>
      <c r="AA651">
        <f>TEXT(B651,"mmmm")</f>
        <v/>
      </c>
      <c r="AB651">
        <f>YEAR(B651)</f>
        <v/>
      </c>
      <c r="AC651">
        <f>IF(OR(P651&lt;0,P651&gt;0.5,C651&lt;B651),"INVALID","CLEAN")</f>
        <v/>
      </c>
    </row>
    <row r="652">
      <c r="A652" s="12" t="inlineStr">
        <is>
          <t>ORD-2024-10651</t>
        </is>
      </c>
      <c r="B652" s="12" t="inlineStr">
        <is>
          <t>04/13/2024</t>
        </is>
      </c>
      <c r="C652" s="12" t="inlineStr">
        <is>
          <t>21 Apr 2024</t>
        </is>
      </c>
      <c r="D652" s="12" t="inlineStr">
        <is>
          <t>CUST-7744</t>
        </is>
      </c>
      <c r="E652" s="12" t="inlineStr">
        <is>
          <t>Aarav Sharma</t>
        </is>
      </c>
      <c r="F652" s="12" t="inlineStr">
        <is>
          <t>Home Office</t>
        </is>
      </c>
      <c r="G652" s="12" t="inlineStr">
        <is>
          <t>East</t>
        </is>
      </c>
      <c r="H652" s="12" t="inlineStr">
        <is>
          <t>Bihar</t>
        </is>
      </c>
      <c r="I652" s="12" t="inlineStr">
        <is>
          <t>Patna</t>
        </is>
      </c>
      <c r="J652" s="12" t="inlineStr">
        <is>
          <t>Technology</t>
        </is>
      </c>
      <c r="K652" s="12" t="inlineStr">
        <is>
          <t>Accessories</t>
        </is>
      </c>
      <c r="L652" s="12" t="inlineStr">
        <is>
          <t>Basic Accessories 210</t>
        </is>
      </c>
      <c r="M652" s="12" t="inlineStr">
        <is>
          <t>Same Day</t>
        </is>
      </c>
      <c r="N652" s="12" t="n">
        <v>7</v>
      </c>
      <c r="O652" s="12" t="n">
        <v>2648.76</v>
      </c>
      <c r="P652" s="12" t="n">
        <v>0.15</v>
      </c>
      <c r="Q652" s="12" t="n">
        <v>15760.12</v>
      </c>
      <c r="R652" s="12" t="n">
        <v>9931.530000000001</v>
      </c>
      <c r="S652" s="12" t="n">
        <v>5828.59</v>
      </c>
      <c r="T652" s="12" t="inlineStr">
        <is>
          <t>Failed</t>
        </is>
      </c>
      <c r="U652" s="12" t="inlineStr">
        <is>
          <t>Returned</t>
        </is>
      </c>
      <c r="V652">
        <f>IF(OR(P652="",P652&lt;0,P652&gt;0.5),0,P652)</f>
        <v/>
      </c>
      <c r="W652">
        <f>N652*O652*(1-V652)</f>
        <v/>
      </c>
      <c r="X652">
        <f>W652-R652</f>
        <v/>
      </c>
      <c r="Y652">
        <f>IF(W652=0,0,X652/W652)</f>
        <v/>
      </c>
      <c r="Z652">
        <f>C652-B652</f>
        <v/>
      </c>
      <c r="AA652">
        <f>TEXT(B652,"mmmm")</f>
        <v/>
      </c>
      <c r="AB652">
        <f>YEAR(B652)</f>
        <v/>
      </c>
      <c r="AC652">
        <f>IF(OR(P652&lt;0,P652&gt;0.5,C652&lt;B652),"INVALID","CLEAN")</f>
        <v/>
      </c>
    </row>
    <row r="653">
      <c r="A653" s="12" t="inlineStr">
        <is>
          <t>ORD-2025-10652</t>
        </is>
      </c>
      <c r="B653" s="12" t="inlineStr">
        <is>
          <t>06 Aug 2025</t>
        </is>
      </c>
      <c r="C653" s="12" t="inlineStr">
        <is>
          <t>09-08-2025</t>
        </is>
      </c>
      <c r="D653" s="12" t="inlineStr">
        <is>
          <t>CUST-2660</t>
        </is>
      </c>
      <c r="E653" s="12" t="inlineStr">
        <is>
          <t>Mira Das</t>
        </is>
      </c>
      <c r="F653" s="12" t="inlineStr">
        <is>
          <t>Small Business</t>
        </is>
      </c>
      <c r="G653" s="12" t="inlineStr">
        <is>
          <t>South</t>
        </is>
      </c>
      <c r="H653" s="12" t="inlineStr">
        <is>
          <t>Andhra Pradesh</t>
        </is>
      </c>
      <c r="I653" s="12" t="inlineStr">
        <is>
          <t>Vijayawada</t>
        </is>
      </c>
      <c r="J653" s="12" t="inlineStr">
        <is>
          <t>Office Supplies</t>
        </is>
      </c>
      <c r="K653" s="12" t="inlineStr">
        <is>
          <t>Paper</t>
        </is>
      </c>
      <c r="L653" s="12" t="inlineStr">
        <is>
          <t>Smart Paper 364</t>
        </is>
      </c>
      <c r="M653" s="12" t="inlineStr">
        <is>
          <t>Second Class</t>
        </is>
      </c>
      <c r="N653" s="12" t="n">
        <v>3</v>
      </c>
      <c r="O653" s="12" t="n">
        <v>598.55</v>
      </c>
      <c r="P653" s="12" t="n">
        <v>0</v>
      </c>
      <c r="Q653" s="12" t="n">
        <v>1795.65</v>
      </c>
      <c r="R653" s="12" t="n">
        <v>996.72</v>
      </c>
      <c r="S653" s="12" t="n">
        <v>798.9299999999999</v>
      </c>
      <c r="T653" s="12" t="inlineStr">
        <is>
          <t>Paid</t>
        </is>
      </c>
      <c r="U653" s="12" t="inlineStr">
        <is>
          <t>Completed</t>
        </is>
      </c>
      <c r="V653">
        <f>IF(OR(P653="",P653&lt;0,P653&gt;0.5),0,P653)</f>
        <v/>
      </c>
      <c r="W653">
        <f>N653*O653*(1-V653)</f>
        <v/>
      </c>
      <c r="X653">
        <f>W653-R653</f>
        <v/>
      </c>
      <c r="Y653">
        <f>IF(W653=0,0,X653/W653)</f>
        <v/>
      </c>
      <c r="Z653">
        <f>C653-B653</f>
        <v/>
      </c>
      <c r="AA653">
        <f>TEXT(B653,"mmmm")</f>
        <v/>
      </c>
      <c r="AB653">
        <f>YEAR(B653)</f>
        <v/>
      </c>
      <c r="AC653">
        <f>IF(OR(P653&lt;0,P653&gt;0.5,C653&lt;B653),"INVALID","CLEAN")</f>
        <v/>
      </c>
    </row>
    <row r="654">
      <c r="A654" s="12" t="inlineStr">
        <is>
          <t>ORD-2025-10653</t>
        </is>
      </c>
      <c r="B654" s="12" t="inlineStr">
        <is>
          <t>03/17/2025</t>
        </is>
      </c>
      <c r="C654" s="12" t="inlineStr">
        <is>
          <t>2025-03-21</t>
        </is>
      </c>
      <c r="D654" s="12" t="inlineStr">
        <is>
          <t>CUST-8177</t>
        </is>
      </c>
      <c r="E654" s="12" t="inlineStr">
        <is>
          <t>Sneha Kapoor</t>
        </is>
      </c>
      <c r="F654" s="12" t="inlineStr">
        <is>
          <t>Consumer</t>
        </is>
      </c>
      <c r="G654" s="12" t="inlineStr">
        <is>
          <t>North</t>
        </is>
      </c>
      <c r="H654" s="12" t="inlineStr">
        <is>
          <t>Uttar Pradesh</t>
        </is>
      </c>
      <c r="I654" s="12" t="inlineStr">
        <is>
          <t>Noida</t>
        </is>
      </c>
      <c r="J654" s="12" t="inlineStr">
        <is>
          <t>Office Supplies</t>
        </is>
      </c>
      <c r="K654" s="12" t="inlineStr">
        <is>
          <t>Binders</t>
        </is>
      </c>
      <c r="L654" s="12" t="inlineStr">
        <is>
          <t>Smart Binders 999</t>
        </is>
      </c>
      <c r="M654" s="12" t="inlineStr">
        <is>
          <t>Standard Class</t>
        </is>
      </c>
      <c r="N654" s="12" t="n">
        <v>5</v>
      </c>
      <c r="O654" s="12" t="n">
        <v>4320.59</v>
      </c>
      <c r="P654" s="12" t="n">
        <v>0.15</v>
      </c>
      <c r="Q654" s="12" t="n">
        <v>18362.51</v>
      </c>
      <c r="R654" s="12" t="n">
        <v>11133.97</v>
      </c>
      <c r="S654" s="12" t="n">
        <v>7228.54</v>
      </c>
      <c r="T654" s="12" t="inlineStr">
        <is>
          <t>Paid</t>
        </is>
      </c>
      <c r="U654" s="12" t="inlineStr">
        <is>
          <t>Completed</t>
        </is>
      </c>
      <c r="V654">
        <f>IF(OR(P654="",P654&lt;0,P654&gt;0.5),0,P654)</f>
        <v/>
      </c>
      <c r="W654">
        <f>N654*O654*(1-V654)</f>
        <v/>
      </c>
      <c r="X654">
        <f>W654-R654</f>
        <v/>
      </c>
      <c r="Y654">
        <f>IF(W654=0,0,X654/W654)</f>
        <v/>
      </c>
      <c r="Z654">
        <f>C654-B654</f>
        <v/>
      </c>
      <c r="AA654">
        <f>TEXT(B654,"mmmm")</f>
        <v/>
      </c>
      <c r="AB654">
        <f>YEAR(B654)</f>
        <v/>
      </c>
      <c r="AC654">
        <f>IF(OR(P654&lt;0,P654&gt;0.5,C654&lt;B654),"INVALID","CLEAN")</f>
        <v/>
      </c>
    </row>
    <row r="655">
      <c r="A655" s="12" t="inlineStr">
        <is>
          <t>ORD-2025-10654</t>
        </is>
      </c>
      <c r="B655" s="12" t="inlineStr">
        <is>
          <t>04-04-2025</t>
        </is>
      </c>
      <c r="C655" s="12" t="inlineStr">
        <is>
          <t>04/07/2025</t>
        </is>
      </c>
      <c r="D655" s="12" t="inlineStr">
        <is>
          <t>CUST-3970</t>
        </is>
      </c>
      <c r="E655" s="12" t="inlineStr">
        <is>
          <t>Priya Menon</t>
        </is>
      </c>
      <c r="F655" s="12" t="inlineStr">
        <is>
          <t>Small Business</t>
        </is>
      </c>
      <c r="G655" s="12" t="inlineStr">
        <is>
          <t>South</t>
        </is>
      </c>
      <c r="H655" s="12" t="inlineStr">
        <is>
          <t>Tamil Nadu</t>
        </is>
      </c>
      <c r="I655" s="12" t="inlineStr">
        <is>
          <t>Chennai</t>
        </is>
      </c>
      <c r="J655" s="12" t="inlineStr">
        <is>
          <t>Technology</t>
        </is>
      </c>
      <c r="K655" s="12" t="inlineStr">
        <is>
          <t>Copiers</t>
        </is>
      </c>
      <c r="L655" s="12" t="inlineStr">
        <is>
          <t>Max Copiers 356</t>
        </is>
      </c>
      <c r="M655" s="12" t="inlineStr">
        <is>
          <t>Second Class</t>
        </is>
      </c>
      <c r="N655" s="12" t="n">
        <v>7</v>
      </c>
      <c r="O655" s="12" t="n">
        <v>4457.93</v>
      </c>
      <c r="P655" s="12" t="n">
        <v>0.15</v>
      </c>
      <c r="Q655" s="12" t="n">
        <v>26524.68</v>
      </c>
      <c r="R655" s="12" t="n">
        <v>20574.3</v>
      </c>
      <c r="S655" s="12" t="n">
        <v>5950.38</v>
      </c>
      <c r="T655" s="12" t="inlineStr">
        <is>
          <t>Paid</t>
        </is>
      </c>
      <c r="U655" s="12" t="inlineStr">
        <is>
          <t>Completed</t>
        </is>
      </c>
      <c r="V655">
        <f>IF(OR(P655="",P655&lt;0,P655&gt;0.5),0,P655)</f>
        <v/>
      </c>
      <c r="W655">
        <f>N655*O655*(1-V655)</f>
        <v/>
      </c>
      <c r="X655">
        <f>W655-R655</f>
        <v/>
      </c>
      <c r="Y655">
        <f>IF(W655=0,0,X655/W655)</f>
        <v/>
      </c>
      <c r="Z655">
        <f>C655-B655</f>
        <v/>
      </c>
      <c r="AA655">
        <f>TEXT(B655,"mmmm")</f>
        <v/>
      </c>
      <c r="AB655">
        <f>YEAR(B655)</f>
        <v/>
      </c>
      <c r="AC655">
        <f>IF(OR(P655&lt;0,P655&gt;0.5,C655&lt;B655),"INVALID","CLEAN")</f>
        <v/>
      </c>
    </row>
    <row r="656">
      <c r="A656" s="12" t="inlineStr">
        <is>
          <t>ORD-2025-10655</t>
        </is>
      </c>
      <c r="B656" s="12" t="inlineStr">
        <is>
          <t>10/12/2025</t>
        </is>
      </c>
      <c r="C656" s="12" t="inlineStr">
        <is>
          <t>16-10-2025</t>
        </is>
      </c>
      <c r="D656" s="12" t="inlineStr">
        <is>
          <t>CUST-8249</t>
        </is>
      </c>
      <c r="E656" s="12" t="inlineStr">
        <is>
          <t>Diya Patel</t>
        </is>
      </c>
      <c r="F656" s="12" t="inlineStr">
        <is>
          <t>Corporate</t>
        </is>
      </c>
      <c r="G656" s="12" t="inlineStr">
        <is>
          <t>East</t>
        </is>
      </c>
      <c r="H656" s="12" t="inlineStr">
        <is>
          <t>Bihar</t>
        </is>
      </c>
      <c r="I656" s="12" t="inlineStr">
        <is>
          <t>Patna</t>
        </is>
      </c>
      <c r="J656" s="12" t="inlineStr">
        <is>
          <t>Technology</t>
        </is>
      </c>
      <c r="K656" s="12" t="inlineStr">
        <is>
          <t>Machines</t>
        </is>
      </c>
      <c r="L656" s="12" t="inlineStr">
        <is>
          <t>Classic Machines 639</t>
        </is>
      </c>
      <c r="M656" s="12" t="inlineStr">
        <is>
          <t>Same Day</t>
        </is>
      </c>
      <c r="N656" s="12" t="n">
        <v>1</v>
      </c>
      <c r="O656" s="12" t="n">
        <v>2570.06</v>
      </c>
      <c r="P656" s="12" t="n">
        <v>0.2</v>
      </c>
      <c r="Q656" s="12" t="n">
        <v>2056.05</v>
      </c>
      <c r="R656" s="12" t="n">
        <v>1662.39</v>
      </c>
      <c r="S656" s="12" t="n">
        <v>393.66</v>
      </c>
      <c r="T656" s="12" t="inlineStr">
        <is>
          <t>Paid</t>
        </is>
      </c>
      <c r="U656" s="12" t="inlineStr">
        <is>
          <t>Completed</t>
        </is>
      </c>
      <c r="V656">
        <f>IF(OR(P656="",P656&lt;0,P656&gt;0.5),0,P656)</f>
        <v/>
      </c>
      <c r="W656">
        <f>N656*O656*(1-V656)</f>
        <v/>
      </c>
      <c r="X656">
        <f>W656-R656</f>
        <v/>
      </c>
      <c r="Y656">
        <f>IF(W656=0,0,X656/W656)</f>
        <v/>
      </c>
      <c r="Z656">
        <f>C656-B656</f>
        <v/>
      </c>
      <c r="AA656">
        <f>TEXT(B656,"mmmm")</f>
        <v/>
      </c>
      <c r="AB656">
        <f>YEAR(B656)</f>
        <v/>
      </c>
      <c r="AC656">
        <f>IF(OR(P656&lt;0,P656&gt;0.5,C656&lt;B656),"INVALID","CLEAN")</f>
        <v/>
      </c>
    </row>
    <row r="657">
      <c r="A657" s="12" t="inlineStr">
        <is>
          <t>ORD-2025-10656</t>
        </is>
      </c>
      <c r="B657" s="12" t="inlineStr">
        <is>
          <t>08/26/2025</t>
        </is>
      </c>
      <c r="C657" s="12" t="inlineStr">
        <is>
          <t>08/26/2025</t>
        </is>
      </c>
      <c r="D657" s="12" t="inlineStr">
        <is>
          <t>CUST-8039</t>
        </is>
      </c>
      <c r="E657" s="12" t="inlineStr">
        <is>
          <t>Neha Gupta</t>
        </is>
      </c>
      <c r="F657" s="12" t="inlineStr">
        <is>
          <t>Home Office</t>
        </is>
      </c>
      <c r="G657" s="12" t="inlineStr">
        <is>
          <t>East</t>
        </is>
      </c>
      <c r="H657" s="12" t="inlineStr">
        <is>
          <t>West Bengal</t>
        </is>
      </c>
      <c r="I657" s="12" t="inlineStr">
        <is>
          <t>Kolkata</t>
        </is>
      </c>
      <c r="J657" s="12" t="inlineStr">
        <is>
          <t>Furniture</t>
        </is>
      </c>
      <c r="K657" s="12" t="inlineStr">
        <is>
          <t>Furnishings</t>
        </is>
      </c>
      <c r="L657" s="12" t="inlineStr">
        <is>
          <t>Smart Furnishings 748</t>
        </is>
      </c>
      <c r="M657" s="12" t="inlineStr">
        <is>
          <t>Standard Class</t>
        </is>
      </c>
      <c r="N657" s="12" t="n">
        <v>4</v>
      </c>
      <c r="O657" s="12" t="n">
        <v>2151.82</v>
      </c>
      <c r="P657" s="12" t="n">
        <v>0</v>
      </c>
      <c r="Q657" s="12" t="n">
        <v>8607.280000000001</v>
      </c>
      <c r="R657" s="12" t="n">
        <v>5124.01</v>
      </c>
      <c r="S657" s="12" t="n">
        <v>3483.27</v>
      </c>
      <c r="T657" s="12" t="inlineStr">
        <is>
          <t>Paid</t>
        </is>
      </c>
      <c r="U657" s="12" t="inlineStr">
        <is>
          <t>Completed</t>
        </is>
      </c>
      <c r="V657">
        <f>IF(OR(P657="",P657&lt;0,P657&gt;0.5),0,P657)</f>
        <v/>
      </c>
      <c r="W657">
        <f>N657*O657*(1-V657)</f>
        <v/>
      </c>
      <c r="X657">
        <f>W657-R657</f>
        <v/>
      </c>
      <c r="Y657">
        <f>IF(W657=0,0,X657/W657)</f>
        <v/>
      </c>
      <c r="Z657">
        <f>C657-B657</f>
        <v/>
      </c>
      <c r="AA657">
        <f>TEXT(B657,"mmmm")</f>
        <v/>
      </c>
      <c r="AB657">
        <f>YEAR(B657)</f>
        <v/>
      </c>
      <c r="AC657">
        <f>IF(OR(P657&lt;0,P657&gt;0.5,C657&lt;B657),"INVALID","CLEAN")</f>
        <v/>
      </c>
    </row>
    <row r="658">
      <c r="A658" s="12" t="inlineStr">
        <is>
          <t>ORD-2024-10657</t>
        </is>
      </c>
      <c r="B658" s="12" t="inlineStr">
        <is>
          <t>07-05-2024</t>
        </is>
      </c>
      <c r="C658" s="12" t="inlineStr">
        <is>
          <t>05/14/2024</t>
        </is>
      </c>
      <c r="D658" s="12" t="inlineStr">
        <is>
          <t>CUST-4446</t>
        </is>
      </c>
      <c r="E658" s="12" t="inlineStr">
        <is>
          <t>Neha Gupta</t>
        </is>
      </c>
      <c r="F658" s="12" t="inlineStr">
        <is>
          <t>Small Business</t>
        </is>
      </c>
      <c r="G658" s="12" t="inlineStr">
        <is>
          <t>North</t>
        </is>
      </c>
      <c r="H658" s="12" t="inlineStr">
        <is>
          <t>Haryana</t>
        </is>
      </c>
      <c r="I658" s="12" t="inlineStr">
        <is>
          <t>Gurugram</t>
        </is>
      </c>
      <c r="J658" s="12" t="inlineStr">
        <is>
          <t>Technology</t>
        </is>
      </c>
      <c r="K658" s="12" t="inlineStr">
        <is>
          <t>Machines</t>
        </is>
      </c>
      <c r="L658" s="12" t="inlineStr">
        <is>
          <t>Pro Machines 589</t>
        </is>
      </c>
      <c r="M658" s="12" t="inlineStr">
        <is>
          <t>Same Day</t>
        </is>
      </c>
      <c r="N658" s="12" t="n">
        <v>4</v>
      </c>
      <c r="O658" s="12" t="n">
        <v>2751.1</v>
      </c>
      <c r="P658" s="12" t="n">
        <v>-0.05</v>
      </c>
      <c r="Q658" s="12" t="n">
        <v>9903.959999999999</v>
      </c>
      <c r="R658" s="12" t="n">
        <v>7696.28</v>
      </c>
      <c r="S658" s="12" t="n">
        <v>2207.68</v>
      </c>
      <c r="T658" s="12" t="inlineStr">
        <is>
          <t>Paid</t>
        </is>
      </c>
      <c r="U658" s="12" t="inlineStr">
        <is>
          <t>Completed</t>
        </is>
      </c>
      <c r="V658">
        <f>IF(OR(P658="",P658&lt;0,P658&gt;0.5),0,P658)</f>
        <v/>
      </c>
      <c r="W658">
        <f>N658*O658*(1-V658)</f>
        <v/>
      </c>
      <c r="X658">
        <f>W658-R658</f>
        <v/>
      </c>
      <c r="Y658">
        <f>IF(W658=0,0,X658/W658)</f>
        <v/>
      </c>
      <c r="Z658">
        <f>C658-B658</f>
        <v/>
      </c>
      <c r="AA658">
        <f>TEXT(B658,"mmmm")</f>
        <v/>
      </c>
      <c r="AB658">
        <f>YEAR(B658)</f>
        <v/>
      </c>
      <c r="AC658">
        <f>IF(OR(P658&lt;0,P658&gt;0.5,C658&lt;B658),"INVALID","CLEAN")</f>
        <v/>
      </c>
    </row>
    <row r="659">
      <c r="A659" s="12" t="inlineStr">
        <is>
          <t>ORD-2025-10658</t>
        </is>
      </c>
      <c r="B659" s="12" t="inlineStr">
        <is>
          <t>08/07/2025</t>
        </is>
      </c>
      <c r="C659" s="12" t="inlineStr">
        <is>
          <t>2025-08-10</t>
        </is>
      </c>
      <c r="D659" s="12" t="inlineStr">
        <is>
          <t>CUST-7787</t>
        </is>
      </c>
      <c r="E659" s="12" t="inlineStr">
        <is>
          <t>Aditi Sen</t>
        </is>
      </c>
      <c r="F659" s="12" t="inlineStr">
        <is>
          <t>Home Office</t>
        </is>
      </c>
      <c r="G659" s="12" t="inlineStr">
        <is>
          <t>East</t>
        </is>
      </c>
      <c r="H659" s="12" t="inlineStr">
        <is>
          <t>Bihar</t>
        </is>
      </c>
      <c r="I659" s="12" t="inlineStr">
        <is>
          <t>Patna</t>
        </is>
      </c>
      <c r="J659" s="12" t="inlineStr">
        <is>
          <t>Office Supplies</t>
        </is>
      </c>
      <c r="K659" s="12" t="inlineStr">
        <is>
          <t>Storage</t>
        </is>
      </c>
      <c r="L659" s="12" t="inlineStr">
        <is>
          <t>Eco Storage 316</t>
        </is>
      </c>
      <c r="M659" s="12" t="inlineStr">
        <is>
          <t>Second Class</t>
        </is>
      </c>
      <c r="N659" s="12" t="n">
        <v>1</v>
      </c>
      <c r="O659" s="12" t="n">
        <v>2541.25</v>
      </c>
      <c r="P659" s="12" t="n">
        <v>0.2</v>
      </c>
      <c r="Q659" s="12" t="n">
        <v>2033</v>
      </c>
      <c r="R659" s="12" t="n">
        <v>1291.41</v>
      </c>
      <c r="S659" s="12" t="n">
        <v>741.59</v>
      </c>
      <c r="T659" s="12" t="inlineStr">
        <is>
          <t>Paid</t>
        </is>
      </c>
      <c r="U659" s="12" t="inlineStr">
        <is>
          <t>Completed</t>
        </is>
      </c>
      <c r="V659">
        <f>IF(OR(P659="",P659&lt;0,P659&gt;0.5),0,P659)</f>
        <v/>
      </c>
      <c r="W659">
        <f>N659*O659*(1-V659)</f>
        <v/>
      </c>
      <c r="X659">
        <f>W659-R659</f>
        <v/>
      </c>
      <c r="Y659">
        <f>IF(W659=0,0,X659/W659)</f>
        <v/>
      </c>
      <c r="Z659">
        <f>C659-B659</f>
        <v/>
      </c>
      <c r="AA659">
        <f>TEXT(B659,"mmmm")</f>
        <v/>
      </c>
      <c r="AB659">
        <f>YEAR(B659)</f>
        <v/>
      </c>
      <c r="AC659">
        <f>IF(OR(P659&lt;0,P659&gt;0.5,C659&lt;B659),"INVALID","CLEAN")</f>
        <v/>
      </c>
    </row>
    <row r="660">
      <c r="A660" s="12" t="inlineStr">
        <is>
          <t>ORD-2025-10659</t>
        </is>
      </c>
      <c r="B660" s="12" t="inlineStr">
        <is>
          <t>2025-06-09</t>
        </is>
      </c>
      <c r="C660" s="12" t="inlineStr">
        <is>
          <t>06/12/2025</t>
        </is>
      </c>
      <c r="D660" s="12" t="inlineStr">
        <is>
          <t>CUST-9074</t>
        </is>
      </c>
      <c r="E660" s="12" t="inlineStr">
        <is>
          <t>Sneha Kapoor</t>
        </is>
      </c>
      <c r="F660" s="12" t="inlineStr">
        <is>
          <t>Consumer</t>
        </is>
      </c>
      <c r="G660" s="12" t="n"/>
      <c r="H660" s="12" t="inlineStr">
        <is>
          <t>Bihar</t>
        </is>
      </c>
      <c r="I660" s="12" t="inlineStr">
        <is>
          <t>Patna</t>
        </is>
      </c>
      <c r="J660" s="12" t="inlineStr">
        <is>
          <t>Office Supplies</t>
        </is>
      </c>
      <c r="K660" s="12" t="inlineStr">
        <is>
          <t>Art</t>
        </is>
      </c>
      <c r="L660" s="12" t="inlineStr">
        <is>
          <t>Eco Art 763</t>
        </is>
      </c>
      <c r="M660" s="12" t="inlineStr">
        <is>
          <t>First Class</t>
        </is>
      </c>
      <c r="N660" s="12" t="n">
        <v>7</v>
      </c>
      <c r="O660" s="12" t="n">
        <v>2852.42</v>
      </c>
      <c r="P660" s="12" t="n">
        <v>0</v>
      </c>
      <c r="Q660" s="12" t="n">
        <v>19966.94</v>
      </c>
      <c r="R660" s="12" t="n">
        <v>12690.83</v>
      </c>
      <c r="S660" s="12" t="n">
        <v>7276.11</v>
      </c>
      <c r="T660" s="12" t="inlineStr">
        <is>
          <t>Refunded</t>
        </is>
      </c>
      <c r="U660" s="12" t="inlineStr">
        <is>
          <t>Cancelled</t>
        </is>
      </c>
      <c r="V660">
        <f>IF(OR(P660="",P660&lt;0,P660&gt;0.5),0,P660)</f>
        <v/>
      </c>
      <c r="W660">
        <f>N660*O660*(1-V660)</f>
        <v/>
      </c>
      <c r="X660">
        <f>W660-R660</f>
        <v/>
      </c>
      <c r="Y660">
        <f>IF(W660=0,0,X660/W660)</f>
        <v/>
      </c>
      <c r="Z660">
        <f>C660-B660</f>
        <v/>
      </c>
      <c r="AA660">
        <f>TEXT(B660,"mmmm")</f>
        <v/>
      </c>
      <c r="AB660">
        <f>YEAR(B660)</f>
        <v/>
      </c>
      <c r="AC660">
        <f>IF(OR(P660&lt;0,P660&gt;0.5,C660&lt;B660),"INVALID","CLEAN")</f>
        <v/>
      </c>
    </row>
    <row r="661">
      <c r="A661" s="12" t="inlineStr">
        <is>
          <t>ORD-2025-10660</t>
        </is>
      </c>
      <c r="B661" s="12" t="inlineStr">
        <is>
          <t>21-01-2025</t>
        </is>
      </c>
      <c r="C661" s="12" t="inlineStr">
        <is>
          <t>2025-01-22</t>
        </is>
      </c>
      <c r="D661" s="12" t="inlineStr">
        <is>
          <t>CUST-8330</t>
        </is>
      </c>
      <c r="E661" s="12" t="inlineStr">
        <is>
          <t>Diya Patel</t>
        </is>
      </c>
      <c r="F661" s="12" t="inlineStr">
        <is>
          <t>Corporate</t>
        </is>
      </c>
      <c r="G661" s="12" t="inlineStr">
        <is>
          <t>South</t>
        </is>
      </c>
      <c r="H661" s="12" t="inlineStr">
        <is>
          <t>Karnataka</t>
        </is>
      </c>
      <c r="I661" s="12" t="inlineStr">
        <is>
          <t>Bengaluru</t>
        </is>
      </c>
      <c r="J661" s="12" t="inlineStr">
        <is>
          <t>Technology</t>
        </is>
      </c>
      <c r="K661" s="12" t="inlineStr">
        <is>
          <t>Phones</t>
        </is>
      </c>
      <c r="L661" s="12" t="inlineStr">
        <is>
          <t>Pro Phones 356</t>
        </is>
      </c>
      <c r="M661" s="12" t="inlineStr">
        <is>
          <t>Second Class</t>
        </is>
      </c>
      <c r="N661" s="12" t="n">
        <v>2</v>
      </c>
      <c r="O661" s="12" t="n">
        <v>444.31</v>
      </c>
      <c r="P661" s="12" t="n">
        <v>0.2</v>
      </c>
      <c r="Q661" s="12" t="n">
        <v>710.9</v>
      </c>
      <c r="R661" s="12" t="n">
        <v>513.88</v>
      </c>
      <c r="S661" s="12" t="n">
        <v>197.02</v>
      </c>
      <c r="T661" s="12" t="inlineStr">
        <is>
          <t>Refunded</t>
        </is>
      </c>
      <c r="U661" s="12" t="inlineStr">
        <is>
          <t>Cancelled</t>
        </is>
      </c>
      <c r="V661">
        <f>IF(OR(P661="",P661&lt;0,P661&gt;0.5),0,P661)</f>
        <v/>
      </c>
      <c r="W661">
        <f>N661*O661*(1-V661)</f>
        <v/>
      </c>
      <c r="X661">
        <f>W661-R661</f>
        <v/>
      </c>
      <c r="Y661">
        <f>IF(W661=0,0,X661/W661)</f>
        <v/>
      </c>
      <c r="Z661">
        <f>C661-B661</f>
        <v/>
      </c>
      <c r="AA661">
        <f>TEXT(B661,"mmmm")</f>
        <v/>
      </c>
      <c r="AB661">
        <f>YEAR(B661)</f>
        <v/>
      </c>
      <c r="AC661">
        <f>IF(OR(P661&lt;0,P661&gt;0.5,C661&lt;B661),"INVALID","CLEAN")</f>
        <v/>
      </c>
    </row>
    <row r="662">
      <c r="A662" s="12" t="inlineStr">
        <is>
          <t>ORD-2025-10661</t>
        </is>
      </c>
      <c r="B662" s="12" t="inlineStr">
        <is>
          <t>07/15/2025</t>
        </is>
      </c>
      <c r="C662" s="12" t="inlineStr">
        <is>
          <t>15-07-2025</t>
        </is>
      </c>
      <c r="D662" s="12" t="inlineStr">
        <is>
          <t>CUST-5638</t>
        </is>
      </c>
      <c r="E662" s="12" t="inlineStr">
        <is>
          <t>Arjun Bose</t>
        </is>
      </c>
      <c r="F662" s="12" t="inlineStr">
        <is>
          <t>Small Business</t>
        </is>
      </c>
      <c r="G662" s="12" t="inlineStr">
        <is>
          <t>East</t>
        </is>
      </c>
      <c r="H662" s="12" t="inlineStr">
        <is>
          <t>Jharkhand</t>
        </is>
      </c>
      <c r="I662" s="12" t="inlineStr">
        <is>
          <t>Ranchi</t>
        </is>
      </c>
      <c r="J662" s="12" t="inlineStr">
        <is>
          <t>Technology</t>
        </is>
      </c>
      <c r="K662" s="12" t="inlineStr">
        <is>
          <t>Phones</t>
        </is>
      </c>
      <c r="L662" s="12" t="inlineStr">
        <is>
          <t>Basic Phones 865</t>
        </is>
      </c>
      <c r="M662" s="12" t="inlineStr">
        <is>
          <t>Same Day</t>
        </is>
      </c>
      <c r="N662" s="12" t="n">
        <v>4</v>
      </c>
      <c r="O662" s="12" t="n">
        <v>4442.91</v>
      </c>
      <c r="P662" s="12" t="n">
        <v>0.1</v>
      </c>
      <c r="Q662" s="12" t="n">
        <v>15994.48</v>
      </c>
      <c r="R662" s="12" t="n">
        <v>9224.280000000001</v>
      </c>
      <c r="S662" s="12" t="n">
        <v>6770.2</v>
      </c>
      <c r="T662" s="12" t="inlineStr">
        <is>
          <t>Paid</t>
        </is>
      </c>
      <c r="U662" s="12" t="inlineStr">
        <is>
          <t>Completed</t>
        </is>
      </c>
      <c r="V662">
        <f>IF(OR(P662="",P662&lt;0,P662&gt;0.5),0,P662)</f>
        <v/>
      </c>
      <c r="W662">
        <f>N662*O662*(1-V662)</f>
        <v/>
      </c>
      <c r="X662">
        <f>W662-R662</f>
        <v/>
      </c>
      <c r="Y662">
        <f>IF(W662=0,0,X662/W662)</f>
        <v/>
      </c>
      <c r="Z662">
        <f>C662-B662</f>
        <v/>
      </c>
      <c r="AA662">
        <f>TEXT(B662,"mmmm")</f>
        <v/>
      </c>
      <c r="AB662">
        <f>YEAR(B662)</f>
        <v/>
      </c>
      <c r="AC662">
        <f>IF(OR(P662&lt;0,P662&gt;0.5,C662&lt;B662),"INVALID","CLEAN")</f>
        <v/>
      </c>
    </row>
    <row r="663">
      <c r="A663" s="12" t="inlineStr">
        <is>
          <t>ORD-2024-10662</t>
        </is>
      </c>
      <c r="B663" s="12" t="inlineStr">
        <is>
          <t>17-05-2024</t>
        </is>
      </c>
      <c r="C663" s="12" t="inlineStr">
        <is>
          <t>2024-05-22</t>
        </is>
      </c>
      <c r="D663" s="12" t="inlineStr">
        <is>
          <t>CUST-4537</t>
        </is>
      </c>
      <c r="E663" s="12" t="inlineStr">
        <is>
          <t>Sneha Kapoor</t>
        </is>
      </c>
      <c r="F663" s="12" t="inlineStr">
        <is>
          <t>Consumer</t>
        </is>
      </c>
      <c r="G663" s="12" t="inlineStr">
        <is>
          <t>South</t>
        </is>
      </c>
      <c r="H663" s="12" t="inlineStr">
        <is>
          <t>Andhra Pradesh</t>
        </is>
      </c>
      <c r="I663" s="12" t="inlineStr">
        <is>
          <t>Vijayawada</t>
        </is>
      </c>
      <c r="J663" s="12" t="inlineStr">
        <is>
          <t>Technology</t>
        </is>
      </c>
      <c r="K663" s="12" t="inlineStr">
        <is>
          <t>Machines</t>
        </is>
      </c>
      <c r="L663" s="12" t="inlineStr">
        <is>
          <t>Max Machines 595</t>
        </is>
      </c>
      <c r="M663" s="12" t="inlineStr">
        <is>
          <t>Second Class</t>
        </is>
      </c>
      <c r="N663" s="12" t="n">
        <v>7</v>
      </c>
      <c r="O663" s="12" t="n">
        <v>232.5</v>
      </c>
      <c r="P663" s="12" t="n">
        <v>0</v>
      </c>
      <c r="Q663" s="12" t="n">
        <v>1627.5</v>
      </c>
      <c r="R663" s="12" t="n">
        <v>939.9</v>
      </c>
      <c r="S663" s="12" t="n">
        <v>687.6</v>
      </c>
      <c r="T663" s="12" t="inlineStr">
        <is>
          <t>Paid</t>
        </is>
      </c>
      <c r="U663" s="12" t="inlineStr">
        <is>
          <t>Completed</t>
        </is>
      </c>
      <c r="V663">
        <f>IF(OR(P663="",P663&lt;0,P663&gt;0.5),0,P663)</f>
        <v/>
      </c>
      <c r="W663">
        <f>N663*O663*(1-V663)</f>
        <v/>
      </c>
      <c r="X663">
        <f>W663-R663</f>
        <v/>
      </c>
      <c r="Y663">
        <f>IF(W663=0,0,X663/W663)</f>
        <v/>
      </c>
      <c r="Z663">
        <f>C663-B663</f>
        <v/>
      </c>
      <c r="AA663">
        <f>TEXT(B663,"mmmm")</f>
        <v/>
      </c>
      <c r="AB663">
        <f>YEAR(B663)</f>
        <v/>
      </c>
      <c r="AC663">
        <f>IF(OR(P663&lt;0,P663&gt;0.5,C663&lt;B663),"INVALID","CLEAN")</f>
        <v/>
      </c>
    </row>
    <row r="664">
      <c r="A664" s="12" t="inlineStr">
        <is>
          <t>ORD-2024-10663</t>
        </is>
      </c>
      <c r="B664" s="12" t="inlineStr">
        <is>
          <t>2024-01-14</t>
        </is>
      </c>
      <c r="C664" s="12" t="inlineStr">
        <is>
          <t>18-01-2024</t>
        </is>
      </c>
      <c r="D664" s="12" t="inlineStr">
        <is>
          <t>CUST-3181</t>
        </is>
      </c>
      <c r="E664" s="12" t="inlineStr">
        <is>
          <t>Mira Das</t>
        </is>
      </c>
      <c r="F664" s="12" t="inlineStr">
        <is>
          <t>Home Office</t>
        </is>
      </c>
      <c r="G664" s="12" t="inlineStr">
        <is>
          <t>West</t>
        </is>
      </c>
      <c r="H664" s="12" t="inlineStr">
        <is>
          <t>Rajasthan</t>
        </is>
      </c>
      <c r="I664" s="12" t="inlineStr">
        <is>
          <t>Udaipur</t>
        </is>
      </c>
      <c r="J664" s="12" t="inlineStr">
        <is>
          <t>Technology</t>
        </is>
      </c>
      <c r="K664" s="12" t="inlineStr">
        <is>
          <t>Machines</t>
        </is>
      </c>
      <c r="L664" s="12" t="inlineStr">
        <is>
          <t>Elite Machines 367</t>
        </is>
      </c>
      <c r="M664" s="12" t="inlineStr">
        <is>
          <t>Same Day</t>
        </is>
      </c>
      <c r="N664" s="12" t="n">
        <v>6</v>
      </c>
      <c r="O664" s="12" t="n">
        <v>1784.8</v>
      </c>
      <c r="P664" s="12" t="n">
        <v>0.1</v>
      </c>
      <c r="Q664" s="12" t="n">
        <v>9637.92</v>
      </c>
      <c r="R664" s="12" t="n">
        <v>7329.29</v>
      </c>
      <c r="S664" s="12" t="n">
        <v>2308.63</v>
      </c>
      <c r="T664" s="12" t="inlineStr">
        <is>
          <t>Paid</t>
        </is>
      </c>
      <c r="U664" s="12" t="inlineStr">
        <is>
          <t>Completed</t>
        </is>
      </c>
      <c r="V664">
        <f>IF(OR(P664="",P664&lt;0,P664&gt;0.5),0,P664)</f>
        <v/>
      </c>
      <c r="W664">
        <f>N664*O664*(1-V664)</f>
        <v/>
      </c>
      <c r="X664">
        <f>W664-R664</f>
        <v/>
      </c>
      <c r="Y664">
        <f>IF(W664=0,0,X664/W664)</f>
        <v/>
      </c>
      <c r="Z664">
        <f>C664-B664</f>
        <v/>
      </c>
      <c r="AA664">
        <f>TEXT(B664,"mmmm")</f>
        <v/>
      </c>
      <c r="AB664">
        <f>YEAR(B664)</f>
        <v/>
      </c>
      <c r="AC664">
        <f>IF(OR(P664&lt;0,P664&gt;0.5,C664&lt;B664),"INVALID","CLEAN")</f>
        <v/>
      </c>
    </row>
    <row r="665">
      <c r="A665" s="12" t="inlineStr">
        <is>
          <t>ORD-2024-10664</t>
        </is>
      </c>
      <c r="B665" s="12" t="inlineStr">
        <is>
          <t>05/02/2024</t>
        </is>
      </c>
      <c r="C665" s="12" t="inlineStr">
        <is>
          <t>2024-05-08</t>
        </is>
      </c>
      <c r="D665" s="12" t="inlineStr">
        <is>
          <t>CUST-1015</t>
        </is>
      </c>
      <c r="E665" s="12" t="inlineStr">
        <is>
          <t>Rahul Verma</t>
        </is>
      </c>
      <c r="F665" s="12" t="inlineStr">
        <is>
          <t>Home Office</t>
        </is>
      </c>
      <c r="G665" s="12" t="inlineStr">
        <is>
          <t>East</t>
        </is>
      </c>
      <c r="H665" s="12" t="inlineStr">
        <is>
          <t>Jharkhand</t>
        </is>
      </c>
      <c r="I665" s="12" t="inlineStr">
        <is>
          <t>Ranchi</t>
        </is>
      </c>
      <c r="J665" s="12" t="inlineStr">
        <is>
          <t>Technology</t>
        </is>
      </c>
      <c r="K665" s="12" t="inlineStr">
        <is>
          <t>Copiers</t>
        </is>
      </c>
      <c r="L665" s="12" t="inlineStr">
        <is>
          <t>Basic Copiers 787</t>
        </is>
      </c>
      <c r="M665" s="12" t="inlineStr">
        <is>
          <t>Second Class</t>
        </is>
      </c>
      <c r="N665" s="12" t="n">
        <v>2</v>
      </c>
      <c r="O665" s="12" t="n">
        <v>3185.01</v>
      </c>
      <c r="P665" s="12" t="n">
        <v>-0.24</v>
      </c>
      <c r="Q665" s="12" t="n">
        <v>4777.52</v>
      </c>
      <c r="R665" s="12" t="n">
        <v>3152.98</v>
      </c>
      <c r="S665" s="12" t="n">
        <v>1624.54</v>
      </c>
      <c r="T665" s="12" t="inlineStr">
        <is>
          <t>Paid</t>
        </is>
      </c>
      <c r="U665" s="12" t="inlineStr">
        <is>
          <t>Completed</t>
        </is>
      </c>
      <c r="V665">
        <f>IF(OR(P665="",P665&lt;0,P665&gt;0.5),0,P665)</f>
        <v/>
      </c>
      <c r="W665">
        <f>N665*O665*(1-V665)</f>
        <v/>
      </c>
      <c r="X665">
        <f>W665-R665</f>
        <v/>
      </c>
      <c r="Y665">
        <f>IF(W665=0,0,X665/W665)</f>
        <v/>
      </c>
      <c r="Z665">
        <f>C665-B665</f>
        <v/>
      </c>
      <c r="AA665">
        <f>TEXT(B665,"mmmm")</f>
        <v/>
      </c>
      <c r="AB665">
        <f>YEAR(B665)</f>
        <v/>
      </c>
      <c r="AC665">
        <f>IF(OR(P665&lt;0,P665&gt;0.5,C665&lt;B665),"INVALID","CLEAN")</f>
        <v/>
      </c>
    </row>
    <row r="666">
      <c r="A666" s="12" t="inlineStr">
        <is>
          <t>ORD-2024-10665</t>
        </is>
      </c>
      <c r="B666" s="12" t="inlineStr">
        <is>
          <t>07 Dec 2024</t>
        </is>
      </c>
      <c r="C666" s="12" t="inlineStr">
        <is>
          <t>10 Dec 2024</t>
        </is>
      </c>
      <c r="D666" s="12" t="inlineStr">
        <is>
          <t>CUST-2709</t>
        </is>
      </c>
      <c r="E666" s="12" t="inlineStr">
        <is>
          <t>Mira Das</t>
        </is>
      </c>
      <c r="F666" s="12" t="inlineStr">
        <is>
          <t>Home Office</t>
        </is>
      </c>
      <c r="G666" s="12" t="inlineStr">
        <is>
          <t>South</t>
        </is>
      </c>
      <c r="H666" s="12" t="inlineStr">
        <is>
          <t>Telangana</t>
        </is>
      </c>
      <c r="I666" s="12" t="inlineStr">
        <is>
          <t>Hyderabad</t>
        </is>
      </c>
      <c r="J666" s="12" t="inlineStr">
        <is>
          <t>Technology</t>
        </is>
      </c>
      <c r="K666" s="12" t="inlineStr">
        <is>
          <t>Accessories</t>
        </is>
      </c>
      <c r="L666" s="12" t="inlineStr">
        <is>
          <t>Max Accessories 903</t>
        </is>
      </c>
      <c r="M666" s="12" t="inlineStr">
        <is>
          <t>Standard Class</t>
        </is>
      </c>
      <c r="N666" s="12" t="n">
        <v>1</v>
      </c>
      <c r="O666" s="12" t="n">
        <v>1908.83</v>
      </c>
      <c r="P666" s="12" t="n">
        <v>0.2</v>
      </c>
      <c r="Q666" s="12" t="n">
        <v>1527.06</v>
      </c>
      <c r="R666" s="12" t="n">
        <v>1055.89</v>
      </c>
      <c r="S666" s="12" t="n">
        <v>471.17</v>
      </c>
      <c r="T666" s="12" t="inlineStr">
        <is>
          <t>Paid</t>
        </is>
      </c>
      <c r="U666" s="12" t="inlineStr">
        <is>
          <t>Completed</t>
        </is>
      </c>
      <c r="V666">
        <f>IF(OR(P666="",P666&lt;0,P666&gt;0.5),0,P666)</f>
        <v/>
      </c>
      <c r="W666">
        <f>N666*O666*(1-V666)</f>
        <v/>
      </c>
      <c r="X666">
        <f>W666-R666</f>
        <v/>
      </c>
      <c r="Y666">
        <f>IF(W666=0,0,X666/W666)</f>
        <v/>
      </c>
      <c r="Z666">
        <f>C666-B666</f>
        <v/>
      </c>
      <c r="AA666">
        <f>TEXT(B666,"mmmm")</f>
        <v/>
      </c>
      <c r="AB666">
        <f>YEAR(B666)</f>
        <v/>
      </c>
      <c r="AC666">
        <f>IF(OR(P666&lt;0,P666&gt;0.5,C666&lt;B666),"INVALID","CLEAN")</f>
        <v/>
      </c>
    </row>
    <row r="667">
      <c r="A667" s="12" t="inlineStr">
        <is>
          <t>ORD-2025-10666</t>
        </is>
      </c>
      <c r="B667" s="12" t="inlineStr">
        <is>
          <t>2025-01-13</t>
        </is>
      </c>
      <c r="C667" s="12" t="inlineStr">
        <is>
          <t>01/13/2025</t>
        </is>
      </c>
      <c r="D667" s="12" t="inlineStr">
        <is>
          <t>CUST-1197</t>
        </is>
      </c>
      <c r="E667" s="12" t="inlineStr">
        <is>
          <t xml:space="preserve">  Rahul Verma </t>
        </is>
      </c>
      <c r="F667" s="12" t="inlineStr">
        <is>
          <t>Home Office</t>
        </is>
      </c>
      <c r="G667" s="12" t="inlineStr">
        <is>
          <t>West</t>
        </is>
      </c>
      <c r="H667" s="12" t="inlineStr">
        <is>
          <t>Gujarat</t>
        </is>
      </c>
      <c r="I667" s="12" t="inlineStr">
        <is>
          <t>Ahmedabad</t>
        </is>
      </c>
      <c r="J667" s="12" t="inlineStr">
        <is>
          <t>Office Supplies</t>
        </is>
      </c>
      <c r="K667" s="12" t="inlineStr">
        <is>
          <t>Art</t>
        </is>
      </c>
      <c r="L667" s="12" t="inlineStr">
        <is>
          <t>Max Art 660</t>
        </is>
      </c>
      <c r="M667" s="12" t="inlineStr">
        <is>
          <t>Standard Class</t>
        </is>
      </c>
      <c r="N667" s="12" t="n">
        <v>3</v>
      </c>
      <c r="O667" s="12" t="n">
        <v>2110.52</v>
      </c>
      <c r="P667" s="12" t="n">
        <v>0.1</v>
      </c>
      <c r="Q667" s="12" t="n">
        <v>5698.4</v>
      </c>
      <c r="R667" s="12" t="n">
        <v>3640.89</v>
      </c>
      <c r="S667" s="12" t="n">
        <v>2057.51</v>
      </c>
      <c r="T667" s="12" t="inlineStr">
        <is>
          <t>Failed</t>
        </is>
      </c>
      <c r="U667" s="12" t="inlineStr">
        <is>
          <t>Cancelled</t>
        </is>
      </c>
      <c r="V667">
        <f>IF(OR(P667="",P667&lt;0,P667&gt;0.5),0,P667)</f>
        <v/>
      </c>
      <c r="W667">
        <f>N667*O667*(1-V667)</f>
        <v/>
      </c>
      <c r="X667">
        <f>W667-R667</f>
        <v/>
      </c>
      <c r="Y667">
        <f>IF(W667=0,0,X667/W667)</f>
        <v/>
      </c>
      <c r="Z667">
        <f>C667-B667</f>
        <v/>
      </c>
      <c r="AA667">
        <f>TEXT(B667,"mmmm")</f>
        <v/>
      </c>
      <c r="AB667">
        <f>YEAR(B667)</f>
        <v/>
      </c>
      <c r="AC667">
        <f>IF(OR(P667&lt;0,P667&gt;0.5,C667&lt;B667),"INVALID","CLEAN")</f>
        <v/>
      </c>
    </row>
    <row r="668">
      <c r="A668" s="12" t="inlineStr">
        <is>
          <t>ORD-2024-10667</t>
        </is>
      </c>
      <c r="B668" s="12" t="inlineStr">
        <is>
          <t>21 Jun 2024</t>
        </is>
      </c>
      <c r="C668" s="12" t="inlineStr">
        <is>
          <t>06/26/2024</t>
        </is>
      </c>
      <c r="D668" s="12" t="inlineStr">
        <is>
          <t>CUST-7758</t>
        </is>
      </c>
      <c r="E668" s="12" t="inlineStr">
        <is>
          <t>Rohan Mehta</t>
        </is>
      </c>
      <c r="F668" s="12" t="inlineStr">
        <is>
          <t>Small Business</t>
        </is>
      </c>
      <c r="G668" s="12" t="inlineStr">
        <is>
          <t>North</t>
        </is>
      </c>
      <c r="H668" s="12" t="inlineStr">
        <is>
          <t>Punjab</t>
        </is>
      </c>
      <c r="I668" s="12" t="inlineStr">
        <is>
          <t>Ludhiana</t>
        </is>
      </c>
      <c r="J668" s="12" t="inlineStr">
        <is>
          <t>Technology</t>
        </is>
      </c>
      <c r="K668" s="12" t="inlineStr">
        <is>
          <t>Copiers</t>
        </is>
      </c>
      <c r="L668" s="12" t="inlineStr">
        <is>
          <t>Classic Copiers 908</t>
        </is>
      </c>
      <c r="M668" s="12" t="inlineStr">
        <is>
          <t>Same Day</t>
        </is>
      </c>
      <c r="N668" s="12" t="n">
        <v>1</v>
      </c>
      <c r="O668" s="12" t="n">
        <v>279.83</v>
      </c>
      <c r="P668" s="12" t="n">
        <v>0.05</v>
      </c>
      <c r="Q668" s="12" t="n">
        <v>265.84</v>
      </c>
      <c r="R668" s="12" t="n">
        <v>223.49</v>
      </c>
      <c r="S668" s="12" t="n">
        <v>42.35</v>
      </c>
      <c r="T668" s="12" t="inlineStr">
        <is>
          <t>Paid</t>
        </is>
      </c>
      <c r="U668" s="12" t="inlineStr">
        <is>
          <t>Completed</t>
        </is>
      </c>
      <c r="V668">
        <f>IF(OR(P668="",P668&lt;0,P668&gt;0.5),0,P668)</f>
        <v/>
      </c>
      <c r="W668">
        <f>N668*O668*(1-V668)</f>
        <v/>
      </c>
      <c r="X668">
        <f>W668-R668</f>
        <v/>
      </c>
      <c r="Y668">
        <f>IF(W668=0,0,X668/W668)</f>
        <v/>
      </c>
      <c r="Z668">
        <f>C668-B668</f>
        <v/>
      </c>
      <c r="AA668">
        <f>TEXT(B668,"mmmm")</f>
        <v/>
      </c>
      <c r="AB668">
        <f>YEAR(B668)</f>
        <v/>
      </c>
      <c r="AC668">
        <f>IF(OR(P668&lt;0,P668&gt;0.5,C668&lt;B668),"INVALID","CLEAN")</f>
        <v/>
      </c>
    </row>
    <row r="669">
      <c r="A669" s="12" t="inlineStr">
        <is>
          <t>ORD-2025-10668</t>
        </is>
      </c>
      <c r="B669" s="12" t="inlineStr">
        <is>
          <t>20-05-2025</t>
        </is>
      </c>
      <c r="C669" s="12" t="inlineStr">
        <is>
          <t>27-05-2025</t>
        </is>
      </c>
      <c r="D669" s="12" t="inlineStr">
        <is>
          <t>CUST-3912</t>
        </is>
      </c>
      <c r="E669" s="12" t="inlineStr">
        <is>
          <t>Diya Patel</t>
        </is>
      </c>
      <c r="F669" s="12" t="inlineStr">
        <is>
          <t>Small Business</t>
        </is>
      </c>
      <c r="G669" s="12" t="inlineStr">
        <is>
          <t>East</t>
        </is>
      </c>
      <c r="H669" s="12" t="inlineStr">
        <is>
          <t>Bihar</t>
        </is>
      </c>
      <c r="I669" s="12" t="inlineStr">
        <is>
          <t>Patna</t>
        </is>
      </c>
      <c r="J669" s="12" t="inlineStr">
        <is>
          <t>Technology</t>
        </is>
      </c>
      <c r="K669" s="12" t="inlineStr">
        <is>
          <t>Machines</t>
        </is>
      </c>
      <c r="L669" s="12" t="inlineStr">
        <is>
          <t>Pro Machines 706</t>
        </is>
      </c>
      <c r="M669" s="12" t="inlineStr">
        <is>
          <t>Standard Class</t>
        </is>
      </c>
      <c r="N669" s="12" t="n">
        <v>1</v>
      </c>
      <c r="O669" s="12" t="n">
        <v>3959.14</v>
      </c>
      <c r="P669" s="12" t="n">
        <v>0</v>
      </c>
      <c r="Q669" s="12" t="n">
        <v>3959.14</v>
      </c>
      <c r="R669" s="12" t="n">
        <v>3239.53</v>
      </c>
      <c r="S669" s="12" t="n">
        <v>719.61</v>
      </c>
      <c r="T669" s="12" t="inlineStr">
        <is>
          <t>Pending</t>
        </is>
      </c>
      <c r="U669" s="12" t="inlineStr">
        <is>
          <t>Returned</t>
        </is>
      </c>
      <c r="V669">
        <f>IF(OR(P669="",P669&lt;0,P669&gt;0.5),0,P669)</f>
        <v/>
      </c>
      <c r="W669">
        <f>N669*O669*(1-V669)</f>
        <v/>
      </c>
      <c r="X669">
        <f>W669-R669</f>
        <v/>
      </c>
      <c r="Y669">
        <f>IF(W669=0,0,X669/W669)</f>
        <v/>
      </c>
      <c r="Z669">
        <f>C669-B669</f>
        <v/>
      </c>
      <c r="AA669">
        <f>TEXT(B669,"mmmm")</f>
        <v/>
      </c>
      <c r="AB669">
        <f>YEAR(B669)</f>
        <v/>
      </c>
      <c r="AC669">
        <f>IF(OR(P669&lt;0,P669&gt;0.5,C669&lt;B669),"INVALID","CLEAN")</f>
        <v/>
      </c>
    </row>
    <row r="670">
      <c r="A670" s="12" t="inlineStr">
        <is>
          <t>ORD-2024-10669</t>
        </is>
      </c>
      <c r="B670" s="12" t="inlineStr">
        <is>
          <t>11/21/2024</t>
        </is>
      </c>
      <c r="C670" s="12" t="inlineStr">
        <is>
          <t>23 Nov 2024</t>
        </is>
      </c>
      <c r="D670" s="12" t="inlineStr">
        <is>
          <t>CUST-4190</t>
        </is>
      </c>
      <c r="E670" s="12" t="inlineStr">
        <is>
          <t>Mira Das</t>
        </is>
      </c>
      <c r="F670" s="12" t="inlineStr">
        <is>
          <t>Corporate</t>
        </is>
      </c>
      <c r="G670" s="12" t="inlineStr">
        <is>
          <t>West</t>
        </is>
      </c>
      <c r="H670" s="12" t="inlineStr">
        <is>
          <t>Gujarat</t>
        </is>
      </c>
      <c r="I670" s="12" t="inlineStr">
        <is>
          <t>Ahmedabad</t>
        </is>
      </c>
      <c r="J670" s="12" t="inlineStr">
        <is>
          <t>Office Supplies</t>
        </is>
      </c>
      <c r="K670" s="12" t="inlineStr">
        <is>
          <t>Paper</t>
        </is>
      </c>
      <c r="L670" s="12" t="inlineStr">
        <is>
          <t>Pro Paper 187</t>
        </is>
      </c>
      <c r="M670" s="12" t="inlineStr">
        <is>
          <t>Second Class</t>
        </is>
      </c>
      <c r="N670" s="12" t="n">
        <v>5</v>
      </c>
      <c r="O670" s="12" t="n">
        <v>600.46</v>
      </c>
      <c r="P670" s="12" t="n">
        <v>0.2</v>
      </c>
      <c r="Q670" s="12" t="n">
        <v>2401.84</v>
      </c>
      <c r="R670" s="12" t="n">
        <v>1873.11</v>
      </c>
      <c r="S670" s="12" t="n">
        <v>528.73</v>
      </c>
      <c r="T670" s="12" t="inlineStr">
        <is>
          <t>Paid</t>
        </is>
      </c>
      <c r="U670" s="12" t="inlineStr">
        <is>
          <t>Completed</t>
        </is>
      </c>
      <c r="V670">
        <f>IF(OR(P670="",P670&lt;0,P670&gt;0.5),0,P670)</f>
        <v/>
      </c>
      <c r="W670">
        <f>N670*O670*(1-V670)</f>
        <v/>
      </c>
      <c r="X670">
        <f>W670-R670</f>
        <v/>
      </c>
      <c r="Y670">
        <f>IF(W670=0,0,X670/W670)</f>
        <v/>
      </c>
      <c r="Z670">
        <f>C670-B670</f>
        <v/>
      </c>
      <c r="AA670">
        <f>TEXT(B670,"mmmm")</f>
        <v/>
      </c>
      <c r="AB670">
        <f>YEAR(B670)</f>
        <v/>
      </c>
      <c r="AC670">
        <f>IF(OR(P670&lt;0,P670&gt;0.5,C670&lt;B670),"INVALID","CLEAN")</f>
        <v/>
      </c>
    </row>
    <row r="671">
      <c r="A671" s="12" t="inlineStr">
        <is>
          <t>ORD-2024-10670</t>
        </is>
      </c>
      <c r="B671" s="12" t="inlineStr">
        <is>
          <t>2024-03-24</t>
        </is>
      </c>
      <c r="C671" s="12" t="inlineStr">
        <is>
          <t>01 Apr 2024</t>
        </is>
      </c>
      <c r="D671" s="12" t="inlineStr">
        <is>
          <t>CUST-7568</t>
        </is>
      </c>
      <c r="E671" s="12" t="inlineStr">
        <is>
          <t>Ananya Rao</t>
        </is>
      </c>
      <c r="F671" s="12" t="inlineStr">
        <is>
          <t>Home Office</t>
        </is>
      </c>
      <c r="G671" s="12" t="inlineStr">
        <is>
          <t>West</t>
        </is>
      </c>
      <c r="H671" s="12" t="inlineStr">
        <is>
          <t>Maharashtra</t>
        </is>
      </c>
      <c r="I671" s="12" t="inlineStr">
        <is>
          <t>Mumbai</t>
        </is>
      </c>
      <c r="J671" s="12" t="inlineStr">
        <is>
          <t>Furniture</t>
        </is>
      </c>
      <c r="K671" s="12" t="inlineStr">
        <is>
          <t>Tables</t>
        </is>
      </c>
      <c r="L671" s="12" t="inlineStr">
        <is>
          <t>Classic Tables 606</t>
        </is>
      </c>
      <c r="M671" s="12" t="inlineStr">
        <is>
          <t>Second Class</t>
        </is>
      </c>
      <c r="N671" s="12" t="n">
        <v>4</v>
      </c>
      <c r="O671" s="12" t="n">
        <v>1700.72</v>
      </c>
      <c r="P671" s="12" t="n">
        <v>0.25</v>
      </c>
      <c r="Q671" s="12" t="n">
        <v>5102.16</v>
      </c>
      <c r="R671" s="12" t="n">
        <v>3226.45</v>
      </c>
      <c r="S671" s="12" t="n">
        <v>1875.71</v>
      </c>
      <c r="T671" s="12" t="inlineStr">
        <is>
          <t>Paid</t>
        </is>
      </c>
      <c r="U671" s="12" t="inlineStr">
        <is>
          <t>Completed</t>
        </is>
      </c>
      <c r="V671">
        <f>IF(OR(P671="",P671&lt;0,P671&gt;0.5),0,P671)</f>
        <v/>
      </c>
      <c r="W671">
        <f>N671*O671*(1-V671)</f>
        <v/>
      </c>
      <c r="X671">
        <f>W671-R671</f>
        <v/>
      </c>
      <c r="Y671">
        <f>IF(W671=0,0,X671/W671)</f>
        <v/>
      </c>
      <c r="Z671">
        <f>C671-B671</f>
        <v/>
      </c>
      <c r="AA671">
        <f>TEXT(B671,"mmmm")</f>
        <v/>
      </c>
      <c r="AB671">
        <f>YEAR(B671)</f>
        <v/>
      </c>
      <c r="AC671">
        <f>IF(OR(P671&lt;0,P671&gt;0.5,C671&lt;B671),"INVALID","CLEAN")</f>
        <v/>
      </c>
    </row>
    <row r="672">
      <c r="A672" s="12" t="inlineStr">
        <is>
          <t>ORD-2025-10671</t>
        </is>
      </c>
      <c r="B672" s="12" t="inlineStr">
        <is>
          <t>02/02/2025</t>
        </is>
      </c>
      <c r="C672" s="12" t="inlineStr">
        <is>
          <t>06 Feb 2025</t>
        </is>
      </c>
      <c r="D672" s="12" t="inlineStr">
        <is>
          <t>CUST-5604</t>
        </is>
      </c>
      <c r="E672" s="12" t="inlineStr">
        <is>
          <t>Sneha Kapoor</t>
        </is>
      </c>
      <c r="F672" s="12" t="inlineStr">
        <is>
          <t xml:space="preserve">Corporate </t>
        </is>
      </c>
      <c r="G672" s="12" t="inlineStr">
        <is>
          <t>North</t>
        </is>
      </c>
      <c r="H672" s="12" t="inlineStr">
        <is>
          <t>Uttar Pradesh</t>
        </is>
      </c>
      <c r="I672" s="12" t="inlineStr">
        <is>
          <t>Noida</t>
        </is>
      </c>
      <c r="J672" s="12" t="inlineStr">
        <is>
          <t>Furniture</t>
        </is>
      </c>
      <c r="K672" s="12" t="inlineStr">
        <is>
          <t>Tables</t>
        </is>
      </c>
      <c r="L672" s="12" t="inlineStr">
        <is>
          <t>Smart Tables 835</t>
        </is>
      </c>
      <c r="M672" s="12" t="inlineStr">
        <is>
          <t>Standard Class</t>
        </is>
      </c>
      <c r="N672" s="12" t="n">
        <v>8</v>
      </c>
      <c r="O672" s="12" t="n">
        <v>857.86</v>
      </c>
      <c r="P672" s="12" t="n">
        <v>0.1</v>
      </c>
      <c r="Q672" s="12" t="n">
        <v>6176.59</v>
      </c>
      <c r="R672" s="12" t="n">
        <v>3560.96</v>
      </c>
      <c r="S672" s="12" t="n">
        <v>2615.63</v>
      </c>
      <c r="T672" s="12" t="inlineStr">
        <is>
          <t>Paid</t>
        </is>
      </c>
      <c r="U672" s="12" t="inlineStr">
        <is>
          <t>Completed</t>
        </is>
      </c>
      <c r="V672">
        <f>IF(OR(P672="",P672&lt;0,P672&gt;0.5),0,P672)</f>
        <v/>
      </c>
      <c r="W672">
        <f>N672*O672*(1-V672)</f>
        <v/>
      </c>
      <c r="X672">
        <f>W672-R672</f>
        <v/>
      </c>
      <c r="Y672">
        <f>IF(W672=0,0,X672/W672)</f>
        <v/>
      </c>
      <c r="Z672">
        <f>C672-B672</f>
        <v/>
      </c>
      <c r="AA672">
        <f>TEXT(B672,"mmmm")</f>
        <v/>
      </c>
      <c r="AB672">
        <f>YEAR(B672)</f>
        <v/>
      </c>
      <c r="AC672">
        <f>IF(OR(P672&lt;0,P672&gt;0.5,C672&lt;B672),"INVALID","CLEAN")</f>
        <v/>
      </c>
    </row>
    <row r="673">
      <c r="A673" s="12" t="inlineStr">
        <is>
          <t>ORD-2024-10672</t>
        </is>
      </c>
      <c r="B673" s="12" t="inlineStr">
        <is>
          <t>2024-03-22</t>
        </is>
      </c>
      <c r="C673" s="12" t="inlineStr">
        <is>
          <t>27-03-2024</t>
        </is>
      </c>
      <c r="D673" s="12" t="inlineStr">
        <is>
          <t>CUST-3293</t>
        </is>
      </c>
      <c r="E673" s="12" t="inlineStr">
        <is>
          <t>Aditi Sen</t>
        </is>
      </c>
      <c r="F673" s="12" t="inlineStr">
        <is>
          <t>Home Office</t>
        </is>
      </c>
      <c r="G673" s="12" t="inlineStr">
        <is>
          <t>West</t>
        </is>
      </c>
      <c r="H673" s="12" t="inlineStr">
        <is>
          <t>Goa</t>
        </is>
      </c>
      <c r="I673" s="12" t="inlineStr">
        <is>
          <t>Panaji</t>
        </is>
      </c>
      <c r="J673" s="12" t="inlineStr">
        <is>
          <t>Technology</t>
        </is>
      </c>
      <c r="K673" s="12" t="inlineStr">
        <is>
          <t>COPIERS</t>
        </is>
      </c>
      <c r="L673" s="12" t="inlineStr">
        <is>
          <t>Classic Copiers 583</t>
        </is>
      </c>
      <c r="M673" s="12" t="inlineStr">
        <is>
          <t>Second Class</t>
        </is>
      </c>
      <c r="N673" s="12" t="n">
        <v>9</v>
      </c>
      <c r="O673" s="12" t="n">
        <v>3649.51</v>
      </c>
      <c r="P673" s="12" t="n">
        <v>0.05</v>
      </c>
      <c r="Q673" s="12" t="n">
        <v>31203.31</v>
      </c>
      <c r="R673" s="12" t="n">
        <v>17738.13</v>
      </c>
      <c r="S673" s="12" t="n">
        <v>13465.18</v>
      </c>
      <c r="T673" s="12" t="inlineStr">
        <is>
          <t>Paid</t>
        </is>
      </c>
      <c r="U673" s="12" t="inlineStr">
        <is>
          <t>Completed</t>
        </is>
      </c>
      <c r="V673">
        <f>IF(OR(P673="",P673&lt;0,P673&gt;0.5),0,P673)</f>
        <v/>
      </c>
      <c r="W673">
        <f>N673*O673*(1-V673)</f>
        <v/>
      </c>
      <c r="X673">
        <f>W673-R673</f>
        <v/>
      </c>
      <c r="Y673">
        <f>IF(W673=0,0,X673/W673)</f>
        <v/>
      </c>
      <c r="Z673">
        <f>C673-B673</f>
        <v/>
      </c>
      <c r="AA673">
        <f>TEXT(B673,"mmmm")</f>
        <v/>
      </c>
      <c r="AB673">
        <f>YEAR(B673)</f>
        <v/>
      </c>
      <c r="AC673">
        <f>IF(OR(P673&lt;0,P673&gt;0.5,C673&lt;B673),"INVALID","CLEAN")</f>
        <v/>
      </c>
    </row>
    <row r="674">
      <c r="A674" s="12" t="inlineStr">
        <is>
          <t>ORD-2024-10673</t>
        </is>
      </c>
      <c r="B674" s="12" t="inlineStr">
        <is>
          <t>2024-09-04</t>
        </is>
      </c>
      <c r="C674" s="12" t="inlineStr">
        <is>
          <t>2024-09-05</t>
        </is>
      </c>
      <c r="D674" s="12" t="inlineStr">
        <is>
          <t>CUST-8180</t>
        </is>
      </c>
      <c r="E674" s="12" t="inlineStr">
        <is>
          <t>Aditi Sen</t>
        </is>
      </c>
      <c r="F674" s="12" t="inlineStr">
        <is>
          <t>Corporate</t>
        </is>
      </c>
      <c r="G674" s="12" t="inlineStr">
        <is>
          <t>West</t>
        </is>
      </c>
      <c r="H674" s="12" t="inlineStr">
        <is>
          <t>Madhya Pradesh</t>
        </is>
      </c>
      <c r="I674" s="12" t="inlineStr">
        <is>
          <t>Indore</t>
        </is>
      </c>
      <c r="J674" s="12" t="inlineStr">
        <is>
          <t>Furniture</t>
        </is>
      </c>
      <c r="K674" s="12" t="inlineStr">
        <is>
          <t>Chairs</t>
        </is>
      </c>
      <c r="L674" s="12" t="inlineStr">
        <is>
          <t>Classic Chairs 460</t>
        </is>
      </c>
      <c r="M674" s="12" t="inlineStr">
        <is>
          <t>Standard Class</t>
        </is>
      </c>
      <c r="N674" s="12" t="n">
        <v>5</v>
      </c>
      <c r="O674" s="12" t="n">
        <v>2528.53</v>
      </c>
      <c r="P674" s="12" t="n">
        <v>0.05</v>
      </c>
      <c r="Q674" s="12" t="n">
        <v>12010.52</v>
      </c>
      <c r="R674" s="12" t="n">
        <v>7864.61</v>
      </c>
      <c r="S674" s="12" t="n">
        <v>4145.91</v>
      </c>
      <c r="T674" s="12" t="inlineStr">
        <is>
          <t>Paid</t>
        </is>
      </c>
      <c r="U674" s="12" t="inlineStr">
        <is>
          <t>Returned</t>
        </is>
      </c>
      <c r="V674">
        <f>IF(OR(P674="",P674&lt;0,P674&gt;0.5),0,P674)</f>
        <v/>
      </c>
      <c r="W674">
        <f>N674*O674*(1-V674)</f>
        <v/>
      </c>
      <c r="X674">
        <f>W674-R674</f>
        <v/>
      </c>
      <c r="Y674">
        <f>IF(W674=0,0,X674/W674)</f>
        <v/>
      </c>
      <c r="Z674">
        <f>C674-B674</f>
        <v/>
      </c>
      <c r="AA674">
        <f>TEXT(B674,"mmmm")</f>
        <v/>
      </c>
      <c r="AB674">
        <f>YEAR(B674)</f>
        <v/>
      </c>
      <c r="AC674">
        <f>IF(OR(P674&lt;0,P674&gt;0.5,C674&lt;B674),"INVALID","CLEAN")</f>
        <v/>
      </c>
    </row>
    <row r="675">
      <c r="A675" s="12" t="inlineStr">
        <is>
          <t>ORD-2025-10674</t>
        </is>
      </c>
      <c r="B675" s="12" t="inlineStr">
        <is>
          <t>2025-02-13</t>
        </is>
      </c>
      <c r="C675" s="12" t="inlineStr">
        <is>
          <t>16 Feb 2025</t>
        </is>
      </c>
      <c r="D675" s="12" t="inlineStr">
        <is>
          <t>CUST-2807</t>
        </is>
      </c>
      <c r="E675" s="12" t="inlineStr">
        <is>
          <t>Arjun Bose</t>
        </is>
      </c>
      <c r="F675" s="12" t="inlineStr">
        <is>
          <t>Small Business</t>
        </is>
      </c>
      <c r="G675" s="12" t="inlineStr">
        <is>
          <t>West</t>
        </is>
      </c>
      <c r="H675" s="12" t="inlineStr">
        <is>
          <t>Rajasthan</t>
        </is>
      </c>
      <c r="I675" s="12" t="inlineStr">
        <is>
          <t>Udaipur</t>
        </is>
      </c>
      <c r="J675" s="12" t="inlineStr">
        <is>
          <t>Furniture</t>
        </is>
      </c>
      <c r="K675" s="12" t="inlineStr">
        <is>
          <t>Bookcases</t>
        </is>
      </c>
      <c r="L675" s="12" t="inlineStr">
        <is>
          <t>Classic Bookcases 488</t>
        </is>
      </c>
      <c r="M675" s="12" t="inlineStr">
        <is>
          <t>Second Class</t>
        </is>
      </c>
      <c r="N675" s="12" t="n">
        <v>4</v>
      </c>
      <c r="O675" s="12" t="n">
        <v>4072.9</v>
      </c>
      <c r="P675" s="12" t="n">
        <v>0.15</v>
      </c>
      <c r="Q675" s="12" t="n">
        <v>13847.86</v>
      </c>
      <c r="R675" s="12" t="n">
        <v>8471.780000000001</v>
      </c>
      <c r="S675" s="12" t="n">
        <v>5376.08</v>
      </c>
      <c r="T675" s="12" t="inlineStr">
        <is>
          <t>Paid</t>
        </is>
      </c>
      <c r="U675" s="12" t="inlineStr">
        <is>
          <t>Completed</t>
        </is>
      </c>
      <c r="V675">
        <f>IF(OR(P675="",P675&lt;0,P675&gt;0.5),0,P675)</f>
        <v/>
      </c>
      <c r="W675">
        <f>N675*O675*(1-V675)</f>
        <v/>
      </c>
      <c r="X675">
        <f>W675-R675</f>
        <v/>
      </c>
      <c r="Y675">
        <f>IF(W675=0,0,X675/W675)</f>
        <v/>
      </c>
      <c r="Z675">
        <f>C675-B675</f>
        <v/>
      </c>
      <c r="AA675">
        <f>TEXT(B675,"mmmm")</f>
        <v/>
      </c>
      <c r="AB675">
        <f>YEAR(B675)</f>
        <v/>
      </c>
      <c r="AC675">
        <f>IF(OR(P675&lt;0,P675&gt;0.5,C675&lt;B675),"INVALID","CLEAN")</f>
        <v/>
      </c>
    </row>
    <row r="676">
      <c r="A676" s="12" t="inlineStr">
        <is>
          <t>ORD-2024-10675</t>
        </is>
      </c>
      <c r="B676" s="12" t="inlineStr">
        <is>
          <t>2024-05-18</t>
        </is>
      </c>
      <c r="C676" s="12" t="inlineStr">
        <is>
          <t>2024-05-21</t>
        </is>
      </c>
      <c r="D676" s="12" t="inlineStr">
        <is>
          <t>CUST-4081</t>
        </is>
      </c>
      <c r="E676" s="12" t="inlineStr">
        <is>
          <t>Vikram Iyer</t>
        </is>
      </c>
      <c r="F676" s="12" t="inlineStr">
        <is>
          <t>Corporate</t>
        </is>
      </c>
      <c r="G676" s="12" t="inlineStr">
        <is>
          <t>East</t>
        </is>
      </c>
      <c r="H676" s="12" t="inlineStr">
        <is>
          <t>Jharkhand</t>
        </is>
      </c>
      <c r="I676" s="12" t="inlineStr">
        <is>
          <t>Ranchi</t>
        </is>
      </c>
      <c r="J676" s="12" t="inlineStr">
        <is>
          <t>Technology</t>
        </is>
      </c>
      <c r="K676" s="12" t="inlineStr">
        <is>
          <t>Accessories</t>
        </is>
      </c>
      <c r="L676" s="12" t="inlineStr">
        <is>
          <t>Basic Accessories 944</t>
        </is>
      </c>
      <c r="M676" s="12" t="inlineStr">
        <is>
          <t>Second Class</t>
        </is>
      </c>
      <c r="N676" s="12" t="n">
        <v>1</v>
      </c>
      <c r="O676" s="12" t="n">
        <v>1033.71</v>
      </c>
      <c r="P676" s="12" t="n">
        <v>0</v>
      </c>
      <c r="Q676" s="12" t="n">
        <v>1033.71</v>
      </c>
      <c r="R676" s="12" t="n">
        <v>630.8200000000001</v>
      </c>
      <c r="S676" s="12" t="n">
        <v>402.89</v>
      </c>
      <c r="T676" s="12" t="inlineStr">
        <is>
          <t>Pending</t>
        </is>
      </c>
      <c r="U676" s="12" t="inlineStr">
        <is>
          <t>Returned</t>
        </is>
      </c>
      <c r="V676">
        <f>IF(OR(P676="",P676&lt;0,P676&gt;0.5),0,P676)</f>
        <v/>
      </c>
      <c r="W676">
        <f>N676*O676*(1-V676)</f>
        <v/>
      </c>
      <c r="X676">
        <f>W676-R676</f>
        <v/>
      </c>
      <c r="Y676">
        <f>IF(W676=0,0,X676/W676)</f>
        <v/>
      </c>
      <c r="Z676">
        <f>C676-B676</f>
        <v/>
      </c>
      <c r="AA676">
        <f>TEXT(B676,"mmmm")</f>
        <v/>
      </c>
      <c r="AB676">
        <f>YEAR(B676)</f>
        <v/>
      </c>
      <c r="AC676">
        <f>IF(OR(P676&lt;0,P676&gt;0.5,C676&lt;B676),"INVALID","CLEAN")</f>
        <v/>
      </c>
    </row>
    <row r="677">
      <c r="A677" s="12" t="inlineStr">
        <is>
          <t>ORD-2025-10676</t>
        </is>
      </c>
      <c r="B677" s="12" t="inlineStr">
        <is>
          <t>07-06-2025</t>
        </is>
      </c>
      <c r="C677" s="12" t="inlineStr">
        <is>
          <t>06/10/2025</t>
        </is>
      </c>
      <c r="D677" s="12" t="inlineStr">
        <is>
          <t>CUST-5061</t>
        </is>
      </c>
      <c r="E677" s="12" t="inlineStr">
        <is>
          <t>Aarav Sharma</t>
        </is>
      </c>
      <c r="F677" s="12" t="inlineStr">
        <is>
          <t>Consumer</t>
        </is>
      </c>
      <c r="G677" s="12" t="inlineStr">
        <is>
          <t>North</t>
        </is>
      </c>
      <c r="H677" s="12" t="inlineStr">
        <is>
          <t>Rajasthan</t>
        </is>
      </c>
      <c r="I677" s="12" t="inlineStr">
        <is>
          <t>Jaipur</t>
        </is>
      </c>
      <c r="J677" s="12" t="inlineStr">
        <is>
          <t>Furniture</t>
        </is>
      </c>
      <c r="K677" s="12" t="inlineStr">
        <is>
          <t>Furnishings</t>
        </is>
      </c>
      <c r="L677" s="12" t="inlineStr">
        <is>
          <t>Eco Furnishings 217</t>
        </is>
      </c>
      <c r="M677" s="12" t="inlineStr">
        <is>
          <t>Same Day</t>
        </is>
      </c>
      <c r="N677" s="12" t="n">
        <v>3</v>
      </c>
      <c r="O677" s="12" t="n">
        <v>963.26</v>
      </c>
      <c r="P677" s="12" t="n">
        <v>0</v>
      </c>
      <c r="Q677" s="12" t="n">
        <v>2889.78</v>
      </c>
      <c r="R677" s="12" t="n">
        <v>1811.23</v>
      </c>
      <c r="S677" s="12" t="n">
        <v>1078.55</v>
      </c>
      <c r="T677" s="12" t="inlineStr">
        <is>
          <t>Paid</t>
        </is>
      </c>
      <c r="U677" s="12" t="inlineStr">
        <is>
          <t>Completed</t>
        </is>
      </c>
      <c r="V677">
        <f>IF(OR(P677="",P677&lt;0,P677&gt;0.5),0,P677)</f>
        <v/>
      </c>
      <c r="W677">
        <f>N677*O677*(1-V677)</f>
        <v/>
      </c>
      <c r="X677">
        <f>W677-R677</f>
        <v/>
      </c>
      <c r="Y677">
        <f>IF(W677=0,0,X677/W677)</f>
        <v/>
      </c>
      <c r="Z677">
        <f>C677-B677</f>
        <v/>
      </c>
      <c r="AA677">
        <f>TEXT(B677,"mmmm")</f>
        <v/>
      </c>
      <c r="AB677">
        <f>YEAR(B677)</f>
        <v/>
      </c>
      <c r="AC677">
        <f>IF(OR(P677&lt;0,P677&gt;0.5,C677&lt;B677),"INVALID","CLEAN")</f>
        <v/>
      </c>
    </row>
    <row r="678">
      <c r="A678" s="12" t="inlineStr">
        <is>
          <t>ORD-2025-10677</t>
        </is>
      </c>
      <c r="B678" s="12" t="inlineStr">
        <is>
          <t>09/11/2025</t>
        </is>
      </c>
      <c r="C678" s="12" t="inlineStr">
        <is>
          <t>09/18/2025</t>
        </is>
      </c>
      <c r="D678" s="12" t="inlineStr">
        <is>
          <t>CUST-9212</t>
        </is>
      </c>
      <c r="E678" s="12" t="inlineStr">
        <is>
          <t>Rahul Verma</t>
        </is>
      </c>
      <c r="F678" s="12" t="inlineStr">
        <is>
          <t>Small Business</t>
        </is>
      </c>
      <c r="G678" s="12" t="inlineStr">
        <is>
          <t>North</t>
        </is>
      </c>
      <c r="H678" s="12" t="inlineStr">
        <is>
          <t>Delhi</t>
        </is>
      </c>
      <c r="I678" s="12" t="inlineStr">
        <is>
          <t>New Delhi</t>
        </is>
      </c>
      <c r="J678" s="12" t="inlineStr">
        <is>
          <t>Technology</t>
        </is>
      </c>
      <c r="K678" s="12" t="inlineStr">
        <is>
          <t>Phones</t>
        </is>
      </c>
      <c r="L678" s="12" t="inlineStr">
        <is>
          <t>Smart Phones 967</t>
        </is>
      </c>
      <c r="M678" s="12" t="inlineStr">
        <is>
          <t>Same Day</t>
        </is>
      </c>
      <c r="N678" s="12" t="n">
        <v>7</v>
      </c>
      <c r="O678" s="12" t="n">
        <v>3411.21</v>
      </c>
      <c r="P678" s="12" t="n">
        <v>0.15</v>
      </c>
      <c r="Q678" s="12" t="n">
        <v>20296.7</v>
      </c>
      <c r="R678" s="12" t="n">
        <v>14920.87</v>
      </c>
      <c r="S678" s="12" t="n">
        <v>5375.83</v>
      </c>
      <c r="T678" s="12" t="inlineStr">
        <is>
          <t>Paid</t>
        </is>
      </c>
      <c r="U678" s="12" t="inlineStr">
        <is>
          <t>Completed</t>
        </is>
      </c>
      <c r="V678">
        <f>IF(OR(P678="",P678&lt;0,P678&gt;0.5),0,P678)</f>
        <v/>
      </c>
      <c r="W678">
        <f>N678*O678*(1-V678)</f>
        <v/>
      </c>
      <c r="X678">
        <f>W678-R678</f>
        <v/>
      </c>
      <c r="Y678">
        <f>IF(W678=0,0,X678/W678)</f>
        <v/>
      </c>
      <c r="Z678">
        <f>C678-B678</f>
        <v/>
      </c>
      <c r="AA678">
        <f>TEXT(B678,"mmmm")</f>
        <v/>
      </c>
      <c r="AB678">
        <f>YEAR(B678)</f>
        <v/>
      </c>
      <c r="AC678">
        <f>IF(OR(P678&lt;0,P678&gt;0.5,C678&lt;B678),"INVALID","CLEAN")</f>
        <v/>
      </c>
    </row>
    <row r="679">
      <c r="A679" s="12" t="inlineStr">
        <is>
          <t>ORD-2024-10678</t>
        </is>
      </c>
      <c r="B679" s="12" t="inlineStr">
        <is>
          <t>2024-06-22</t>
        </is>
      </c>
      <c r="C679" s="12" t="inlineStr">
        <is>
          <t>27-06-2024</t>
        </is>
      </c>
      <c r="D679" s="12" t="inlineStr">
        <is>
          <t>CUST-4655</t>
        </is>
      </c>
      <c r="E679" s="12" t="inlineStr">
        <is>
          <t>Isha Nair</t>
        </is>
      </c>
      <c r="F679" s="12" t="inlineStr">
        <is>
          <t>Home Office</t>
        </is>
      </c>
      <c r="G679" s="12" t="inlineStr">
        <is>
          <t>South</t>
        </is>
      </c>
      <c r="H679" s="12" t="inlineStr">
        <is>
          <t>Karnataka</t>
        </is>
      </c>
      <c r="I679" s="12" t="inlineStr">
        <is>
          <t>Bengaluru</t>
        </is>
      </c>
      <c r="J679" s="12" t="inlineStr">
        <is>
          <t>Furniture</t>
        </is>
      </c>
      <c r="K679" s="12" t="inlineStr">
        <is>
          <t>Chairs</t>
        </is>
      </c>
      <c r="L679" s="12" t="inlineStr">
        <is>
          <t>Smart Chairs 610</t>
        </is>
      </c>
      <c r="M679" s="12" t="inlineStr">
        <is>
          <t>Same Day</t>
        </is>
      </c>
      <c r="N679" s="12" t="n">
        <v>7</v>
      </c>
      <c r="O679" s="12" t="n">
        <v>2623.48</v>
      </c>
      <c r="P679" s="12" t="n">
        <v>0</v>
      </c>
      <c r="Q679" s="12" t="n">
        <v>18364.36</v>
      </c>
      <c r="R679" s="12" t="n">
        <v>15445.81</v>
      </c>
      <c r="S679" s="12" t="n">
        <v>2918.55</v>
      </c>
      <c r="T679" s="12" t="inlineStr">
        <is>
          <t>Paid</t>
        </is>
      </c>
      <c r="U679" s="12" t="inlineStr">
        <is>
          <t>Completed</t>
        </is>
      </c>
      <c r="V679">
        <f>IF(OR(P679="",P679&lt;0,P679&gt;0.5),0,P679)</f>
        <v/>
      </c>
      <c r="W679">
        <f>N679*O679*(1-V679)</f>
        <v/>
      </c>
      <c r="X679">
        <f>W679-R679</f>
        <v/>
      </c>
      <c r="Y679">
        <f>IF(W679=0,0,X679/W679)</f>
        <v/>
      </c>
      <c r="Z679">
        <f>C679-B679</f>
        <v/>
      </c>
      <c r="AA679">
        <f>TEXT(B679,"mmmm")</f>
        <v/>
      </c>
      <c r="AB679">
        <f>YEAR(B679)</f>
        <v/>
      </c>
      <c r="AC679">
        <f>IF(OR(P679&lt;0,P679&gt;0.5,C679&lt;B679),"INVALID","CLEAN")</f>
        <v/>
      </c>
    </row>
    <row r="680">
      <c r="A680" s="12" t="inlineStr">
        <is>
          <t>ORD-2024-10679</t>
        </is>
      </c>
      <c r="B680" s="12" t="inlineStr">
        <is>
          <t>24-11-2024</t>
        </is>
      </c>
      <c r="C680" s="12" t="inlineStr">
        <is>
          <t>12/01/2024</t>
        </is>
      </c>
      <c r="D680" s="12" t="inlineStr">
        <is>
          <t>CUST-1674</t>
        </is>
      </c>
      <c r="E680" s="12" t="inlineStr">
        <is>
          <t>Kabir Singh</t>
        </is>
      </c>
      <c r="F680" s="12" t="inlineStr">
        <is>
          <t>Corporate</t>
        </is>
      </c>
      <c r="G680" s="12" t="inlineStr">
        <is>
          <t>South</t>
        </is>
      </c>
      <c r="H680" s="12" t="inlineStr">
        <is>
          <t>Karnataka</t>
        </is>
      </c>
      <c r="I680" s="12" t="inlineStr">
        <is>
          <t>Bengaluru</t>
        </is>
      </c>
      <c r="J680" s="12" t="inlineStr">
        <is>
          <t>Furniture</t>
        </is>
      </c>
      <c r="K680" s="12" t="inlineStr">
        <is>
          <t>Tables</t>
        </is>
      </c>
      <c r="L680" s="12" t="inlineStr">
        <is>
          <t>Prime Tables 123</t>
        </is>
      </c>
      <c r="M680" s="12" t="inlineStr">
        <is>
          <t>Second Class</t>
        </is>
      </c>
      <c r="N680" s="12" t="n">
        <v>9</v>
      </c>
      <c r="O680" s="12" t="n">
        <v>2763.61</v>
      </c>
      <c r="P680" s="12" t="n">
        <v>0.15</v>
      </c>
      <c r="Q680" s="12" t="n">
        <v>21141.62</v>
      </c>
      <c r="R680" s="12" t="n">
        <v>11676.33</v>
      </c>
      <c r="S680" s="12" t="n">
        <v>9465.290000000001</v>
      </c>
      <c r="T680" s="12" t="inlineStr">
        <is>
          <t>Paid</t>
        </is>
      </c>
      <c r="U680" s="12" t="inlineStr">
        <is>
          <t>Completed</t>
        </is>
      </c>
      <c r="V680">
        <f>IF(OR(P680="",P680&lt;0,P680&gt;0.5),0,P680)</f>
        <v/>
      </c>
      <c r="W680">
        <f>N680*O680*(1-V680)</f>
        <v/>
      </c>
      <c r="X680">
        <f>W680-R680</f>
        <v/>
      </c>
      <c r="Y680">
        <f>IF(W680=0,0,X680/W680)</f>
        <v/>
      </c>
      <c r="Z680">
        <f>C680-B680</f>
        <v/>
      </c>
      <c r="AA680">
        <f>TEXT(B680,"mmmm")</f>
        <v/>
      </c>
      <c r="AB680">
        <f>YEAR(B680)</f>
        <v/>
      </c>
      <c r="AC680">
        <f>IF(OR(P680&lt;0,P680&gt;0.5,C680&lt;B680),"INVALID","CLEAN")</f>
        <v/>
      </c>
    </row>
    <row r="681">
      <c r="A681" s="12" t="inlineStr">
        <is>
          <t>ORD-2025-10680</t>
        </is>
      </c>
      <c r="B681" s="12" t="inlineStr">
        <is>
          <t>16-08-2025</t>
        </is>
      </c>
      <c r="C681" s="12" t="inlineStr">
        <is>
          <t>23-08-2025</t>
        </is>
      </c>
      <c r="D681" s="12" t="inlineStr">
        <is>
          <t>CUST-2897</t>
        </is>
      </c>
      <c r="E681" s="12" t="inlineStr">
        <is>
          <t>Rohan Mehta</t>
        </is>
      </c>
      <c r="F681" s="12" t="inlineStr">
        <is>
          <t>Corporate</t>
        </is>
      </c>
      <c r="G681" s="12" t="inlineStr">
        <is>
          <t>North</t>
        </is>
      </c>
      <c r="H681" s="12" t="inlineStr">
        <is>
          <t>Punjab</t>
        </is>
      </c>
      <c r="I681" s="12" t="inlineStr">
        <is>
          <t>Ludhiana</t>
        </is>
      </c>
      <c r="J681" s="12" t="inlineStr">
        <is>
          <t>Technology</t>
        </is>
      </c>
      <c r="K681" s="12" t="inlineStr">
        <is>
          <t>Copiers</t>
        </is>
      </c>
      <c r="L681" s="12" t="inlineStr">
        <is>
          <t>Smart Copiers 579</t>
        </is>
      </c>
      <c r="M681" s="12" t="inlineStr">
        <is>
          <t>Same Day</t>
        </is>
      </c>
      <c r="N681" s="12" t="n">
        <v>4</v>
      </c>
      <c r="O681" s="12" t="n">
        <v>1410.57</v>
      </c>
      <c r="P681" s="12" t="inlineStr">
        <is>
          <t>70%</t>
        </is>
      </c>
      <c r="Q681" s="12" t="n">
        <v>5360.17</v>
      </c>
      <c r="R681" s="12" t="n">
        <v>3881.51</v>
      </c>
      <c r="S681" s="12" t="n">
        <v>1478.66</v>
      </c>
      <c r="T681" s="12" t="inlineStr">
        <is>
          <t>Refunded</t>
        </is>
      </c>
      <c r="U681" s="12" t="inlineStr">
        <is>
          <t>Cancelled</t>
        </is>
      </c>
      <c r="V681">
        <f>IF(OR(P681="",P681&lt;0,P681&gt;0.5),0,P681)</f>
        <v/>
      </c>
      <c r="W681">
        <f>N681*O681*(1-V681)</f>
        <v/>
      </c>
      <c r="X681">
        <f>W681-R681</f>
        <v/>
      </c>
      <c r="Y681">
        <f>IF(W681=0,0,X681/W681)</f>
        <v/>
      </c>
      <c r="Z681">
        <f>C681-B681</f>
        <v/>
      </c>
      <c r="AA681">
        <f>TEXT(B681,"mmmm")</f>
        <v/>
      </c>
      <c r="AB681">
        <f>YEAR(B681)</f>
        <v/>
      </c>
      <c r="AC681">
        <f>IF(OR(P681&lt;0,P681&gt;0.5,C681&lt;B681),"INVALID","CLEAN")</f>
        <v/>
      </c>
    </row>
    <row r="682">
      <c r="A682" s="12" t="inlineStr">
        <is>
          <t>ORD-2024-10681</t>
        </is>
      </c>
      <c r="B682" s="12" t="inlineStr">
        <is>
          <t>29 May 2024</t>
        </is>
      </c>
      <c r="C682" s="12" t="inlineStr">
        <is>
          <t>05 Jun 2024</t>
        </is>
      </c>
      <c r="D682" s="12" t="inlineStr">
        <is>
          <t>CUST-1136</t>
        </is>
      </c>
      <c r="E682" s="12" t="inlineStr">
        <is>
          <t>Kabir Singh</t>
        </is>
      </c>
      <c r="F682" s="12" t="inlineStr">
        <is>
          <t>Corporate</t>
        </is>
      </c>
      <c r="G682" s="12" t="inlineStr">
        <is>
          <t>South</t>
        </is>
      </c>
      <c r="H682" s="12" t="inlineStr">
        <is>
          <t>Tamil Nadu</t>
        </is>
      </c>
      <c r="I682" s="12" t="inlineStr">
        <is>
          <t>Chennai</t>
        </is>
      </c>
      <c r="J682" s="12" t="inlineStr">
        <is>
          <t>Technology</t>
        </is>
      </c>
      <c r="K682" s="12" t="inlineStr">
        <is>
          <t>Accessories</t>
        </is>
      </c>
      <c r="L682" s="12" t="inlineStr">
        <is>
          <t>Eco Accessories 658</t>
        </is>
      </c>
      <c r="M682" s="12" t="inlineStr">
        <is>
          <t>First Class</t>
        </is>
      </c>
      <c r="N682" s="12" t="n">
        <v>4</v>
      </c>
      <c r="O682" s="12" t="n">
        <v>3700.24</v>
      </c>
      <c r="P682" s="12" t="n">
        <v>0</v>
      </c>
      <c r="Q682" s="12" t="n">
        <v>14800.96</v>
      </c>
      <c r="R682" s="12" t="n">
        <v>12048.39</v>
      </c>
      <c r="S682" s="12" t="n">
        <v>2752.57</v>
      </c>
      <c r="T682" s="12" t="inlineStr">
        <is>
          <t>Paid</t>
        </is>
      </c>
      <c r="U682" s="12" t="inlineStr">
        <is>
          <t>Completed</t>
        </is>
      </c>
      <c r="V682">
        <f>IF(OR(P682="",P682&lt;0,P682&gt;0.5),0,P682)</f>
        <v/>
      </c>
      <c r="W682">
        <f>N682*O682*(1-V682)</f>
        <v/>
      </c>
      <c r="X682">
        <f>W682-R682</f>
        <v/>
      </c>
      <c r="Y682">
        <f>IF(W682=0,0,X682/W682)</f>
        <v/>
      </c>
      <c r="Z682">
        <f>C682-B682</f>
        <v/>
      </c>
      <c r="AA682">
        <f>TEXT(B682,"mmmm")</f>
        <v/>
      </c>
      <c r="AB682">
        <f>YEAR(B682)</f>
        <v/>
      </c>
      <c r="AC682">
        <f>IF(OR(P682&lt;0,P682&gt;0.5,C682&lt;B682),"INVALID","CLEAN")</f>
        <v/>
      </c>
    </row>
    <row r="683">
      <c r="A683" s="12" t="inlineStr">
        <is>
          <t>ORD-2024-10682</t>
        </is>
      </c>
      <c r="B683" s="12" t="inlineStr">
        <is>
          <t>07/04/2024</t>
        </is>
      </c>
      <c r="C683" s="12" t="inlineStr">
        <is>
          <t>2024-07-10</t>
        </is>
      </c>
      <c r="D683" s="12" t="inlineStr">
        <is>
          <t>CUST-1376</t>
        </is>
      </c>
      <c r="E683" s="12" t="inlineStr">
        <is>
          <t>Vikram Iyer</t>
        </is>
      </c>
      <c r="F683" s="12" t="inlineStr">
        <is>
          <t>Corporate</t>
        </is>
      </c>
      <c r="G683" s="12" t="inlineStr">
        <is>
          <t>North</t>
        </is>
      </c>
      <c r="H683" s="12" t="inlineStr">
        <is>
          <t>Delhi</t>
        </is>
      </c>
      <c r="I683" s="12" t="inlineStr">
        <is>
          <t>New Delhi</t>
        </is>
      </c>
      <c r="J683" s="12" t="inlineStr">
        <is>
          <t>Furniture</t>
        </is>
      </c>
      <c r="K683" s="12" t="inlineStr">
        <is>
          <t>Tables</t>
        </is>
      </c>
      <c r="L683" s="12" t="inlineStr">
        <is>
          <t>Smart Tables 777</t>
        </is>
      </c>
      <c r="M683" s="12" t="inlineStr">
        <is>
          <t>Second Class</t>
        </is>
      </c>
      <c r="N683" s="12" t="n">
        <v>5</v>
      </c>
      <c r="O683" s="12" t="n">
        <v>1200.27</v>
      </c>
      <c r="P683" s="12" t="n">
        <v>0</v>
      </c>
      <c r="Q683" s="12" t="n">
        <v>6001.35</v>
      </c>
      <c r="R683" s="12" t="n">
        <v>4182.99</v>
      </c>
      <c r="S683" s="12" t="n">
        <v>1818.36</v>
      </c>
      <c r="T683" s="12" t="inlineStr">
        <is>
          <t>Paid</t>
        </is>
      </c>
      <c r="U683" s="12" t="inlineStr">
        <is>
          <t>Cancelled</t>
        </is>
      </c>
      <c r="V683">
        <f>IF(OR(P683="",P683&lt;0,P683&gt;0.5),0,P683)</f>
        <v/>
      </c>
      <c r="W683">
        <f>N683*O683*(1-V683)</f>
        <v/>
      </c>
      <c r="X683">
        <f>W683-R683</f>
        <v/>
      </c>
      <c r="Y683">
        <f>IF(W683=0,0,X683/W683)</f>
        <v/>
      </c>
      <c r="Z683">
        <f>C683-B683</f>
        <v/>
      </c>
      <c r="AA683">
        <f>TEXT(B683,"mmmm")</f>
        <v/>
      </c>
      <c r="AB683">
        <f>YEAR(B683)</f>
        <v/>
      </c>
      <c r="AC683">
        <f>IF(OR(P683&lt;0,P683&gt;0.5,C683&lt;B683),"INVALID","CLEAN")</f>
        <v/>
      </c>
    </row>
    <row r="684">
      <c r="A684" s="12" t="inlineStr">
        <is>
          <t>ORD-2025-10683</t>
        </is>
      </c>
      <c r="B684" s="12" t="inlineStr">
        <is>
          <t>05 Feb 2025</t>
        </is>
      </c>
      <c r="C684" s="12" t="inlineStr">
        <is>
          <t>05-02-2025</t>
        </is>
      </c>
      <c r="D684" s="12" t="inlineStr">
        <is>
          <t>CUST-1553</t>
        </is>
      </c>
      <c r="E684" s="12" t="inlineStr">
        <is>
          <t>ananya rao</t>
        </is>
      </c>
      <c r="F684" s="12" t="inlineStr">
        <is>
          <t>Corporate</t>
        </is>
      </c>
      <c r="G684" s="12" t="inlineStr">
        <is>
          <t>North</t>
        </is>
      </c>
      <c r="H684" s="12" t="inlineStr">
        <is>
          <t>Haryana</t>
        </is>
      </c>
      <c r="I684" s="12" t="inlineStr">
        <is>
          <t>Gurugram</t>
        </is>
      </c>
      <c r="J684" s="12" t="inlineStr">
        <is>
          <t>Office Supplies</t>
        </is>
      </c>
      <c r="K684" s="12" t="inlineStr">
        <is>
          <t>Storage</t>
        </is>
      </c>
      <c r="L684" s="12" t="inlineStr">
        <is>
          <t>Eco Storage 861</t>
        </is>
      </c>
      <c r="M684" s="12" t="inlineStr">
        <is>
          <t>Same Day</t>
        </is>
      </c>
      <c r="N684" s="12" t="n">
        <v>3</v>
      </c>
      <c r="O684" s="12" t="n">
        <v>2590.78</v>
      </c>
      <c r="P684" s="12" t="n"/>
      <c r="Q684" s="12" t="n">
        <v>7383.72</v>
      </c>
      <c r="R684" s="12" t="n">
        <v>4113.66</v>
      </c>
      <c r="S684" s="12" t="n">
        <v>3270.06</v>
      </c>
      <c r="T684" s="12" t="inlineStr">
        <is>
          <t>Paid</t>
        </is>
      </c>
      <c r="U684" s="12" t="inlineStr">
        <is>
          <t>Completed</t>
        </is>
      </c>
      <c r="V684">
        <f>IF(OR(P684="",P684&lt;0,P684&gt;0.5),0,P684)</f>
        <v/>
      </c>
      <c r="W684">
        <f>N684*O684*(1-V684)</f>
        <v/>
      </c>
      <c r="X684">
        <f>W684-R684</f>
        <v/>
      </c>
      <c r="Y684">
        <f>IF(W684=0,0,X684/W684)</f>
        <v/>
      </c>
      <c r="Z684">
        <f>C684-B684</f>
        <v/>
      </c>
      <c r="AA684">
        <f>TEXT(B684,"mmmm")</f>
        <v/>
      </c>
      <c r="AB684">
        <f>YEAR(B684)</f>
        <v/>
      </c>
      <c r="AC684">
        <f>IF(OR(P684&lt;0,P684&gt;0.5,C684&lt;B684),"INVALID","CLEAN")</f>
        <v/>
      </c>
    </row>
    <row r="685">
      <c r="A685" s="12" t="inlineStr">
        <is>
          <t>ORD-2025-10684</t>
        </is>
      </c>
      <c r="B685" s="12" t="inlineStr">
        <is>
          <t>2025-07-20</t>
        </is>
      </c>
      <c r="C685" s="12" t="inlineStr">
        <is>
          <t>24-07-2025</t>
        </is>
      </c>
      <c r="D685" s="12" t="inlineStr">
        <is>
          <t>CUST-5704</t>
        </is>
      </c>
      <c r="E685" s="12" t="inlineStr">
        <is>
          <t>Arjun Bose</t>
        </is>
      </c>
      <c r="F685" s="12" t="inlineStr">
        <is>
          <t>Small Business</t>
        </is>
      </c>
      <c r="G685" s="12" t="inlineStr">
        <is>
          <t>South</t>
        </is>
      </c>
      <c r="H685" s="12" t="inlineStr">
        <is>
          <t>Telangana</t>
        </is>
      </c>
      <c r="I685" s="12" t="inlineStr">
        <is>
          <t>Hyderabad</t>
        </is>
      </c>
      <c r="J685" s="12" t="inlineStr">
        <is>
          <t>Furniture</t>
        </is>
      </c>
      <c r="K685" s="12" t="inlineStr">
        <is>
          <t>Furnishings</t>
        </is>
      </c>
      <c r="L685" s="12" t="inlineStr">
        <is>
          <t>Eco Furnishings 875</t>
        </is>
      </c>
      <c r="M685" s="12" t="inlineStr">
        <is>
          <t>Second Class</t>
        </is>
      </c>
      <c r="N685" s="12" t="n">
        <v>6</v>
      </c>
      <c r="O685" s="12" t="n">
        <v>1646.45</v>
      </c>
      <c r="P685" s="12" t="n">
        <v>0.2</v>
      </c>
      <c r="Q685" s="12" t="n">
        <v>7902.96</v>
      </c>
      <c r="R685" s="12" t="n">
        <v>5512.03</v>
      </c>
      <c r="S685" s="12" t="n">
        <v>2390.93</v>
      </c>
      <c r="T685" s="12" t="inlineStr">
        <is>
          <t>Refunded</t>
        </is>
      </c>
      <c r="U685" s="12" t="inlineStr">
        <is>
          <t>Cancelled</t>
        </is>
      </c>
      <c r="V685">
        <f>IF(OR(P685="",P685&lt;0,P685&gt;0.5),0,P685)</f>
        <v/>
      </c>
      <c r="W685">
        <f>N685*O685*(1-V685)</f>
        <v/>
      </c>
      <c r="X685">
        <f>W685-R685</f>
        <v/>
      </c>
      <c r="Y685">
        <f>IF(W685=0,0,X685/W685)</f>
        <v/>
      </c>
      <c r="Z685">
        <f>C685-B685</f>
        <v/>
      </c>
      <c r="AA685">
        <f>TEXT(B685,"mmmm")</f>
        <v/>
      </c>
      <c r="AB685">
        <f>YEAR(B685)</f>
        <v/>
      </c>
      <c r="AC685">
        <f>IF(OR(P685&lt;0,P685&gt;0.5,C685&lt;B685),"INVALID","CLEAN")</f>
        <v/>
      </c>
    </row>
    <row r="686">
      <c r="A686" s="12" t="inlineStr">
        <is>
          <t>ORD-2025-10685</t>
        </is>
      </c>
      <c r="B686" s="12" t="inlineStr">
        <is>
          <t>2025-07-21</t>
        </is>
      </c>
      <c r="C686" s="12" t="inlineStr">
        <is>
          <t>21-07-2025</t>
        </is>
      </c>
      <c r="D686" s="12" t="inlineStr">
        <is>
          <t>CUST-6738</t>
        </is>
      </c>
      <c r="E686" s="12" t="inlineStr">
        <is>
          <t>Isha Nair</t>
        </is>
      </c>
      <c r="F686" s="12" t="inlineStr">
        <is>
          <t>Home Office</t>
        </is>
      </c>
      <c r="G686" s="12" t="inlineStr">
        <is>
          <t>South</t>
        </is>
      </c>
      <c r="H686" s="12" t="inlineStr">
        <is>
          <t>Tamil Nadu</t>
        </is>
      </c>
      <c r="I686" s="12" t="inlineStr">
        <is>
          <t>Chennai</t>
        </is>
      </c>
      <c r="J686" s="12" t="inlineStr">
        <is>
          <t>Furniture</t>
        </is>
      </c>
      <c r="K686" s="12" t="inlineStr">
        <is>
          <t>Bookcases</t>
        </is>
      </c>
      <c r="L686" s="12" t="inlineStr">
        <is>
          <t>Prime Bookcases 784</t>
        </is>
      </c>
      <c r="M686" s="12" t="inlineStr">
        <is>
          <t>First Class</t>
        </is>
      </c>
      <c r="N686" s="12" t="n">
        <v>7</v>
      </c>
      <c r="O686" s="12" t="n">
        <v>4396.65</v>
      </c>
      <c r="P686" s="12" t="n">
        <v>0.2</v>
      </c>
      <c r="Q686" s="12" t="n">
        <v>24621.24</v>
      </c>
      <c r="R686" s="12" t="n">
        <v>17155.48</v>
      </c>
      <c r="S686" s="12" t="n">
        <v>7465.76</v>
      </c>
      <c r="T686" s="12" t="inlineStr">
        <is>
          <t>Refunded</t>
        </is>
      </c>
      <c r="U686" s="12" t="inlineStr">
        <is>
          <t>Cancelled</t>
        </is>
      </c>
      <c r="V686">
        <f>IF(OR(P686="",P686&lt;0,P686&gt;0.5),0,P686)</f>
        <v/>
      </c>
      <c r="W686">
        <f>N686*O686*(1-V686)</f>
        <v/>
      </c>
      <c r="X686">
        <f>W686-R686</f>
        <v/>
      </c>
      <c r="Y686">
        <f>IF(W686=0,0,X686/W686)</f>
        <v/>
      </c>
      <c r="Z686">
        <f>C686-B686</f>
        <v/>
      </c>
      <c r="AA686">
        <f>TEXT(B686,"mmmm")</f>
        <v/>
      </c>
      <c r="AB686">
        <f>YEAR(B686)</f>
        <v/>
      </c>
      <c r="AC686">
        <f>IF(OR(P686&lt;0,P686&gt;0.5,C686&lt;B686),"INVALID","CLEAN")</f>
        <v/>
      </c>
    </row>
    <row r="687">
      <c r="A687" s="12" t="inlineStr">
        <is>
          <t>ORD-2025-10686</t>
        </is>
      </c>
      <c r="B687" s="12" t="inlineStr">
        <is>
          <t>01 Oct 2025</t>
        </is>
      </c>
      <c r="C687" s="12" t="inlineStr">
        <is>
          <t>2025-10-03</t>
        </is>
      </c>
      <c r="D687" s="12" t="inlineStr">
        <is>
          <t>CUST-2586</t>
        </is>
      </c>
      <c r="E687" s="12" t="inlineStr">
        <is>
          <t>Neha Gupta</t>
        </is>
      </c>
      <c r="F687" s="12" t="inlineStr">
        <is>
          <t>Corporate</t>
        </is>
      </c>
      <c r="G687" s="12" t="inlineStr">
        <is>
          <t>West</t>
        </is>
      </c>
      <c r="H687" s="12" t="inlineStr">
        <is>
          <t>Goa</t>
        </is>
      </c>
      <c r="I687" s="12" t="inlineStr">
        <is>
          <t>Panaji</t>
        </is>
      </c>
      <c r="J687" s="12" t="inlineStr">
        <is>
          <t>Office Supplies</t>
        </is>
      </c>
      <c r="K687" s="12" t="inlineStr">
        <is>
          <t>Art</t>
        </is>
      </c>
      <c r="L687" s="12" t="inlineStr">
        <is>
          <t>Classic Art 380</t>
        </is>
      </c>
      <c r="M687" s="12" t="inlineStr">
        <is>
          <t>Standard Class</t>
        </is>
      </c>
      <c r="N687" s="12" t="n">
        <v>9</v>
      </c>
      <c r="O687" s="12" t="n">
        <v>818.15</v>
      </c>
      <c r="P687" s="12" t="n">
        <v>0.55</v>
      </c>
      <c r="Q687" s="12" t="n">
        <v>6627.01</v>
      </c>
      <c r="R687" s="12" t="n">
        <v>5606.79</v>
      </c>
      <c r="S687" s="12" t="n">
        <v>1020.22</v>
      </c>
      <c r="T687" s="12" t="inlineStr">
        <is>
          <t>Failed</t>
        </is>
      </c>
      <c r="U687" s="12" t="inlineStr">
        <is>
          <t>Cancelled</t>
        </is>
      </c>
      <c r="V687">
        <f>IF(OR(P687="",P687&lt;0,P687&gt;0.5),0,P687)</f>
        <v/>
      </c>
      <c r="W687">
        <f>N687*O687*(1-V687)</f>
        <v/>
      </c>
      <c r="X687">
        <f>W687-R687</f>
        <v/>
      </c>
      <c r="Y687">
        <f>IF(W687=0,0,X687/W687)</f>
        <v/>
      </c>
      <c r="Z687">
        <f>C687-B687</f>
        <v/>
      </c>
      <c r="AA687">
        <f>TEXT(B687,"mmmm")</f>
        <v/>
      </c>
      <c r="AB687">
        <f>YEAR(B687)</f>
        <v/>
      </c>
      <c r="AC687">
        <f>IF(OR(P687&lt;0,P687&gt;0.5,C687&lt;B687),"INVALID","CLEAN")</f>
        <v/>
      </c>
    </row>
    <row r="688">
      <c r="A688" s="12" t="inlineStr">
        <is>
          <t>ORD-2024-10687</t>
        </is>
      </c>
      <c r="B688" s="12" t="inlineStr">
        <is>
          <t>25-03-2024</t>
        </is>
      </c>
      <c r="C688" s="12" t="inlineStr">
        <is>
          <t>04/02/2024</t>
        </is>
      </c>
      <c r="D688" s="12" t="inlineStr">
        <is>
          <t>CUST-3127</t>
        </is>
      </c>
      <c r="E688" s="12" t="inlineStr">
        <is>
          <t>Sneha Kapoor</t>
        </is>
      </c>
      <c r="F688" s="12" t="inlineStr">
        <is>
          <t>Home Office</t>
        </is>
      </c>
      <c r="G688" s="12" t="inlineStr">
        <is>
          <t>South</t>
        </is>
      </c>
      <c r="H688" s="12" t="inlineStr">
        <is>
          <t>Tamil Nadu</t>
        </is>
      </c>
      <c r="I688" s="12" t="inlineStr">
        <is>
          <t>Chennai</t>
        </is>
      </c>
      <c r="J688" s="12" t="inlineStr">
        <is>
          <t>Technology</t>
        </is>
      </c>
      <c r="K688" s="12" t="inlineStr">
        <is>
          <t>Copiers</t>
        </is>
      </c>
      <c r="L688" s="12" t="inlineStr">
        <is>
          <t>Pro Copiers 502</t>
        </is>
      </c>
      <c r="M688" s="12" t="inlineStr">
        <is>
          <t>Standard Class</t>
        </is>
      </c>
      <c r="N688" s="12" t="n">
        <v>2</v>
      </c>
      <c r="O688" s="12" t="n">
        <v>2349.13</v>
      </c>
      <c r="P688" s="12" t="n">
        <v>0</v>
      </c>
      <c r="Q688" s="12" t="n">
        <v>4698.26</v>
      </c>
      <c r="R688" s="12" t="n">
        <v>2654.92</v>
      </c>
      <c r="S688" s="12" t="n">
        <v>2043.34</v>
      </c>
      <c r="T688" s="12" t="inlineStr">
        <is>
          <t>Paid</t>
        </is>
      </c>
      <c r="U688" s="12" t="inlineStr">
        <is>
          <t>Completed</t>
        </is>
      </c>
      <c r="V688">
        <f>IF(OR(P688="",P688&lt;0,P688&gt;0.5),0,P688)</f>
        <v/>
      </c>
      <c r="W688">
        <f>N688*O688*(1-V688)</f>
        <v/>
      </c>
      <c r="X688">
        <f>W688-R688</f>
        <v/>
      </c>
      <c r="Y688">
        <f>IF(W688=0,0,X688/W688)</f>
        <v/>
      </c>
      <c r="Z688">
        <f>C688-B688</f>
        <v/>
      </c>
      <c r="AA688">
        <f>TEXT(B688,"mmmm")</f>
        <v/>
      </c>
      <c r="AB688">
        <f>YEAR(B688)</f>
        <v/>
      </c>
      <c r="AC688">
        <f>IF(OR(P688&lt;0,P688&gt;0.5,C688&lt;B688),"INVALID","CLEAN")</f>
        <v/>
      </c>
    </row>
    <row r="689">
      <c r="A689" s="12" t="inlineStr">
        <is>
          <t>ORD-2025-10688</t>
        </is>
      </c>
      <c r="B689" s="12" t="inlineStr">
        <is>
          <t>08 Oct 2025</t>
        </is>
      </c>
      <c r="C689" s="12" t="inlineStr">
        <is>
          <t>13-10-2025</t>
        </is>
      </c>
      <c r="D689" s="12" t="inlineStr">
        <is>
          <t>CUST-9347</t>
        </is>
      </c>
      <c r="E689" s="12" t="inlineStr">
        <is>
          <t>Mira Das</t>
        </is>
      </c>
      <c r="F689" s="12" t="inlineStr">
        <is>
          <t>Home Office</t>
        </is>
      </c>
      <c r="G689" s="12" t="inlineStr">
        <is>
          <t>North</t>
        </is>
      </c>
      <c r="H689" s="12" t="inlineStr">
        <is>
          <t>Punjab</t>
        </is>
      </c>
      <c r="I689" s="12" t="inlineStr">
        <is>
          <t>Ludhiana</t>
        </is>
      </c>
      <c r="J689" s="12" t="inlineStr">
        <is>
          <t>Furniture</t>
        </is>
      </c>
      <c r="K689" s="12" t="inlineStr">
        <is>
          <t>Tables</t>
        </is>
      </c>
      <c r="L689" s="12" t="inlineStr">
        <is>
          <t>Prime Tables 604</t>
        </is>
      </c>
      <c r="M689" s="12" t="inlineStr">
        <is>
          <t>First Class</t>
        </is>
      </c>
      <c r="N689" s="12" t="n">
        <v>4</v>
      </c>
      <c r="O689" s="12" t="n">
        <v>172.05</v>
      </c>
      <c r="P689" s="12" t="n">
        <v>0</v>
      </c>
      <c r="Q689" s="12" t="n">
        <v>688.2</v>
      </c>
      <c r="R689" s="12" t="n">
        <v>497.68</v>
      </c>
      <c r="S689" s="12" t="n">
        <v>190.52</v>
      </c>
      <c r="T689" s="12" t="inlineStr">
        <is>
          <t>Failed</t>
        </is>
      </c>
      <c r="U689" s="12" t="inlineStr">
        <is>
          <t>Cancelled</t>
        </is>
      </c>
      <c r="V689">
        <f>IF(OR(P689="",P689&lt;0,P689&gt;0.5),0,P689)</f>
        <v/>
      </c>
      <c r="W689">
        <f>N689*O689*(1-V689)</f>
        <v/>
      </c>
      <c r="X689">
        <f>W689-R689</f>
        <v/>
      </c>
      <c r="Y689">
        <f>IF(W689=0,0,X689/W689)</f>
        <v/>
      </c>
      <c r="Z689">
        <f>C689-B689</f>
        <v/>
      </c>
      <c r="AA689">
        <f>TEXT(B689,"mmmm")</f>
        <v/>
      </c>
      <c r="AB689">
        <f>YEAR(B689)</f>
        <v/>
      </c>
      <c r="AC689">
        <f>IF(OR(P689&lt;0,P689&gt;0.5,C689&lt;B689),"INVALID","CLEAN")</f>
        <v/>
      </c>
    </row>
    <row r="690">
      <c r="A690" s="12" t="inlineStr">
        <is>
          <t>ORD-2025-10689</t>
        </is>
      </c>
      <c r="B690" s="12" t="inlineStr">
        <is>
          <t>26 Feb 2025</t>
        </is>
      </c>
      <c r="C690" s="12" t="inlineStr">
        <is>
          <t>27 Feb 2025</t>
        </is>
      </c>
      <c r="D690" s="12" t="inlineStr">
        <is>
          <t>CUST-8575</t>
        </is>
      </c>
      <c r="E690" s="12" t="inlineStr">
        <is>
          <t>Neha Gupta</t>
        </is>
      </c>
      <c r="F690" s="12" t="inlineStr">
        <is>
          <t>Home Office</t>
        </is>
      </c>
      <c r="G690" s="12" t="inlineStr">
        <is>
          <t>North</t>
        </is>
      </c>
      <c r="H690" s="12" t="inlineStr">
        <is>
          <t>Haryana</t>
        </is>
      </c>
      <c r="I690" s="12" t="inlineStr">
        <is>
          <t>Gurugram</t>
        </is>
      </c>
      <c r="J690" s="12" t="inlineStr">
        <is>
          <t>Office Supplies</t>
        </is>
      </c>
      <c r="K690" s="12" t="inlineStr">
        <is>
          <t>Art</t>
        </is>
      </c>
      <c r="L690" s="12" t="inlineStr">
        <is>
          <t>Basic Art 798</t>
        </is>
      </c>
      <c r="M690" s="12" t="inlineStr">
        <is>
          <t>Second Class</t>
        </is>
      </c>
      <c r="N690" s="12" t="n">
        <v>6</v>
      </c>
      <c r="O690" s="12" t="n">
        <v>3037.66</v>
      </c>
      <c r="P690" s="12" t="n">
        <v>0.15</v>
      </c>
      <c r="Q690" s="12" t="n">
        <v>15492.07</v>
      </c>
      <c r="R690" s="12" t="n">
        <v>12581.23</v>
      </c>
      <c r="S690" s="12" t="n">
        <v>2910.84</v>
      </c>
      <c r="T690" s="12" t="inlineStr">
        <is>
          <t>Paid</t>
        </is>
      </c>
      <c r="U690" s="12" t="inlineStr">
        <is>
          <t>Completed</t>
        </is>
      </c>
      <c r="V690">
        <f>IF(OR(P690="",P690&lt;0,P690&gt;0.5),0,P690)</f>
        <v/>
      </c>
      <c r="W690">
        <f>N690*O690*(1-V690)</f>
        <v/>
      </c>
      <c r="X690">
        <f>W690-R690</f>
        <v/>
      </c>
      <c r="Y690">
        <f>IF(W690=0,0,X690/W690)</f>
        <v/>
      </c>
      <c r="Z690">
        <f>C690-B690</f>
        <v/>
      </c>
      <c r="AA690">
        <f>TEXT(B690,"mmmm")</f>
        <v/>
      </c>
      <c r="AB690">
        <f>YEAR(B690)</f>
        <v/>
      </c>
      <c r="AC690">
        <f>IF(OR(P690&lt;0,P690&gt;0.5,C690&lt;B690),"INVALID","CLEAN")</f>
        <v/>
      </c>
    </row>
    <row r="691">
      <c r="A691" s="12" t="inlineStr">
        <is>
          <t>ORD-2024-10690</t>
        </is>
      </c>
      <c r="B691" s="12" t="inlineStr">
        <is>
          <t>05-10-2024</t>
        </is>
      </c>
      <c r="C691" s="12" t="inlineStr">
        <is>
          <t>06 Oct 2024</t>
        </is>
      </c>
      <c r="D691" s="12" t="inlineStr">
        <is>
          <t>CUST-4382</t>
        </is>
      </c>
      <c r="E691" s="12" t="inlineStr">
        <is>
          <t>Rohan Mehta</t>
        </is>
      </c>
      <c r="F691" s="12" t="inlineStr">
        <is>
          <t>Small Business</t>
        </is>
      </c>
      <c r="G691" s="12" t="inlineStr">
        <is>
          <t>North</t>
        </is>
      </c>
      <c r="H691" s="12" t="inlineStr">
        <is>
          <t>Punjab</t>
        </is>
      </c>
      <c r="I691" s="12" t="inlineStr">
        <is>
          <t>Ludhiana</t>
        </is>
      </c>
      <c r="J691" s="12" t="inlineStr">
        <is>
          <t>Furniture</t>
        </is>
      </c>
      <c r="K691" s="12" t="inlineStr">
        <is>
          <t>Tables</t>
        </is>
      </c>
      <c r="L691" s="12" t="inlineStr">
        <is>
          <t>Elite Tables 717</t>
        </is>
      </c>
      <c r="M691" s="12" t="inlineStr">
        <is>
          <t>Standard Class</t>
        </is>
      </c>
      <c r="N691" s="12" t="n">
        <v>9</v>
      </c>
      <c r="O691" s="12" t="n">
        <v>489.58</v>
      </c>
      <c r="P691" s="12" t="n">
        <v>0.15</v>
      </c>
      <c r="Q691" s="12" t="n">
        <v>3745.29</v>
      </c>
      <c r="R691" s="12" t="n">
        <v>2302.65</v>
      </c>
      <c r="S691" s="12" t="n">
        <v>1442.64</v>
      </c>
      <c r="T691" s="12" t="inlineStr">
        <is>
          <t>Failed</t>
        </is>
      </c>
      <c r="U691" s="12" t="inlineStr">
        <is>
          <t>Cancelled</t>
        </is>
      </c>
      <c r="V691">
        <f>IF(OR(P691="",P691&lt;0,P691&gt;0.5),0,P691)</f>
        <v/>
      </c>
      <c r="W691">
        <f>N691*O691*(1-V691)</f>
        <v/>
      </c>
      <c r="X691">
        <f>W691-R691</f>
        <v/>
      </c>
      <c r="Y691">
        <f>IF(W691=0,0,X691/W691)</f>
        <v/>
      </c>
      <c r="Z691">
        <f>C691-B691</f>
        <v/>
      </c>
      <c r="AA691">
        <f>TEXT(B691,"mmmm")</f>
        <v/>
      </c>
      <c r="AB691">
        <f>YEAR(B691)</f>
        <v/>
      </c>
      <c r="AC691">
        <f>IF(OR(P691&lt;0,P691&gt;0.5,C691&lt;B691),"INVALID","CLEAN")</f>
        <v/>
      </c>
    </row>
    <row r="692">
      <c r="A692" s="12" t="inlineStr">
        <is>
          <t>ORD-2024-10691</t>
        </is>
      </c>
      <c r="B692" s="12" t="inlineStr">
        <is>
          <t>09/11/2024</t>
        </is>
      </c>
      <c r="C692" s="12" t="inlineStr">
        <is>
          <t>2024-09-15</t>
        </is>
      </c>
      <c r="D692" s="12" t="inlineStr">
        <is>
          <t>CUST-6815</t>
        </is>
      </c>
      <c r="E692" s="12" t="inlineStr">
        <is>
          <t>Sneha Kapoor</t>
        </is>
      </c>
      <c r="F692" s="12" t="inlineStr">
        <is>
          <t>Corporate</t>
        </is>
      </c>
      <c r="G692" s="12" t="inlineStr">
        <is>
          <t>South</t>
        </is>
      </c>
      <c r="H692" s="12" t="inlineStr">
        <is>
          <t>Tamil Nadu</t>
        </is>
      </c>
      <c r="I692" s="12" t="inlineStr">
        <is>
          <t>Chennai</t>
        </is>
      </c>
      <c r="J692" s="12" t="inlineStr">
        <is>
          <t>Office Supplies</t>
        </is>
      </c>
      <c r="K692" s="12" t="inlineStr">
        <is>
          <t>Art</t>
        </is>
      </c>
      <c r="L692" s="12" t="inlineStr">
        <is>
          <t>Max Art 725</t>
        </is>
      </c>
      <c r="M692" s="12" t="inlineStr">
        <is>
          <t>Standard Class</t>
        </is>
      </c>
      <c r="N692" s="12" t="n">
        <v>4</v>
      </c>
      <c r="O692" s="12" t="n">
        <v>865.63</v>
      </c>
      <c r="P692" s="12" t="n">
        <v>0</v>
      </c>
      <c r="Q692" s="12" t="n">
        <v>3462.52</v>
      </c>
      <c r="R692" s="12" t="n">
        <v>2797.29</v>
      </c>
      <c r="S692" s="12" t="n">
        <v>665.23</v>
      </c>
      <c r="T692" s="12" t="inlineStr">
        <is>
          <t>Failed</t>
        </is>
      </c>
      <c r="U692" s="12" t="inlineStr">
        <is>
          <t>Returned</t>
        </is>
      </c>
      <c r="V692">
        <f>IF(OR(P692="",P692&lt;0,P692&gt;0.5),0,P692)</f>
        <v/>
      </c>
      <c r="W692">
        <f>N692*O692*(1-V692)</f>
        <v/>
      </c>
      <c r="X692">
        <f>W692-R692</f>
        <v/>
      </c>
      <c r="Y692">
        <f>IF(W692=0,0,X692/W692)</f>
        <v/>
      </c>
      <c r="Z692">
        <f>C692-B692</f>
        <v/>
      </c>
      <c r="AA692">
        <f>TEXT(B692,"mmmm")</f>
        <v/>
      </c>
      <c r="AB692">
        <f>YEAR(B692)</f>
        <v/>
      </c>
      <c r="AC692">
        <f>IF(OR(P692&lt;0,P692&gt;0.5,C692&lt;B692),"INVALID","CLEAN")</f>
        <v/>
      </c>
    </row>
    <row r="693">
      <c r="A693" s="12" t="inlineStr">
        <is>
          <t>ORD-2024-10692</t>
        </is>
      </c>
      <c r="B693" s="12" t="inlineStr">
        <is>
          <t>15-12-2024</t>
        </is>
      </c>
      <c r="C693" s="12" t="inlineStr">
        <is>
          <t>16-12-2024</t>
        </is>
      </c>
      <c r="D693" s="12" t="inlineStr">
        <is>
          <t>CUST-7309</t>
        </is>
      </c>
      <c r="E693" s="12" t="inlineStr">
        <is>
          <t>Rohan Mehta</t>
        </is>
      </c>
      <c r="F693" s="12" t="inlineStr">
        <is>
          <t>Consumer</t>
        </is>
      </c>
      <c r="G693" s="12" t="inlineStr">
        <is>
          <t>East</t>
        </is>
      </c>
      <c r="H693" s="12" t="inlineStr">
        <is>
          <t>Odisha</t>
        </is>
      </c>
      <c r="I693" s="12" t="inlineStr">
        <is>
          <t>Bhubaneswar</t>
        </is>
      </c>
      <c r="J693" s="12" t="inlineStr">
        <is>
          <t>Technology</t>
        </is>
      </c>
      <c r="K693" s="12" t="inlineStr">
        <is>
          <t>Copiers</t>
        </is>
      </c>
      <c r="L693" s="12" t="inlineStr">
        <is>
          <t>Smart Copiers 456</t>
        </is>
      </c>
      <c r="M693" s="12" t="inlineStr">
        <is>
          <t>Second Class</t>
        </is>
      </c>
      <c r="N693" s="12" t="n">
        <v>6</v>
      </c>
      <c r="O693" s="12" t="n">
        <v>1538.1</v>
      </c>
      <c r="P693" s="12" t="n">
        <v>0.05</v>
      </c>
      <c r="Q693" s="12" t="n">
        <v>8767.17</v>
      </c>
      <c r="R693" s="12" t="n">
        <v>5098.2</v>
      </c>
      <c r="S693" s="12" t="n">
        <v>3668.97</v>
      </c>
      <c r="T693" s="12" t="inlineStr">
        <is>
          <t>Paid</t>
        </is>
      </c>
      <c r="U693" s="12" t="inlineStr">
        <is>
          <t>Completed</t>
        </is>
      </c>
      <c r="V693">
        <f>IF(OR(P693="",P693&lt;0,P693&gt;0.5),0,P693)</f>
        <v/>
      </c>
      <c r="W693">
        <f>N693*O693*(1-V693)</f>
        <v/>
      </c>
      <c r="X693">
        <f>W693-R693</f>
        <v/>
      </c>
      <c r="Y693">
        <f>IF(W693=0,0,X693/W693)</f>
        <v/>
      </c>
      <c r="Z693">
        <f>C693-B693</f>
        <v/>
      </c>
      <c r="AA693">
        <f>TEXT(B693,"mmmm")</f>
        <v/>
      </c>
      <c r="AB693">
        <f>YEAR(B693)</f>
        <v/>
      </c>
      <c r="AC693">
        <f>IF(OR(P693&lt;0,P693&gt;0.5,C693&lt;B693),"INVALID","CLEAN")</f>
        <v/>
      </c>
    </row>
    <row r="694">
      <c r="A694" s="12" t="inlineStr">
        <is>
          <t>ORD-2025-10693</t>
        </is>
      </c>
      <c r="B694" s="12" t="inlineStr">
        <is>
          <t>05-10-2025</t>
        </is>
      </c>
      <c r="C694" s="12" t="inlineStr">
        <is>
          <t>10-10-2025</t>
        </is>
      </c>
      <c r="D694" s="12" t="inlineStr">
        <is>
          <t>CUST-9531</t>
        </is>
      </c>
      <c r="E694" s="12" t="inlineStr">
        <is>
          <t>Isha Nair</t>
        </is>
      </c>
      <c r="F694" s="12" t="inlineStr">
        <is>
          <t>corporate</t>
        </is>
      </c>
      <c r="G694" s="12" t="inlineStr">
        <is>
          <t>South</t>
        </is>
      </c>
      <c r="H694" s="12" t="inlineStr">
        <is>
          <t>Karnataka</t>
        </is>
      </c>
      <c r="I694" s="12" t="inlineStr">
        <is>
          <t>Bengaluru</t>
        </is>
      </c>
      <c r="J694" s="12" t="inlineStr">
        <is>
          <t>Furniture</t>
        </is>
      </c>
      <c r="K694" s="12" t="inlineStr">
        <is>
          <t>Furnishings</t>
        </is>
      </c>
      <c r="L694" s="12" t="inlineStr">
        <is>
          <t>Prime Furnishings 883</t>
        </is>
      </c>
      <c r="M694" s="12" t="inlineStr">
        <is>
          <t>Second Class</t>
        </is>
      </c>
      <c r="N694" s="12" t="n">
        <v>4</v>
      </c>
      <c r="O694" s="12" t="n">
        <v>2365.68</v>
      </c>
      <c r="P694" s="12" t="n">
        <v>0.1</v>
      </c>
      <c r="Q694" s="12" t="n">
        <v>8516.450000000001</v>
      </c>
      <c r="R694" s="12" t="n">
        <v>5903.81</v>
      </c>
      <c r="S694" s="12" t="n">
        <v>2612.64</v>
      </c>
      <c r="T694" s="12" t="inlineStr">
        <is>
          <t>Paid</t>
        </is>
      </c>
      <c r="U694" s="12" t="inlineStr">
        <is>
          <t>Completed</t>
        </is>
      </c>
      <c r="V694">
        <f>IF(OR(P694="",P694&lt;0,P694&gt;0.5),0,P694)</f>
        <v/>
      </c>
      <c r="W694">
        <f>N694*O694*(1-V694)</f>
        <v/>
      </c>
      <c r="X694">
        <f>W694-R694</f>
        <v/>
      </c>
      <c r="Y694">
        <f>IF(W694=0,0,X694/W694)</f>
        <v/>
      </c>
      <c r="Z694">
        <f>C694-B694</f>
        <v/>
      </c>
      <c r="AA694">
        <f>TEXT(B694,"mmmm")</f>
        <v/>
      </c>
      <c r="AB694">
        <f>YEAR(B694)</f>
        <v/>
      </c>
      <c r="AC694">
        <f>IF(OR(P694&lt;0,P694&gt;0.5,C694&lt;B694),"INVALID","CLEAN")</f>
        <v/>
      </c>
    </row>
    <row r="695">
      <c r="A695" s="12" t="inlineStr">
        <is>
          <t>ORD-2025-10694</t>
        </is>
      </c>
      <c r="B695" s="12" t="inlineStr">
        <is>
          <t>03-04-2025</t>
        </is>
      </c>
      <c r="C695" s="12" t="inlineStr">
        <is>
          <t>2025-04-11</t>
        </is>
      </c>
      <c r="D695" s="12" t="inlineStr">
        <is>
          <t>CUST-6032</t>
        </is>
      </c>
      <c r="E695" s="12" t="inlineStr">
        <is>
          <t>Arjun Bose</t>
        </is>
      </c>
      <c r="F695" s="12" t="inlineStr">
        <is>
          <t>Consumer</t>
        </is>
      </c>
      <c r="G695" s="12" t="inlineStr">
        <is>
          <t>South</t>
        </is>
      </c>
      <c r="H695" s="12" t="inlineStr">
        <is>
          <t>Tamil Nadu</t>
        </is>
      </c>
      <c r="I695" s="12" t="inlineStr">
        <is>
          <t>Chennai</t>
        </is>
      </c>
      <c r="J695" s="12" t="inlineStr">
        <is>
          <t>Furniture</t>
        </is>
      </c>
      <c r="K695" s="12" t="inlineStr">
        <is>
          <t>Bookcases</t>
        </is>
      </c>
      <c r="L695" s="12" t="inlineStr">
        <is>
          <t>Smart Bookcases 828</t>
        </is>
      </c>
      <c r="M695" s="12" t="inlineStr">
        <is>
          <t>Second Class</t>
        </is>
      </c>
      <c r="N695" s="12" t="n">
        <v>3</v>
      </c>
      <c r="O695" s="12" t="n">
        <v>4149.77</v>
      </c>
      <c r="P695" s="12" t="n">
        <v>0.05</v>
      </c>
      <c r="Q695" s="12" t="n">
        <v>11826.84</v>
      </c>
      <c r="R695" s="12" t="n">
        <v>8035.96</v>
      </c>
      <c r="S695" s="12" t="n">
        <v>3790.88</v>
      </c>
      <c r="T695" s="12" t="inlineStr">
        <is>
          <t>Paid</t>
        </is>
      </c>
      <c r="U695" s="12" t="inlineStr">
        <is>
          <t>Completed</t>
        </is>
      </c>
      <c r="V695">
        <f>IF(OR(P695="",P695&lt;0,P695&gt;0.5),0,P695)</f>
        <v/>
      </c>
      <c r="W695">
        <f>N695*O695*(1-V695)</f>
        <v/>
      </c>
      <c r="X695">
        <f>W695-R695</f>
        <v/>
      </c>
      <c r="Y695">
        <f>IF(W695=0,0,X695/W695)</f>
        <v/>
      </c>
      <c r="Z695">
        <f>C695-B695</f>
        <v/>
      </c>
      <c r="AA695">
        <f>TEXT(B695,"mmmm")</f>
        <v/>
      </c>
      <c r="AB695">
        <f>YEAR(B695)</f>
        <v/>
      </c>
      <c r="AC695">
        <f>IF(OR(P695&lt;0,P695&gt;0.5,C695&lt;B695),"INVALID","CLEAN")</f>
        <v/>
      </c>
    </row>
    <row r="696">
      <c r="A696" s="12" t="inlineStr">
        <is>
          <t>ORD-2025-10695</t>
        </is>
      </c>
      <c r="B696" s="12" t="inlineStr">
        <is>
          <t>01-08-2025</t>
        </is>
      </c>
      <c r="C696" s="12" t="inlineStr">
        <is>
          <t>09-08-2025</t>
        </is>
      </c>
      <c r="D696" s="12" t="inlineStr">
        <is>
          <t>CUST-8025</t>
        </is>
      </c>
      <c r="E696" s="12" t="inlineStr">
        <is>
          <t>Isha Nair</t>
        </is>
      </c>
      <c r="F696" s="12" t="inlineStr">
        <is>
          <t>Consumer</t>
        </is>
      </c>
      <c r="G696" s="12" t="inlineStr">
        <is>
          <t>South</t>
        </is>
      </c>
      <c r="H696" s="12" t="inlineStr">
        <is>
          <t>Andhra Pradesh</t>
        </is>
      </c>
      <c r="I696" s="12" t="inlineStr">
        <is>
          <t>Vijayawada</t>
        </is>
      </c>
      <c r="J696" s="12" t="inlineStr">
        <is>
          <t>Office Supplies</t>
        </is>
      </c>
      <c r="K696" s="12" t="inlineStr">
        <is>
          <t>Storage</t>
        </is>
      </c>
      <c r="L696" s="12" t="inlineStr">
        <is>
          <t>Classic Storage 291</t>
        </is>
      </c>
      <c r="M696" s="12" t="inlineStr">
        <is>
          <t>First Class</t>
        </is>
      </c>
      <c r="N696" s="12" t="n">
        <v>5</v>
      </c>
      <c r="O696" s="12" t="n">
        <v>2736.24</v>
      </c>
      <c r="P696" s="12" t="n">
        <v>0.15</v>
      </c>
      <c r="Q696" s="12" t="n">
        <v>11629.02</v>
      </c>
      <c r="R696" s="12" t="n">
        <v>9627.209999999999</v>
      </c>
      <c r="S696" s="12" t="n">
        <v>2001.81</v>
      </c>
      <c r="T696" s="12" t="inlineStr">
        <is>
          <t>Paid</t>
        </is>
      </c>
      <c r="U696" s="12" t="inlineStr">
        <is>
          <t>Completed</t>
        </is>
      </c>
      <c r="V696">
        <f>IF(OR(P696="",P696&lt;0,P696&gt;0.5),0,P696)</f>
        <v/>
      </c>
      <c r="W696">
        <f>N696*O696*(1-V696)</f>
        <v/>
      </c>
      <c r="X696">
        <f>W696-R696</f>
        <v/>
      </c>
      <c r="Y696">
        <f>IF(W696=0,0,X696/W696)</f>
        <v/>
      </c>
      <c r="Z696">
        <f>C696-B696</f>
        <v/>
      </c>
      <c r="AA696">
        <f>TEXT(B696,"mmmm")</f>
        <v/>
      </c>
      <c r="AB696">
        <f>YEAR(B696)</f>
        <v/>
      </c>
      <c r="AC696">
        <f>IF(OR(P696&lt;0,P696&gt;0.5,C696&lt;B696),"INVALID","CLEAN")</f>
        <v/>
      </c>
    </row>
    <row r="697">
      <c r="A697" s="12" t="inlineStr">
        <is>
          <t>ORD-2024-10696</t>
        </is>
      </c>
      <c r="B697" s="12" t="inlineStr">
        <is>
          <t>2024-07-01</t>
        </is>
      </c>
      <c r="C697" s="12" t="inlineStr">
        <is>
          <t>01-07-2024</t>
        </is>
      </c>
      <c r="D697" s="12" t="inlineStr">
        <is>
          <t>CUST-6257</t>
        </is>
      </c>
      <c r="E697" s="12" t="inlineStr">
        <is>
          <t>Aarav Sharma</t>
        </is>
      </c>
      <c r="F697" s="12" t="inlineStr">
        <is>
          <t>Consumer</t>
        </is>
      </c>
      <c r="G697" s="12" t="inlineStr">
        <is>
          <t>West</t>
        </is>
      </c>
      <c r="H697" s="12" t="inlineStr">
        <is>
          <t>Madhya Pradesh</t>
        </is>
      </c>
      <c r="I697" s="12" t="inlineStr">
        <is>
          <t>Indore</t>
        </is>
      </c>
      <c r="J697" s="12" t="inlineStr">
        <is>
          <t>Technology</t>
        </is>
      </c>
      <c r="K697" s="12" t="inlineStr">
        <is>
          <t xml:space="preserve">Machines </t>
        </is>
      </c>
      <c r="L697" s="12" t="inlineStr">
        <is>
          <t>Prime Machines 102</t>
        </is>
      </c>
      <c r="M697" s="12" t="inlineStr">
        <is>
          <t>Standard Class</t>
        </is>
      </c>
      <c r="N697" s="12" t="n">
        <v>4</v>
      </c>
      <c r="O697" s="12" t="n">
        <v>257.39</v>
      </c>
      <c r="P697" s="12" t="n">
        <v>0</v>
      </c>
      <c r="Q697" s="12" t="n">
        <v>1029.56</v>
      </c>
      <c r="R697" s="12" t="n">
        <v>626.33</v>
      </c>
      <c r="S697" s="12" t="n">
        <v>403.23</v>
      </c>
      <c r="T697" s="12" t="inlineStr">
        <is>
          <t>Paid</t>
        </is>
      </c>
      <c r="U697" s="12" t="inlineStr">
        <is>
          <t>Completed</t>
        </is>
      </c>
      <c r="V697">
        <f>IF(OR(P697="",P697&lt;0,P697&gt;0.5),0,P697)</f>
        <v/>
      </c>
      <c r="W697">
        <f>N697*O697*(1-V697)</f>
        <v/>
      </c>
      <c r="X697">
        <f>W697-R697</f>
        <v/>
      </c>
      <c r="Y697">
        <f>IF(W697=0,0,X697/W697)</f>
        <v/>
      </c>
      <c r="Z697">
        <f>C697-B697</f>
        <v/>
      </c>
      <c r="AA697">
        <f>TEXT(B697,"mmmm")</f>
        <v/>
      </c>
      <c r="AB697">
        <f>YEAR(B697)</f>
        <v/>
      </c>
      <c r="AC697">
        <f>IF(OR(P697&lt;0,P697&gt;0.5,C697&lt;B697),"INVALID","CLEAN")</f>
        <v/>
      </c>
    </row>
    <row r="698">
      <c r="A698" s="12" t="inlineStr">
        <is>
          <t>ORD-2025-10697</t>
        </is>
      </c>
      <c r="B698" s="12" t="inlineStr">
        <is>
          <t>22 Sep 2025</t>
        </is>
      </c>
      <c r="C698" s="12" t="inlineStr">
        <is>
          <t>25 Sep 2025</t>
        </is>
      </c>
      <c r="D698" s="12" t="inlineStr">
        <is>
          <t>CUST-7812</t>
        </is>
      </c>
      <c r="E698" s="12" t="inlineStr">
        <is>
          <t>Isha Nair</t>
        </is>
      </c>
      <c r="F698" s="12" t="inlineStr">
        <is>
          <t>Small Business</t>
        </is>
      </c>
      <c r="G698" s="12" t="inlineStr">
        <is>
          <t>South</t>
        </is>
      </c>
      <c r="H698" s="12" t="inlineStr">
        <is>
          <t>Kerala</t>
        </is>
      </c>
      <c r="I698" s="12" t="inlineStr">
        <is>
          <t>Kochi</t>
        </is>
      </c>
      <c r="J698" s="12" t="inlineStr">
        <is>
          <t>Technology</t>
        </is>
      </c>
      <c r="K698" s="12" t="inlineStr">
        <is>
          <t>Phones</t>
        </is>
      </c>
      <c r="L698" s="12" t="inlineStr">
        <is>
          <t>Classic Phones 842</t>
        </is>
      </c>
      <c r="M698" s="12" t="n"/>
      <c r="N698" s="12" t="n">
        <v>4</v>
      </c>
      <c r="O698" s="12" t="n">
        <v>1178.84</v>
      </c>
      <c r="P698" s="12" t="n">
        <v>0.25</v>
      </c>
      <c r="Q698" s="12" t="n">
        <v>3536.52</v>
      </c>
      <c r="R698" s="12" t="n">
        <v>2102.41</v>
      </c>
      <c r="S698" s="12" t="n">
        <v>1363.28</v>
      </c>
      <c r="T698" s="12" t="inlineStr">
        <is>
          <t>Paid</t>
        </is>
      </c>
      <c r="U698" s="12" t="inlineStr">
        <is>
          <t>Completed</t>
        </is>
      </c>
      <c r="V698">
        <f>IF(OR(P698="",P698&lt;0,P698&gt;0.5),0,P698)</f>
        <v/>
      </c>
      <c r="W698">
        <f>N698*O698*(1-V698)</f>
        <v/>
      </c>
      <c r="X698">
        <f>W698-R698</f>
        <v/>
      </c>
      <c r="Y698">
        <f>IF(W698=0,0,X698/W698)</f>
        <v/>
      </c>
      <c r="Z698">
        <f>C698-B698</f>
        <v/>
      </c>
      <c r="AA698">
        <f>TEXT(B698,"mmmm")</f>
        <v/>
      </c>
      <c r="AB698">
        <f>YEAR(B698)</f>
        <v/>
      </c>
      <c r="AC698">
        <f>IF(OR(P698&lt;0,P698&gt;0.5,C698&lt;B698),"INVALID","CLEAN")</f>
        <v/>
      </c>
    </row>
    <row r="699">
      <c r="A699" s="12" t="inlineStr">
        <is>
          <t>ORD-2025-10698</t>
        </is>
      </c>
      <c r="B699" s="12" t="inlineStr">
        <is>
          <t>03/01/2025</t>
        </is>
      </c>
      <c r="C699" s="12" t="inlineStr">
        <is>
          <t>07-03-2025</t>
        </is>
      </c>
      <c r="D699" s="12" t="inlineStr">
        <is>
          <t>CUST-6205</t>
        </is>
      </c>
      <c r="E699" s="12" t="inlineStr">
        <is>
          <t>Arjun Bose</t>
        </is>
      </c>
      <c r="F699" s="12" t="inlineStr">
        <is>
          <t>Corporate</t>
        </is>
      </c>
      <c r="G699" s="12" t="inlineStr">
        <is>
          <t>South</t>
        </is>
      </c>
      <c r="H699" s="12" t="inlineStr">
        <is>
          <t>Andhra Pradesh</t>
        </is>
      </c>
      <c r="I699" s="12" t="inlineStr">
        <is>
          <t>Vijayawada</t>
        </is>
      </c>
      <c r="J699" s="12" t="inlineStr">
        <is>
          <t>Office Supplies</t>
        </is>
      </c>
      <c r="K699" s="12" t="inlineStr">
        <is>
          <t>Labels</t>
        </is>
      </c>
      <c r="L699" s="12" t="inlineStr">
        <is>
          <t>Max Labels 970</t>
        </is>
      </c>
      <c r="M699" s="12" t="inlineStr">
        <is>
          <t>First Class</t>
        </is>
      </c>
      <c r="N699" s="12" t="n">
        <v>7</v>
      </c>
      <c r="O699" s="12" t="n">
        <v>567.15</v>
      </c>
      <c r="P699" s="12" t="n"/>
      <c r="Q699" s="12" t="n">
        <v>2977.54</v>
      </c>
      <c r="R699" s="12" t="n">
        <v>1849.3</v>
      </c>
      <c r="S699" s="12" t="n">
        <v>1128.24</v>
      </c>
      <c r="T699" s="12" t="inlineStr">
        <is>
          <t>Refunded</t>
        </is>
      </c>
      <c r="U699" s="12" t="inlineStr">
        <is>
          <t>Returned</t>
        </is>
      </c>
      <c r="V699">
        <f>IF(OR(P699="",P699&lt;0,P699&gt;0.5),0,P699)</f>
        <v/>
      </c>
      <c r="W699">
        <f>N699*O699*(1-V699)</f>
        <v/>
      </c>
      <c r="X699">
        <f>W699-R699</f>
        <v/>
      </c>
      <c r="Y699">
        <f>IF(W699=0,0,X699/W699)</f>
        <v/>
      </c>
      <c r="Z699">
        <f>C699-B699</f>
        <v/>
      </c>
      <c r="AA699">
        <f>TEXT(B699,"mmmm")</f>
        <v/>
      </c>
      <c r="AB699">
        <f>YEAR(B699)</f>
        <v/>
      </c>
      <c r="AC699">
        <f>IF(OR(P699&lt;0,P699&gt;0.5,C699&lt;B699),"INVALID","CLEAN")</f>
        <v/>
      </c>
    </row>
    <row r="700">
      <c r="A700" s="12" t="inlineStr">
        <is>
          <t>ORD-2024-10699</t>
        </is>
      </c>
      <c r="B700" s="12" t="inlineStr">
        <is>
          <t>14-09-2024</t>
        </is>
      </c>
      <c r="C700" s="12" t="inlineStr">
        <is>
          <t>2024-09-14</t>
        </is>
      </c>
      <c r="D700" s="12" t="inlineStr">
        <is>
          <t>CUST-5357</t>
        </is>
      </c>
      <c r="E700" s="12" t="inlineStr">
        <is>
          <t>Mira Das</t>
        </is>
      </c>
      <c r="F700" s="12" t="inlineStr">
        <is>
          <t>Corporate</t>
        </is>
      </c>
      <c r="G700" s="12" t="inlineStr">
        <is>
          <t>North</t>
        </is>
      </c>
      <c r="H700" s="12" t="inlineStr">
        <is>
          <t>Rajasthan</t>
        </is>
      </c>
      <c r="I700" s="12" t="inlineStr">
        <is>
          <t>Jaipur</t>
        </is>
      </c>
      <c r="J700" s="12" t="inlineStr">
        <is>
          <t>Technology</t>
        </is>
      </c>
      <c r="K700" s="12" t="inlineStr">
        <is>
          <t>Machines</t>
        </is>
      </c>
      <c r="L700" s="12" t="inlineStr">
        <is>
          <t>Classic Machines 648</t>
        </is>
      </c>
      <c r="M700" s="12" t="inlineStr">
        <is>
          <t>Standard Class</t>
        </is>
      </c>
      <c r="N700" s="12" t="n">
        <v>8</v>
      </c>
      <c r="O700" s="12" t="n">
        <v>4081.66</v>
      </c>
      <c r="P700" s="12" t="n">
        <v>0.15</v>
      </c>
      <c r="Q700" s="12" t="n">
        <v>28208.1</v>
      </c>
      <c r="R700" s="12" t="n">
        <v>23751.91</v>
      </c>
      <c r="S700" s="12" t="n">
        <v>4003.38</v>
      </c>
      <c r="T700" s="12" t="inlineStr">
        <is>
          <t>Paid</t>
        </is>
      </c>
      <c r="U700" s="12" t="inlineStr">
        <is>
          <t>Returned</t>
        </is>
      </c>
      <c r="V700">
        <f>IF(OR(P700="",P700&lt;0,P700&gt;0.5),0,P700)</f>
        <v/>
      </c>
      <c r="W700">
        <f>N700*O700*(1-V700)</f>
        <v/>
      </c>
      <c r="X700">
        <f>W700-R700</f>
        <v/>
      </c>
      <c r="Y700">
        <f>IF(W700=0,0,X700/W700)</f>
        <v/>
      </c>
      <c r="Z700">
        <f>C700-B700</f>
        <v/>
      </c>
      <c r="AA700">
        <f>TEXT(B700,"mmmm")</f>
        <v/>
      </c>
      <c r="AB700">
        <f>YEAR(B700)</f>
        <v/>
      </c>
      <c r="AC700">
        <f>IF(OR(P700&lt;0,P700&gt;0.5,C700&lt;B700),"INVALID","CLEAN")</f>
        <v/>
      </c>
    </row>
    <row r="701">
      <c r="A701" s="12" t="inlineStr">
        <is>
          <t>ORD-2024-10700</t>
        </is>
      </c>
      <c r="B701" s="12" t="inlineStr">
        <is>
          <t>2024-06-11</t>
        </is>
      </c>
      <c r="C701" s="12" t="inlineStr">
        <is>
          <t>11 Jun 2024</t>
        </is>
      </c>
      <c r="D701" s="12" t="inlineStr">
        <is>
          <t>CUST-9802</t>
        </is>
      </c>
      <c r="E701" s="12" t="inlineStr">
        <is>
          <t>Arjun Bose</t>
        </is>
      </c>
      <c r="F701" s="12" t="inlineStr">
        <is>
          <t>Small Business</t>
        </is>
      </c>
      <c r="G701" s="12" t="inlineStr">
        <is>
          <t>South</t>
        </is>
      </c>
      <c r="H701" s="12" t="inlineStr">
        <is>
          <t>Karnataka</t>
        </is>
      </c>
      <c r="I701" s="12" t="inlineStr">
        <is>
          <t>Bengaluru</t>
        </is>
      </c>
      <c r="J701" s="12" t="inlineStr">
        <is>
          <t>Furniture</t>
        </is>
      </c>
      <c r="K701" s="12" t="inlineStr">
        <is>
          <t>Bookcases</t>
        </is>
      </c>
      <c r="L701" s="12" t="inlineStr">
        <is>
          <t>Max Bookcases 565</t>
        </is>
      </c>
      <c r="M701" s="12" t="inlineStr">
        <is>
          <t>Standard Class</t>
        </is>
      </c>
      <c r="N701" s="12" t="n">
        <v>9</v>
      </c>
      <c r="O701" s="12" t="n">
        <v>1400.11</v>
      </c>
      <c r="P701" s="12" t="n">
        <v>0.25</v>
      </c>
      <c r="Q701" s="12" t="n">
        <v>9450.74</v>
      </c>
      <c r="R701" s="12" t="n">
        <v>7798.56</v>
      </c>
      <c r="S701" s="12" t="n">
        <v>1652.18</v>
      </c>
      <c r="T701" s="12" t="inlineStr">
        <is>
          <t>Paid</t>
        </is>
      </c>
      <c r="U701" s="12" t="inlineStr">
        <is>
          <t>Completed</t>
        </is>
      </c>
      <c r="V701">
        <f>IF(OR(P701="",P701&lt;0,P701&gt;0.5),0,P701)</f>
        <v/>
      </c>
      <c r="W701">
        <f>N701*O701*(1-V701)</f>
        <v/>
      </c>
      <c r="X701">
        <f>W701-R701</f>
        <v/>
      </c>
      <c r="Y701">
        <f>IF(W701=0,0,X701/W701)</f>
        <v/>
      </c>
      <c r="Z701">
        <f>C701-B701</f>
        <v/>
      </c>
      <c r="AA701">
        <f>TEXT(B701,"mmmm")</f>
        <v/>
      </c>
      <c r="AB701">
        <f>YEAR(B701)</f>
        <v/>
      </c>
      <c r="AC701">
        <f>IF(OR(P701&lt;0,P701&gt;0.5,C701&lt;B701),"INVALID","CLEAN")</f>
        <v/>
      </c>
    </row>
    <row r="702">
      <c r="A702" s="12" t="inlineStr">
        <is>
          <t>ORD-2024-10701</t>
        </is>
      </c>
      <c r="B702" s="12" t="inlineStr">
        <is>
          <t>18-09-2024</t>
        </is>
      </c>
      <c r="C702" s="12" t="inlineStr">
        <is>
          <t>09/21/2024</t>
        </is>
      </c>
      <c r="D702" s="12" t="inlineStr">
        <is>
          <t>CUST-5646</t>
        </is>
      </c>
      <c r="E702" s="12" t="inlineStr">
        <is>
          <t>Neha Gupta</t>
        </is>
      </c>
      <c r="F702" s="12" t="inlineStr">
        <is>
          <t>Corporate</t>
        </is>
      </c>
      <c r="G702" s="12" t="inlineStr">
        <is>
          <t>East</t>
        </is>
      </c>
      <c r="H702" s="12" t="inlineStr">
        <is>
          <t>West Bengal</t>
        </is>
      </c>
      <c r="I702" s="12" t="inlineStr">
        <is>
          <t>Kolkata</t>
        </is>
      </c>
      <c r="J702" s="12" t="inlineStr">
        <is>
          <t>Technology</t>
        </is>
      </c>
      <c r="K702" s="12" t="inlineStr">
        <is>
          <t>Machines</t>
        </is>
      </c>
      <c r="L702" s="12" t="inlineStr">
        <is>
          <t>Basic Machines 220</t>
        </is>
      </c>
      <c r="M702" s="12" t="inlineStr">
        <is>
          <t>Standard Class</t>
        </is>
      </c>
      <c r="N702" s="12" t="n">
        <v>3</v>
      </c>
      <c r="O702" s="12" t="n">
        <v>3055.9</v>
      </c>
      <c r="P702" s="12" t="n">
        <v>0.15</v>
      </c>
      <c r="Q702" s="12" t="n">
        <v>7792.55</v>
      </c>
      <c r="R702" s="12" t="n">
        <v>4691.73</v>
      </c>
      <c r="S702" s="12" t="n">
        <v>3100.82</v>
      </c>
      <c r="T702" s="12" t="inlineStr">
        <is>
          <t>Paid</t>
        </is>
      </c>
      <c r="U702" s="12" t="inlineStr">
        <is>
          <t>Completed</t>
        </is>
      </c>
      <c r="V702">
        <f>IF(OR(P702="",P702&lt;0,P702&gt;0.5),0,P702)</f>
        <v/>
      </c>
      <c r="W702">
        <f>N702*O702*(1-V702)</f>
        <v/>
      </c>
      <c r="X702">
        <f>W702-R702</f>
        <v/>
      </c>
      <c r="Y702">
        <f>IF(W702=0,0,X702/W702)</f>
        <v/>
      </c>
      <c r="Z702">
        <f>C702-B702</f>
        <v/>
      </c>
      <c r="AA702">
        <f>TEXT(B702,"mmmm")</f>
        <v/>
      </c>
      <c r="AB702">
        <f>YEAR(B702)</f>
        <v/>
      </c>
      <c r="AC702">
        <f>IF(OR(P702&lt;0,P702&gt;0.5,C702&lt;B702),"INVALID","CLEAN")</f>
        <v/>
      </c>
    </row>
    <row r="703">
      <c r="A703" s="12" t="inlineStr">
        <is>
          <t>ORD-2024-10702</t>
        </is>
      </c>
      <c r="B703" s="12" t="inlineStr">
        <is>
          <t>30-04-2024</t>
        </is>
      </c>
      <c r="C703" s="12" t="inlineStr">
        <is>
          <t>04 May 2024</t>
        </is>
      </c>
      <c r="D703" s="12" t="inlineStr">
        <is>
          <t>CUST-7171</t>
        </is>
      </c>
      <c r="E703" s="12" t="inlineStr">
        <is>
          <t>Rohan Mehta</t>
        </is>
      </c>
      <c r="F703" s="12" t="inlineStr">
        <is>
          <t>Small Business</t>
        </is>
      </c>
      <c r="G703" s="12" t="inlineStr">
        <is>
          <t>West</t>
        </is>
      </c>
      <c r="H703" s="12" t="inlineStr">
        <is>
          <t>Gujarat</t>
        </is>
      </c>
      <c r="I703" s="12" t="inlineStr">
        <is>
          <t>Ahmedabad</t>
        </is>
      </c>
      <c r="J703" s="12" t="inlineStr">
        <is>
          <t>Office Supplies</t>
        </is>
      </c>
      <c r="K703" s="12" t="inlineStr">
        <is>
          <t>Art</t>
        </is>
      </c>
      <c r="L703" s="12" t="inlineStr">
        <is>
          <t>Pro Art 151</t>
        </is>
      </c>
      <c r="M703" s="12" t="inlineStr">
        <is>
          <t>Same Day</t>
        </is>
      </c>
      <c r="N703" s="12" t="n">
        <v>7</v>
      </c>
      <c r="O703" s="12" t="n">
        <v>1224.94</v>
      </c>
      <c r="P703" s="12" t="n">
        <v>0</v>
      </c>
      <c r="Q703" s="12" t="n">
        <v>8574.58</v>
      </c>
      <c r="R703" s="12" t="n">
        <v>6685.81</v>
      </c>
      <c r="S703" s="12" t="n">
        <v>1888.77</v>
      </c>
      <c r="T703" s="12" t="inlineStr">
        <is>
          <t>Paid</t>
        </is>
      </c>
      <c r="U703" s="12" t="inlineStr">
        <is>
          <t>Returned</t>
        </is>
      </c>
      <c r="V703">
        <f>IF(OR(P703="",P703&lt;0,P703&gt;0.5),0,P703)</f>
        <v/>
      </c>
      <c r="W703">
        <f>N703*O703*(1-V703)</f>
        <v/>
      </c>
      <c r="X703">
        <f>W703-R703</f>
        <v/>
      </c>
      <c r="Y703">
        <f>IF(W703=0,0,X703/W703)</f>
        <v/>
      </c>
      <c r="Z703">
        <f>C703-B703</f>
        <v/>
      </c>
      <c r="AA703">
        <f>TEXT(B703,"mmmm")</f>
        <v/>
      </c>
      <c r="AB703">
        <f>YEAR(B703)</f>
        <v/>
      </c>
      <c r="AC703">
        <f>IF(OR(P703&lt;0,P703&gt;0.5,C703&lt;B703),"INVALID","CLEAN")</f>
        <v/>
      </c>
    </row>
    <row r="704">
      <c r="A704" s="12" t="inlineStr">
        <is>
          <t>ORD-2025-10703</t>
        </is>
      </c>
      <c r="B704" s="12" t="inlineStr">
        <is>
          <t>2025-02-02</t>
        </is>
      </c>
      <c r="C704" s="12" t="inlineStr">
        <is>
          <t>02/06/2025</t>
        </is>
      </c>
      <c r="D704" s="12" t="inlineStr">
        <is>
          <t>CUST-5231</t>
        </is>
      </c>
      <c r="E704" s="12" t="inlineStr">
        <is>
          <t>Karan Malhotra</t>
        </is>
      </c>
      <c r="F704" s="12" t="inlineStr">
        <is>
          <t>Small Business</t>
        </is>
      </c>
      <c r="G704" s="12" t="inlineStr">
        <is>
          <t>West</t>
        </is>
      </c>
      <c r="H704" s="12" t="inlineStr">
        <is>
          <t>Rajasthan</t>
        </is>
      </c>
      <c r="I704" s="12" t="inlineStr">
        <is>
          <t>Udaipur</t>
        </is>
      </c>
      <c r="J704" s="12" t="inlineStr">
        <is>
          <t>Furniture</t>
        </is>
      </c>
      <c r="K704" s="12" t="inlineStr">
        <is>
          <t>Tables</t>
        </is>
      </c>
      <c r="L704" s="12" t="inlineStr">
        <is>
          <t>Pro Tables 980</t>
        </is>
      </c>
      <c r="M704" s="12" t="inlineStr">
        <is>
          <t>Second Class</t>
        </is>
      </c>
      <c r="N704" s="12" t="n">
        <v>3</v>
      </c>
      <c r="O704" s="12" t="n">
        <v>997.34</v>
      </c>
      <c r="P704" s="12" t="n">
        <v>0.1</v>
      </c>
      <c r="Q704" s="12" t="n">
        <v>2692.82</v>
      </c>
      <c r="R704" s="12" t="n">
        <v>1820.08</v>
      </c>
      <c r="S704" s="12" t="n">
        <v>872.74</v>
      </c>
      <c r="T704" s="12" t="inlineStr">
        <is>
          <t>Paid</t>
        </is>
      </c>
      <c r="U704" s="12" t="inlineStr">
        <is>
          <t>Completed</t>
        </is>
      </c>
      <c r="V704">
        <f>IF(OR(P704="",P704&lt;0,P704&gt;0.5),0,P704)</f>
        <v/>
      </c>
      <c r="W704">
        <f>N704*O704*(1-V704)</f>
        <v/>
      </c>
      <c r="X704">
        <f>W704-R704</f>
        <v/>
      </c>
      <c r="Y704">
        <f>IF(W704=0,0,X704/W704)</f>
        <v/>
      </c>
      <c r="Z704">
        <f>C704-B704</f>
        <v/>
      </c>
      <c r="AA704">
        <f>TEXT(B704,"mmmm")</f>
        <v/>
      </c>
      <c r="AB704">
        <f>YEAR(B704)</f>
        <v/>
      </c>
      <c r="AC704">
        <f>IF(OR(P704&lt;0,P704&gt;0.5,C704&lt;B704),"INVALID","CLEAN")</f>
        <v/>
      </c>
    </row>
    <row r="705">
      <c r="A705" s="12" t="inlineStr">
        <is>
          <t>ORD-2024-10704</t>
        </is>
      </c>
      <c r="B705" s="12" t="inlineStr">
        <is>
          <t>19 Oct 2024</t>
        </is>
      </c>
      <c r="C705" s="12" t="inlineStr">
        <is>
          <t>2024-10-20</t>
        </is>
      </c>
      <c r="D705" s="12" t="inlineStr">
        <is>
          <t>CUST-8734</t>
        </is>
      </c>
      <c r="E705" s="12" t="inlineStr">
        <is>
          <t>Aditi Sen</t>
        </is>
      </c>
      <c r="F705" s="12" t="inlineStr">
        <is>
          <t>Corporate</t>
        </is>
      </c>
      <c r="G705" s="12" t="inlineStr">
        <is>
          <t>North</t>
        </is>
      </c>
      <c r="H705" s="12" t="inlineStr">
        <is>
          <t>Rajasthan</t>
        </is>
      </c>
      <c r="I705" s="12" t="inlineStr">
        <is>
          <t>Jaipur</t>
        </is>
      </c>
      <c r="J705" s="12" t="inlineStr">
        <is>
          <t>Furniture</t>
        </is>
      </c>
      <c r="K705" s="12" t="inlineStr">
        <is>
          <t>Tables</t>
        </is>
      </c>
      <c r="L705" s="12" t="inlineStr">
        <is>
          <t>Classic Tables 997</t>
        </is>
      </c>
      <c r="M705" s="12" t="inlineStr">
        <is>
          <t>First Class</t>
        </is>
      </c>
      <c r="N705" s="12" t="n">
        <v>1</v>
      </c>
      <c r="O705" s="12" t="n">
        <v>1150.03</v>
      </c>
      <c r="P705" s="12" t="n">
        <v>0.1</v>
      </c>
      <c r="Q705" s="12" t="n">
        <v>1035.03</v>
      </c>
      <c r="R705" s="12" t="n">
        <v>854.35</v>
      </c>
      <c r="S705" s="12" t="n">
        <v>180.68</v>
      </c>
      <c r="T705" s="12" t="inlineStr">
        <is>
          <t>Paid</t>
        </is>
      </c>
      <c r="U705" s="12" t="inlineStr">
        <is>
          <t>Completed</t>
        </is>
      </c>
      <c r="V705">
        <f>IF(OR(P705="",P705&lt;0,P705&gt;0.5),0,P705)</f>
        <v/>
      </c>
      <c r="W705">
        <f>N705*O705*(1-V705)</f>
        <v/>
      </c>
      <c r="X705">
        <f>W705-R705</f>
        <v/>
      </c>
      <c r="Y705">
        <f>IF(W705=0,0,X705/W705)</f>
        <v/>
      </c>
      <c r="Z705">
        <f>C705-B705</f>
        <v/>
      </c>
      <c r="AA705">
        <f>TEXT(B705,"mmmm")</f>
        <v/>
      </c>
      <c r="AB705">
        <f>YEAR(B705)</f>
        <v/>
      </c>
      <c r="AC705">
        <f>IF(OR(P705&lt;0,P705&gt;0.5,C705&lt;B705),"INVALID","CLEAN")</f>
        <v/>
      </c>
    </row>
    <row r="706">
      <c r="A706" s="12" t="inlineStr">
        <is>
          <t>ORD-2024-10705</t>
        </is>
      </c>
      <c r="B706" s="12" t="inlineStr">
        <is>
          <t>2024-03-13</t>
        </is>
      </c>
      <c r="C706" s="12" t="inlineStr">
        <is>
          <t>03/20/2024</t>
        </is>
      </c>
      <c r="D706" s="12" t="inlineStr">
        <is>
          <t>CUST-4916</t>
        </is>
      </c>
      <c r="E706" s="12" t="inlineStr">
        <is>
          <t>Priya Menon</t>
        </is>
      </c>
      <c r="F706" s="12" t="inlineStr">
        <is>
          <t>Home Office</t>
        </is>
      </c>
      <c r="G706" s="12" t="inlineStr">
        <is>
          <t>South</t>
        </is>
      </c>
      <c r="H706" s="12" t="inlineStr">
        <is>
          <t>Tamil Nadu</t>
        </is>
      </c>
      <c r="I706" s="12" t="inlineStr">
        <is>
          <t>Chennai</t>
        </is>
      </c>
      <c r="J706" s="12" t="inlineStr">
        <is>
          <t>Furniture</t>
        </is>
      </c>
      <c r="K706" s="12" t="inlineStr">
        <is>
          <t>Bookcases</t>
        </is>
      </c>
      <c r="L706" s="12" t="inlineStr">
        <is>
          <t>Max Bookcases 738</t>
        </is>
      </c>
      <c r="M706" s="12" t="n"/>
      <c r="N706" s="12" t="n">
        <v>1</v>
      </c>
      <c r="O706" s="12" t="n">
        <v>2825.63</v>
      </c>
      <c r="P706" s="12" t="n">
        <v>0.15</v>
      </c>
      <c r="Q706" s="12" t="n">
        <v>2401.79</v>
      </c>
      <c r="R706" s="12" t="n">
        <v>1820.34</v>
      </c>
      <c r="S706" s="12" t="n">
        <v>581.45</v>
      </c>
      <c r="T706" s="12" t="inlineStr">
        <is>
          <t>Paid</t>
        </is>
      </c>
      <c r="U706" s="12" t="inlineStr">
        <is>
          <t>Completed</t>
        </is>
      </c>
      <c r="V706">
        <f>IF(OR(P706="",P706&lt;0,P706&gt;0.5),0,P706)</f>
        <v/>
      </c>
      <c r="W706">
        <f>N706*O706*(1-V706)</f>
        <v/>
      </c>
      <c r="X706">
        <f>W706-R706</f>
        <v/>
      </c>
      <c r="Y706">
        <f>IF(W706=0,0,X706/W706)</f>
        <v/>
      </c>
      <c r="Z706">
        <f>C706-B706</f>
        <v/>
      </c>
      <c r="AA706">
        <f>TEXT(B706,"mmmm")</f>
        <v/>
      </c>
      <c r="AB706">
        <f>YEAR(B706)</f>
        <v/>
      </c>
      <c r="AC706">
        <f>IF(OR(P706&lt;0,P706&gt;0.5,C706&lt;B706),"INVALID","CLEAN")</f>
        <v/>
      </c>
    </row>
    <row r="707">
      <c r="A707" s="12" t="inlineStr">
        <is>
          <t>ORD-2024-10706</t>
        </is>
      </c>
      <c r="B707" s="12" t="inlineStr">
        <is>
          <t>08 Sep 2024</t>
        </is>
      </c>
      <c r="C707" s="12" t="inlineStr">
        <is>
          <t>09/14/2024</t>
        </is>
      </c>
      <c r="D707" s="12" t="inlineStr">
        <is>
          <t>CUST-3289</t>
        </is>
      </c>
      <c r="E707" s="12" t="inlineStr">
        <is>
          <t>Rohan Mehta</t>
        </is>
      </c>
      <c r="F707" s="12" t="inlineStr">
        <is>
          <t>Consumer</t>
        </is>
      </c>
      <c r="G707" s="12" t="inlineStr">
        <is>
          <t>North</t>
        </is>
      </c>
      <c r="H707" s="12" t="inlineStr">
        <is>
          <t>Rajasthan</t>
        </is>
      </c>
      <c r="I707" s="12" t="inlineStr">
        <is>
          <t>Jaipur</t>
        </is>
      </c>
      <c r="J707" s="12" t="inlineStr">
        <is>
          <t>Office Supplies</t>
        </is>
      </c>
      <c r="K707" s="12" t="inlineStr">
        <is>
          <t>Binders</t>
        </is>
      </c>
      <c r="L707" s="12" t="inlineStr">
        <is>
          <t>Max Binders 411</t>
        </is>
      </c>
      <c r="M707" s="12" t="inlineStr">
        <is>
          <t>Standard Class</t>
        </is>
      </c>
      <c r="N707" s="12" t="n">
        <v>5</v>
      </c>
      <c r="O707" s="12" t="n">
        <v>3371.75</v>
      </c>
      <c r="P707" s="12" t="n">
        <v>0.05</v>
      </c>
      <c r="Q707" s="12" t="n">
        <v>16015.81</v>
      </c>
      <c r="R707" s="12" t="n">
        <v>11352.38</v>
      </c>
      <c r="S707" s="12" t="n">
        <v>4663.43</v>
      </c>
      <c r="T707" s="12" t="inlineStr">
        <is>
          <t>Paid</t>
        </is>
      </c>
      <c r="U707" s="12" t="inlineStr">
        <is>
          <t>Completed</t>
        </is>
      </c>
      <c r="V707">
        <f>IF(OR(P707="",P707&lt;0,P707&gt;0.5),0,P707)</f>
        <v/>
      </c>
      <c r="W707">
        <f>N707*O707*(1-V707)</f>
        <v/>
      </c>
      <c r="X707">
        <f>W707-R707</f>
        <v/>
      </c>
      <c r="Y707">
        <f>IF(W707=0,0,X707/W707)</f>
        <v/>
      </c>
      <c r="Z707">
        <f>C707-B707</f>
        <v/>
      </c>
      <c r="AA707">
        <f>TEXT(B707,"mmmm")</f>
        <v/>
      </c>
      <c r="AB707">
        <f>YEAR(B707)</f>
        <v/>
      </c>
      <c r="AC707">
        <f>IF(OR(P707&lt;0,P707&gt;0.5,C707&lt;B707),"INVALID","CLEAN")</f>
        <v/>
      </c>
    </row>
    <row r="708">
      <c r="A708" s="12" t="inlineStr">
        <is>
          <t>ORD-2024-10707</t>
        </is>
      </c>
      <c r="B708" s="12" t="inlineStr">
        <is>
          <t>24-06-2024</t>
        </is>
      </c>
      <c r="C708" s="12" t="inlineStr">
        <is>
          <t>28-06-2024</t>
        </is>
      </c>
      <c r="D708" s="12" t="inlineStr">
        <is>
          <t>CUST-4928</t>
        </is>
      </c>
      <c r="E708" s="12" t="inlineStr">
        <is>
          <t>Isha Nair</t>
        </is>
      </c>
      <c r="F708" s="12" t="inlineStr">
        <is>
          <t>Small Business</t>
        </is>
      </c>
      <c r="G708" s="12" t="inlineStr">
        <is>
          <t>East</t>
        </is>
      </c>
      <c r="H708" s="12" t="inlineStr">
        <is>
          <t>Odisha</t>
        </is>
      </c>
      <c r="I708" s="12" t="inlineStr">
        <is>
          <t>Bhubaneswar</t>
        </is>
      </c>
      <c r="J708" s="12" t="inlineStr">
        <is>
          <t>Office Supplies</t>
        </is>
      </c>
      <c r="K708" s="12" t="inlineStr">
        <is>
          <t>Paper</t>
        </is>
      </c>
      <c r="L708" s="12" t="inlineStr">
        <is>
          <t>Max Paper 343</t>
        </is>
      </c>
      <c r="M708" s="12" t="inlineStr">
        <is>
          <t>Same Day</t>
        </is>
      </c>
      <c r="N708" s="12" t="n">
        <v>1</v>
      </c>
      <c r="O708" s="12" t="n">
        <v>2112.75</v>
      </c>
      <c r="P708" s="12" t="n">
        <v>0.1</v>
      </c>
      <c r="Q708" s="12" t="n">
        <v>1901.48</v>
      </c>
      <c r="R708" s="12" t="n">
        <v>1354.28</v>
      </c>
      <c r="S708" s="12" t="n">
        <v>547.2</v>
      </c>
      <c r="T708" s="12" t="inlineStr">
        <is>
          <t>Paid</t>
        </is>
      </c>
      <c r="U708" s="12" t="inlineStr">
        <is>
          <t>Completed</t>
        </is>
      </c>
      <c r="V708">
        <f>IF(OR(P708="",P708&lt;0,P708&gt;0.5),0,P708)</f>
        <v/>
      </c>
      <c r="W708">
        <f>N708*O708*(1-V708)</f>
        <v/>
      </c>
      <c r="X708">
        <f>W708-R708</f>
        <v/>
      </c>
      <c r="Y708">
        <f>IF(W708=0,0,X708/W708)</f>
        <v/>
      </c>
      <c r="Z708">
        <f>C708-B708</f>
        <v/>
      </c>
      <c r="AA708">
        <f>TEXT(B708,"mmmm")</f>
        <v/>
      </c>
      <c r="AB708">
        <f>YEAR(B708)</f>
        <v/>
      </c>
      <c r="AC708">
        <f>IF(OR(P708&lt;0,P708&gt;0.5,C708&lt;B708),"INVALID","CLEAN")</f>
        <v/>
      </c>
    </row>
    <row r="709">
      <c r="A709" s="12" t="inlineStr">
        <is>
          <t>ORD-2025-10708</t>
        </is>
      </c>
      <c r="B709" s="12" t="inlineStr">
        <is>
          <t>24-06-2025</t>
        </is>
      </c>
      <c r="C709" s="12" t="inlineStr">
        <is>
          <t>06/26/2025</t>
        </is>
      </c>
      <c r="D709" s="12" t="inlineStr">
        <is>
          <t>CUST-4902</t>
        </is>
      </c>
      <c r="E709" s="12" t="inlineStr">
        <is>
          <t>Vikram Iyer</t>
        </is>
      </c>
      <c r="F709" s="12" t="inlineStr">
        <is>
          <t>Consumer</t>
        </is>
      </c>
      <c r="G709" s="12" t="inlineStr">
        <is>
          <t>North</t>
        </is>
      </c>
      <c r="H709" s="12" t="inlineStr">
        <is>
          <t>Rajasthan</t>
        </is>
      </c>
      <c r="I709" s="12" t="inlineStr">
        <is>
          <t>Jaipur</t>
        </is>
      </c>
      <c r="J709" s="12" t="inlineStr">
        <is>
          <t>Technology</t>
        </is>
      </c>
      <c r="K709" s="12" t="inlineStr">
        <is>
          <t xml:space="preserve">  Accessories </t>
        </is>
      </c>
      <c r="L709" s="12" t="inlineStr">
        <is>
          <t>Pro Accessories 485</t>
        </is>
      </c>
      <c r="M709" s="12" t="inlineStr">
        <is>
          <t>Same Day</t>
        </is>
      </c>
      <c r="N709" s="12" t="n">
        <v>5</v>
      </c>
      <c r="O709" s="12" t="n">
        <v>3722.66</v>
      </c>
      <c r="P709" s="12" t="n">
        <v>0.55</v>
      </c>
      <c r="Q709" s="12" t="n">
        <v>16751.97</v>
      </c>
      <c r="R709" s="12" t="n">
        <v>11678.32</v>
      </c>
      <c r="S709" s="12" t="n">
        <v>5073.65</v>
      </c>
      <c r="T709" s="12" t="inlineStr">
        <is>
          <t>Paid</t>
        </is>
      </c>
      <c r="U709" s="12" t="inlineStr">
        <is>
          <t>Completed</t>
        </is>
      </c>
      <c r="V709">
        <f>IF(OR(P709="",P709&lt;0,P709&gt;0.5),0,P709)</f>
        <v/>
      </c>
      <c r="W709">
        <f>N709*O709*(1-V709)</f>
        <v/>
      </c>
      <c r="X709">
        <f>W709-R709</f>
        <v/>
      </c>
      <c r="Y709">
        <f>IF(W709=0,0,X709/W709)</f>
        <v/>
      </c>
      <c r="Z709">
        <f>C709-B709</f>
        <v/>
      </c>
      <c r="AA709">
        <f>TEXT(B709,"mmmm")</f>
        <v/>
      </c>
      <c r="AB709">
        <f>YEAR(B709)</f>
        <v/>
      </c>
      <c r="AC709">
        <f>IF(OR(P709&lt;0,P709&gt;0.5,C709&lt;B709),"INVALID","CLEAN")</f>
        <v/>
      </c>
    </row>
    <row r="710">
      <c r="A710" s="12" t="inlineStr">
        <is>
          <t>ORD-2025-10709</t>
        </is>
      </c>
      <c r="B710" s="12" t="inlineStr">
        <is>
          <t>03/20/2025</t>
        </is>
      </c>
      <c r="C710" s="12" t="inlineStr">
        <is>
          <t>2025-03-26</t>
        </is>
      </c>
      <c r="D710" s="12" t="inlineStr">
        <is>
          <t>CUST-6504</t>
        </is>
      </c>
      <c r="E710" s="12" t="inlineStr">
        <is>
          <t>Sneha Kapoor</t>
        </is>
      </c>
      <c r="F710" s="12" t="inlineStr">
        <is>
          <t>Consumer</t>
        </is>
      </c>
      <c r="G710" s="12" t="inlineStr">
        <is>
          <t>East</t>
        </is>
      </c>
      <c r="H710" s="12" t="inlineStr">
        <is>
          <t>Assam</t>
        </is>
      </c>
      <c r="I710" s="12" t="inlineStr">
        <is>
          <t>Guwahati</t>
        </is>
      </c>
      <c r="J710" s="12" t="inlineStr">
        <is>
          <t>Furniture</t>
        </is>
      </c>
      <c r="K710" s="12" t="inlineStr">
        <is>
          <t>Bookcases</t>
        </is>
      </c>
      <c r="L710" s="12" t="inlineStr">
        <is>
          <t>Elite Bookcases 113</t>
        </is>
      </c>
      <c r="M710" s="12" t="inlineStr">
        <is>
          <t>First Class</t>
        </is>
      </c>
      <c r="N710" s="12" t="n">
        <v>4</v>
      </c>
      <c r="O710" s="12" t="n">
        <v>4357.66</v>
      </c>
      <c r="P710" s="12" t="n">
        <v>0.05</v>
      </c>
      <c r="Q710" s="12" t="n">
        <v>16559.11</v>
      </c>
      <c r="R710" s="12" t="n">
        <v>13233.79</v>
      </c>
      <c r="S710" s="12" t="n">
        <v>3325.32</v>
      </c>
      <c r="T710" s="12" t="inlineStr">
        <is>
          <t>Paid</t>
        </is>
      </c>
      <c r="U710" s="12" t="inlineStr">
        <is>
          <t>Completed</t>
        </is>
      </c>
      <c r="V710">
        <f>IF(OR(P710="",P710&lt;0,P710&gt;0.5),0,P710)</f>
        <v/>
      </c>
      <c r="W710">
        <f>N710*O710*(1-V710)</f>
        <v/>
      </c>
      <c r="X710">
        <f>W710-R710</f>
        <v/>
      </c>
      <c r="Y710">
        <f>IF(W710=0,0,X710/W710)</f>
        <v/>
      </c>
      <c r="Z710">
        <f>C710-B710</f>
        <v/>
      </c>
      <c r="AA710">
        <f>TEXT(B710,"mmmm")</f>
        <v/>
      </c>
      <c r="AB710">
        <f>YEAR(B710)</f>
        <v/>
      </c>
      <c r="AC710">
        <f>IF(OR(P710&lt;0,P710&gt;0.5,C710&lt;B710),"INVALID","CLEAN")</f>
        <v/>
      </c>
    </row>
    <row r="711">
      <c r="A711" s="12" t="inlineStr">
        <is>
          <t>ORD-2025-10710</t>
        </is>
      </c>
      <c r="B711" s="12" t="inlineStr">
        <is>
          <t>19 Jan 2025</t>
        </is>
      </c>
      <c r="C711" s="12" t="inlineStr">
        <is>
          <t>23 Jan 2025</t>
        </is>
      </c>
      <c r="D711" s="12" t="inlineStr">
        <is>
          <t>CUST-8036</t>
        </is>
      </c>
      <c r="E711" s="12" t="inlineStr">
        <is>
          <t>Kabir Singh</t>
        </is>
      </c>
      <c r="F711" s="12" t="inlineStr">
        <is>
          <t>Home Office</t>
        </is>
      </c>
      <c r="G711" s="12" t="inlineStr">
        <is>
          <t>North</t>
        </is>
      </c>
      <c r="H711" s="12" t="inlineStr">
        <is>
          <t>Punjab</t>
        </is>
      </c>
      <c r="I711" s="12" t="inlineStr">
        <is>
          <t>Ludhiana</t>
        </is>
      </c>
      <c r="J711" s="12" t="inlineStr">
        <is>
          <t>Technology</t>
        </is>
      </c>
      <c r="K711" s="12" t="inlineStr">
        <is>
          <t>Phones</t>
        </is>
      </c>
      <c r="L711" s="12" t="inlineStr">
        <is>
          <t>Eco Phones 787</t>
        </is>
      </c>
      <c r="M711" s="12" t="inlineStr">
        <is>
          <t>Same Day</t>
        </is>
      </c>
      <c r="N711" s="12" t="n">
        <v>7</v>
      </c>
      <c r="O711" s="12" t="n">
        <v>1363.04</v>
      </c>
      <c r="P711" s="12" t="n">
        <v>0.15</v>
      </c>
      <c r="Q711" s="12" t="n">
        <v>8110.09</v>
      </c>
      <c r="R711" s="12" t="n">
        <v>6417.32</v>
      </c>
      <c r="S711" s="12" t="n">
        <v>1692.77</v>
      </c>
      <c r="T711" s="12" t="inlineStr">
        <is>
          <t>Paid</t>
        </is>
      </c>
      <c r="U711" s="12" t="inlineStr">
        <is>
          <t>Cancelled</t>
        </is>
      </c>
      <c r="V711">
        <f>IF(OR(P711="",P711&lt;0,P711&gt;0.5),0,P711)</f>
        <v/>
      </c>
      <c r="W711">
        <f>N711*O711*(1-V711)</f>
        <v/>
      </c>
      <c r="X711">
        <f>W711-R711</f>
        <v/>
      </c>
      <c r="Y711">
        <f>IF(W711=0,0,X711/W711)</f>
        <v/>
      </c>
      <c r="Z711">
        <f>C711-B711</f>
        <v/>
      </c>
      <c r="AA711">
        <f>TEXT(B711,"mmmm")</f>
        <v/>
      </c>
      <c r="AB711">
        <f>YEAR(B711)</f>
        <v/>
      </c>
      <c r="AC711">
        <f>IF(OR(P711&lt;0,P711&gt;0.5,C711&lt;B711),"INVALID","CLEAN")</f>
        <v/>
      </c>
    </row>
    <row r="712">
      <c r="A712" s="12" t="inlineStr">
        <is>
          <t>ORD-2024-10711</t>
        </is>
      </c>
      <c r="B712" s="12" t="inlineStr">
        <is>
          <t>07/12/2024</t>
        </is>
      </c>
      <c r="C712" s="12" t="inlineStr">
        <is>
          <t>07/19/2024</t>
        </is>
      </c>
      <c r="D712" s="12" t="inlineStr">
        <is>
          <t>CUST-7199</t>
        </is>
      </c>
      <c r="E712" s="12" t="inlineStr">
        <is>
          <t>Vikram Iyer</t>
        </is>
      </c>
      <c r="F712" s="12" t="inlineStr">
        <is>
          <t>Corporate</t>
        </is>
      </c>
      <c r="G712" s="12" t="inlineStr">
        <is>
          <t>North</t>
        </is>
      </c>
      <c r="H712" s="12" t="inlineStr">
        <is>
          <t>Punjab</t>
        </is>
      </c>
      <c r="I712" s="12" t="inlineStr">
        <is>
          <t>Ludhiana</t>
        </is>
      </c>
      <c r="J712" s="12" t="inlineStr">
        <is>
          <t>Office Supplies</t>
        </is>
      </c>
      <c r="K712" s="12" t="inlineStr">
        <is>
          <t>Art</t>
        </is>
      </c>
      <c r="L712" s="12" t="inlineStr">
        <is>
          <t>Smart Art 279</t>
        </is>
      </c>
      <c r="M712" s="12" t="inlineStr">
        <is>
          <t>Second Class</t>
        </is>
      </c>
      <c r="N712" s="12" t="n">
        <v>5</v>
      </c>
      <c r="O712" s="12" t="n">
        <v>1559.16</v>
      </c>
      <c r="P712" s="12" t="n">
        <v>0.05</v>
      </c>
      <c r="Q712" s="12" t="n">
        <v>7406.01</v>
      </c>
      <c r="R712" s="12" t="n">
        <v>5941.74</v>
      </c>
      <c r="S712" s="12" t="n">
        <v>1464.27</v>
      </c>
      <c r="T712" s="12" t="inlineStr">
        <is>
          <t>Paid</t>
        </is>
      </c>
      <c r="U712" s="12" t="inlineStr">
        <is>
          <t>Completed</t>
        </is>
      </c>
      <c r="V712">
        <f>IF(OR(P712="",P712&lt;0,P712&gt;0.5),0,P712)</f>
        <v/>
      </c>
      <c r="W712">
        <f>N712*O712*(1-V712)</f>
        <v/>
      </c>
      <c r="X712">
        <f>W712-R712</f>
        <v/>
      </c>
      <c r="Y712">
        <f>IF(W712=0,0,X712/W712)</f>
        <v/>
      </c>
      <c r="Z712">
        <f>C712-B712</f>
        <v/>
      </c>
      <c r="AA712">
        <f>TEXT(B712,"mmmm")</f>
        <v/>
      </c>
      <c r="AB712">
        <f>YEAR(B712)</f>
        <v/>
      </c>
      <c r="AC712">
        <f>IF(OR(P712&lt;0,P712&gt;0.5,C712&lt;B712),"INVALID","CLEAN")</f>
        <v/>
      </c>
    </row>
    <row r="713">
      <c r="A713" s="12" t="inlineStr">
        <is>
          <t>ORD-2025-10712</t>
        </is>
      </c>
      <c r="B713" s="12" t="inlineStr">
        <is>
          <t>02-02-2025</t>
        </is>
      </c>
      <c r="C713" s="12" t="inlineStr">
        <is>
          <t>2025-02-02</t>
        </is>
      </c>
      <c r="D713" s="12" t="inlineStr">
        <is>
          <t>CUST-6176</t>
        </is>
      </c>
      <c r="E713" s="12" t="inlineStr">
        <is>
          <t>Kabir Singh</t>
        </is>
      </c>
      <c r="F713" s="12" t="inlineStr">
        <is>
          <t>Corporate</t>
        </is>
      </c>
      <c r="G713" s="12" t="inlineStr">
        <is>
          <t>East</t>
        </is>
      </c>
      <c r="H713" s="12" t="inlineStr">
        <is>
          <t>West Bengal</t>
        </is>
      </c>
      <c r="I713" s="12" t="inlineStr">
        <is>
          <t>Kolkata</t>
        </is>
      </c>
      <c r="J713" s="12" t="inlineStr">
        <is>
          <t>Technology</t>
        </is>
      </c>
      <c r="K713" s="12" t="inlineStr">
        <is>
          <t>Machines</t>
        </is>
      </c>
      <c r="L713" s="12" t="inlineStr">
        <is>
          <t>Basic Machines 172</t>
        </is>
      </c>
      <c r="M713" s="12" t="inlineStr">
        <is>
          <t>First Class</t>
        </is>
      </c>
      <c r="N713" s="12" t="n">
        <v>1</v>
      </c>
      <c r="O713" s="12" t="n">
        <v>4326.75</v>
      </c>
      <c r="P713" s="12" t="n">
        <v>0.05</v>
      </c>
      <c r="Q713" s="12" t="n">
        <v>4110.41</v>
      </c>
      <c r="R713" s="12" t="n">
        <v>2394.14</v>
      </c>
      <c r="S713" s="12" t="n">
        <v>1716.27</v>
      </c>
      <c r="T713" s="12" t="inlineStr">
        <is>
          <t>Pending</t>
        </is>
      </c>
      <c r="U713" s="12" t="inlineStr">
        <is>
          <t>Returned</t>
        </is>
      </c>
      <c r="V713">
        <f>IF(OR(P713="",P713&lt;0,P713&gt;0.5),0,P713)</f>
        <v/>
      </c>
      <c r="W713">
        <f>N713*O713*(1-V713)</f>
        <v/>
      </c>
      <c r="X713">
        <f>W713-R713</f>
        <v/>
      </c>
      <c r="Y713">
        <f>IF(W713=0,0,X713/W713)</f>
        <v/>
      </c>
      <c r="Z713">
        <f>C713-B713</f>
        <v/>
      </c>
      <c r="AA713">
        <f>TEXT(B713,"mmmm")</f>
        <v/>
      </c>
      <c r="AB713">
        <f>YEAR(B713)</f>
        <v/>
      </c>
      <c r="AC713">
        <f>IF(OR(P713&lt;0,P713&gt;0.5,C713&lt;B713),"INVALID","CLEAN")</f>
        <v/>
      </c>
    </row>
    <row r="714">
      <c r="A714" s="12" t="inlineStr">
        <is>
          <t>ORD-2024-10713</t>
        </is>
      </c>
      <c r="B714" s="12" t="inlineStr">
        <is>
          <t>10 Feb 2024</t>
        </is>
      </c>
      <c r="C714" s="12" t="inlineStr">
        <is>
          <t>18 Feb 2024</t>
        </is>
      </c>
      <c r="D714" s="12" t="inlineStr">
        <is>
          <t>CUST-5127</t>
        </is>
      </c>
      <c r="E714" s="12" t="inlineStr">
        <is>
          <t>Isha Nair</t>
        </is>
      </c>
      <c r="F714" s="12" t="inlineStr">
        <is>
          <t>Home Office</t>
        </is>
      </c>
      <c r="G714" s="12" t="inlineStr">
        <is>
          <t>West</t>
        </is>
      </c>
      <c r="H714" s="12" t="inlineStr">
        <is>
          <t>Madhya Pradesh</t>
        </is>
      </c>
      <c r="I714" s="12" t="inlineStr">
        <is>
          <t>Indore</t>
        </is>
      </c>
      <c r="J714" s="12" t="inlineStr">
        <is>
          <t>Furniture</t>
        </is>
      </c>
      <c r="K714" s="12" t="inlineStr">
        <is>
          <t>Chairs</t>
        </is>
      </c>
      <c r="L714" s="12" t="inlineStr">
        <is>
          <t>Smart Chairs 259</t>
        </is>
      </c>
      <c r="M714" s="12" t="inlineStr">
        <is>
          <t>First Class</t>
        </is>
      </c>
      <c r="N714" s="12" t="n">
        <v>7</v>
      </c>
      <c r="O714" s="12" t="n">
        <v>1382.86</v>
      </c>
      <c r="P714" s="12" t="n">
        <v>0</v>
      </c>
      <c r="Q714" s="12" t="n">
        <v>9680.02</v>
      </c>
      <c r="R714" s="12" t="n">
        <v>6876.66</v>
      </c>
      <c r="S714" s="12" t="n">
        <v>2803.36</v>
      </c>
      <c r="T714" s="12" t="inlineStr">
        <is>
          <t>Paid</t>
        </is>
      </c>
      <c r="U714" s="12" t="inlineStr">
        <is>
          <t>Completed</t>
        </is>
      </c>
      <c r="V714">
        <f>IF(OR(P714="",P714&lt;0,P714&gt;0.5),0,P714)</f>
        <v/>
      </c>
      <c r="W714">
        <f>N714*O714*(1-V714)</f>
        <v/>
      </c>
      <c r="X714">
        <f>W714-R714</f>
        <v/>
      </c>
      <c r="Y714">
        <f>IF(W714=0,0,X714/W714)</f>
        <v/>
      </c>
      <c r="Z714">
        <f>C714-B714</f>
        <v/>
      </c>
      <c r="AA714">
        <f>TEXT(B714,"mmmm")</f>
        <v/>
      </c>
      <c r="AB714">
        <f>YEAR(B714)</f>
        <v/>
      </c>
      <c r="AC714">
        <f>IF(OR(P714&lt;0,P714&gt;0.5,C714&lt;B714),"INVALID","CLEAN")</f>
        <v/>
      </c>
    </row>
    <row r="715">
      <c r="A715" s="12" t="inlineStr">
        <is>
          <t>ORD-2025-10714</t>
        </is>
      </c>
      <c r="B715" s="12" t="inlineStr">
        <is>
          <t>06/06/2025</t>
        </is>
      </c>
      <c r="C715" s="12" t="inlineStr">
        <is>
          <t>06/10/2025</t>
        </is>
      </c>
      <c r="D715" s="12" t="inlineStr">
        <is>
          <t>CUST-2548</t>
        </is>
      </c>
      <c r="E715" s="12" t="inlineStr">
        <is>
          <t>Mira Das</t>
        </is>
      </c>
      <c r="F715" s="12" t="inlineStr">
        <is>
          <t>Consumer</t>
        </is>
      </c>
      <c r="G715" s="12" t="inlineStr">
        <is>
          <t>West</t>
        </is>
      </c>
      <c r="H715" s="12" t="inlineStr">
        <is>
          <t>Rajasthan</t>
        </is>
      </c>
      <c r="I715" s="12" t="inlineStr">
        <is>
          <t>Udaipur</t>
        </is>
      </c>
      <c r="J715" s="12" t="inlineStr">
        <is>
          <t>Technology</t>
        </is>
      </c>
      <c r="K715" s="12" t="inlineStr">
        <is>
          <t>Machines</t>
        </is>
      </c>
      <c r="L715" s="12" t="inlineStr">
        <is>
          <t>Pro Machines 987</t>
        </is>
      </c>
      <c r="M715" s="12" t="inlineStr">
        <is>
          <t>Second Class</t>
        </is>
      </c>
      <c r="N715" s="12" t="n">
        <v>1</v>
      </c>
      <c r="O715" s="12" t="n">
        <v>289.97</v>
      </c>
      <c r="P715" s="12" t="n">
        <v>0.25</v>
      </c>
      <c r="Q715" s="12" t="n">
        <v>217.48</v>
      </c>
      <c r="R715" s="12" t="n">
        <v>132.13</v>
      </c>
      <c r="S715" s="12" t="n">
        <v>85.34999999999999</v>
      </c>
      <c r="T715" s="12" t="inlineStr">
        <is>
          <t>Paid</t>
        </is>
      </c>
      <c r="U715" s="12" t="inlineStr">
        <is>
          <t>Completed</t>
        </is>
      </c>
      <c r="V715">
        <f>IF(OR(P715="",P715&lt;0,P715&gt;0.5),0,P715)</f>
        <v/>
      </c>
      <c r="W715">
        <f>N715*O715*(1-V715)</f>
        <v/>
      </c>
      <c r="X715">
        <f>W715-R715</f>
        <v/>
      </c>
      <c r="Y715">
        <f>IF(W715=0,0,X715/W715)</f>
        <v/>
      </c>
      <c r="Z715">
        <f>C715-B715</f>
        <v/>
      </c>
      <c r="AA715">
        <f>TEXT(B715,"mmmm")</f>
        <v/>
      </c>
      <c r="AB715">
        <f>YEAR(B715)</f>
        <v/>
      </c>
      <c r="AC715">
        <f>IF(OR(P715&lt;0,P715&gt;0.5,C715&lt;B715),"INVALID","CLEAN")</f>
        <v/>
      </c>
    </row>
    <row r="716">
      <c r="A716" s="12" t="inlineStr">
        <is>
          <t>ORD-2025-10715</t>
        </is>
      </c>
      <c r="B716" s="12" t="inlineStr">
        <is>
          <t>22 Mar 2025</t>
        </is>
      </c>
      <c r="C716" s="12" t="inlineStr">
        <is>
          <t>2025-03-23</t>
        </is>
      </c>
      <c r="D716" s="12" t="inlineStr">
        <is>
          <t>CUST-9902</t>
        </is>
      </c>
      <c r="E716" s="12" t="inlineStr">
        <is>
          <t>Karan Malhotra</t>
        </is>
      </c>
      <c r="F716" s="12" t="inlineStr">
        <is>
          <t>Home Office</t>
        </is>
      </c>
      <c r="G716" s="12" t="inlineStr">
        <is>
          <t>North</t>
        </is>
      </c>
      <c r="H716" s="12" t="inlineStr">
        <is>
          <t>Delhi</t>
        </is>
      </c>
      <c r="I716" s="12" t="inlineStr">
        <is>
          <t>New Delhi</t>
        </is>
      </c>
      <c r="J716" s="12" t="inlineStr">
        <is>
          <t>Technology</t>
        </is>
      </c>
      <c r="K716" s="12" t="inlineStr">
        <is>
          <t>Copiers</t>
        </is>
      </c>
      <c r="L716" s="12" t="inlineStr">
        <is>
          <t>Pro Copiers 206</t>
        </is>
      </c>
      <c r="M716" s="12" t="inlineStr">
        <is>
          <t>Standard Class</t>
        </is>
      </c>
      <c r="N716" s="12" t="n">
        <v>9</v>
      </c>
      <c r="O716" s="12" t="n">
        <v>2075.02</v>
      </c>
      <c r="P716" s="12" t="n">
        <v>0</v>
      </c>
      <c r="Q716" s="12" t="n">
        <v>18675.18</v>
      </c>
      <c r="R716" s="12" t="n">
        <v>13974.7</v>
      </c>
      <c r="S716" s="12" t="n">
        <v>4700.48</v>
      </c>
      <c r="T716" s="12" t="inlineStr">
        <is>
          <t>Paid</t>
        </is>
      </c>
      <c r="U716" s="12" t="inlineStr">
        <is>
          <t>Completed</t>
        </is>
      </c>
      <c r="V716">
        <f>IF(OR(P716="",P716&lt;0,P716&gt;0.5),0,P716)</f>
        <v/>
      </c>
      <c r="W716">
        <f>N716*O716*(1-V716)</f>
        <v/>
      </c>
      <c r="X716">
        <f>W716-R716</f>
        <v/>
      </c>
      <c r="Y716">
        <f>IF(W716=0,0,X716/W716)</f>
        <v/>
      </c>
      <c r="Z716">
        <f>C716-B716</f>
        <v/>
      </c>
      <c r="AA716">
        <f>TEXT(B716,"mmmm")</f>
        <v/>
      </c>
      <c r="AB716">
        <f>YEAR(B716)</f>
        <v/>
      </c>
      <c r="AC716">
        <f>IF(OR(P716&lt;0,P716&gt;0.5,C716&lt;B716),"INVALID","CLEAN")</f>
        <v/>
      </c>
    </row>
    <row r="717">
      <c r="A717" s="12" t="inlineStr">
        <is>
          <t>ORD-2025-10716</t>
        </is>
      </c>
      <c r="B717" s="12" t="inlineStr">
        <is>
          <t>2025-08-22</t>
        </is>
      </c>
      <c r="C717" s="12" t="inlineStr">
        <is>
          <t>27 Aug 2025</t>
        </is>
      </c>
      <c r="D717" s="12" t="inlineStr">
        <is>
          <t>CUST-7446</t>
        </is>
      </c>
      <c r="E717" s="12" t="inlineStr">
        <is>
          <t>Priya Menon</t>
        </is>
      </c>
      <c r="F717" s="12" t="inlineStr">
        <is>
          <t>Consumer</t>
        </is>
      </c>
      <c r="G717" s="12" t="inlineStr">
        <is>
          <t>North</t>
        </is>
      </c>
      <c r="H717" s="12" t="inlineStr">
        <is>
          <t>Haryana</t>
        </is>
      </c>
      <c r="I717" s="12" t="inlineStr">
        <is>
          <t>Gurugram</t>
        </is>
      </c>
      <c r="J717" s="12" t="inlineStr">
        <is>
          <t>Furniture</t>
        </is>
      </c>
      <c r="K717" s="12" t="inlineStr">
        <is>
          <t>Chairs</t>
        </is>
      </c>
      <c r="L717" s="12" t="inlineStr">
        <is>
          <t>Max Chairs 372</t>
        </is>
      </c>
      <c r="M717" s="12" t="inlineStr">
        <is>
          <t>Second Class</t>
        </is>
      </c>
      <c r="N717" s="12" t="n">
        <v>7</v>
      </c>
      <c r="O717" s="12" t="n">
        <v>2843.09</v>
      </c>
      <c r="P717" s="12" t="n">
        <v>0</v>
      </c>
      <c r="Q717" s="12" t="n">
        <v>19901.63</v>
      </c>
      <c r="R717" s="12" t="n">
        <v>15492.03</v>
      </c>
      <c r="S717" s="12" t="n">
        <v>4409.6</v>
      </c>
      <c r="T717" s="12" t="inlineStr">
        <is>
          <t>Refunded</t>
        </is>
      </c>
      <c r="U717" s="12" t="inlineStr">
        <is>
          <t>Cancelled</t>
        </is>
      </c>
      <c r="V717">
        <f>IF(OR(P717="",P717&lt;0,P717&gt;0.5),0,P717)</f>
        <v/>
      </c>
      <c r="W717">
        <f>N717*O717*(1-V717)</f>
        <v/>
      </c>
      <c r="X717">
        <f>W717-R717</f>
        <v/>
      </c>
      <c r="Y717">
        <f>IF(W717=0,0,X717/W717)</f>
        <v/>
      </c>
      <c r="Z717">
        <f>C717-B717</f>
        <v/>
      </c>
      <c r="AA717">
        <f>TEXT(B717,"mmmm")</f>
        <v/>
      </c>
      <c r="AB717">
        <f>YEAR(B717)</f>
        <v/>
      </c>
      <c r="AC717">
        <f>IF(OR(P717&lt;0,P717&gt;0.5,C717&lt;B717),"INVALID","CLEAN")</f>
        <v/>
      </c>
    </row>
    <row r="718">
      <c r="A718" s="12" t="inlineStr">
        <is>
          <t>ORD-2025-10717</t>
        </is>
      </c>
      <c r="B718" s="12" t="inlineStr">
        <is>
          <t>26 Aug 2025</t>
        </is>
      </c>
      <c r="C718" s="12" t="inlineStr">
        <is>
          <t>31-08-2025</t>
        </is>
      </c>
      <c r="D718" s="12" t="inlineStr">
        <is>
          <t>CUST-7540</t>
        </is>
      </c>
      <c r="E718" s="12" t="inlineStr">
        <is>
          <t>Diya Patel</t>
        </is>
      </c>
      <c r="F718" s="12" t="inlineStr">
        <is>
          <t>Small Business</t>
        </is>
      </c>
      <c r="G718" s="12" t="inlineStr">
        <is>
          <t>North</t>
        </is>
      </c>
      <c r="H718" s="12" t="inlineStr">
        <is>
          <t>Haryana</t>
        </is>
      </c>
      <c r="I718" s="12" t="inlineStr">
        <is>
          <t>Gurugram</t>
        </is>
      </c>
      <c r="J718" s="12" t="inlineStr">
        <is>
          <t>Technology</t>
        </is>
      </c>
      <c r="K718" s="12" t="inlineStr">
        <is>
          <t>Phones</t>
        </is>
      </c>
      <c r="L718" s="12" t="inlineStr">
        <is>
          <t>Basic Phones 496</t>
        </is>
      </c>
      <c r="M718" s="12" t="inlineStr">
        <is>
          <t>First Class</t>
        </is>
      </c>
      <c r="N718" s="12" t="n">
        <v>1</v>
      </c>
      <c r="O718" s="12" t="n">
        <v>3388.02</v>
      </c>
      <c r="P718" s="12" t="n">
        <v>0.15</v>
      </c>
      <c r="Q718" s="12" t="n">
        <v>2879.82</v>
      </c>
      <c r="R718" s="12" t="n">
        <v>1824.88</v>
      </c>
      <c r="S718" s="12" t="n">
        <v>1054.94</v>
      </c>
      <c r="T718" s="12" t="inlineStr">
        <is>
          <t>Paid</t>
        </is>
      </c>
      <c r="U718" s="12" t="inlineStr">
        <is>
          <t>Completed</t>
        </is>
      </c>
      <c r="V718">
        <f>IF(OR(P718="",P718&lt;0,P718&gt;0.5),0,P718)</f>
        <v/>
      </c>
      <c r="W718">
        <f>N718*O718*(1-V718)</f>
        <v/>
      </c>
      <c r="X718">
        <f>W718-R718</f>
        <v/>
      </c>
      <c r="Y718">
        <f>IF(W718=0,0,X718/W718)</f>
        <v/>
      </c>
      <c r="Z718">
        <f>C718-B718</f>
        <v/>
      </c>
      <c r="AA718">
        <f>TEXT(B718,"mmmm")</f>
        <v/>
      </c>
      <c r="AB718">
        <f>YEAR(B718)</f>
        <v/>
      </c>
      <c r="AC718">
        <f>IF(OR(P718&lt;0,P718&gt;0.5,C718&lt;B718),"INVALID","CLEAN")</f>
        <v/>
      </c>
    </row>
    <row r="719">
      <c r="A719" s="12" t="inlineStr">
        <is>
          <t>ORD-2025-10718</t>
        </is>
      </c>
      <c r="B719" s="12" t="inlineStr">
        <is>
          <t>12-10-2025</t>
        </is>
      </c>
      <c r="C719" s="12" t="inlineStr">
        <is>
          <t>15 Oct 2025</t>
        </is>
      </c>
      <c r="D719" s="12" t="inlineStr">
        <is>
          <t>CUST-8351</t>
        </is>
      </c>
      <c r="E719" s="12" t="inlineStr">
        <is>
          <t>Kabir Singh</t>
        </is>
      </c>
      <c r="F719" s="12" t="inlineStr">
        <is>
          <t>Small Business</t>
        </is>
      </c>
      <c r="G719" s="12" t="inlineStr">
        <is>
          <t>North</t>
        </is>
      </c>
      <c r="H719" s="12" t="inlineStr">
        <is>
          <t>Haryana</t>
        </is>
      </c>
      <c r="I719" s="12" t="inlineStr">
        <is>
          <t>Gurugram</t>
        </is>
      </c>
      <c r="J719" s="12" t="inlineStr">
        <is>
          <t>Technology</t>
        </is>
      </c>
      <c r="K719" s="12" t="inlineStr">
        <is>
          <t>Machines</t>
        </is>
      </c>
      <c r="L719" s="12" t="inlineStr">
        <is>
          <t>Prime Machines 612</t>
        </is>
      </c>
      <c r="M719" s="12" t="inlineStr">
        <is>
          <t>Standard Class</t>
        </is>
      </c>
      <c r="N719" s="12" t="n">
        <v>9</v>
      </c>
      <c r="O719" s="12" t="n">
        <v>2598.92</v>
      </c>
      <c r="P719" s="12" t="n">
        <v>0.2</v>
      </c>
      <c r="Q719" s="12" t="n">
        <v>18712.22</v>
      </c>
      <c r="R719" s="12" t="n">
        <v>11852.22</v>
      </c>
      <c r="S719" s="12" t="n">
        <v>6860</v>
      </c>
      <c r="T719" s="12" t="inlineStr">
        <is>
          <t>Pending</t>
        </is>
      </c>
      <c r="U719" s="12" t="inlineStr">
        <is>
          <t>Cancelled</t>
        </is>
      </c>
      <c r="V719">
        <f>IF(OR(P719="",P719&lt;0,P719&gt;0.5),0,P719)</f>
        <v/>
      </c>
      <c r="W719">
        <f>N719*O719*(1-V719)</f>
        <v/>
      </c>
      <c r="X719">
        <f>W719-R719</f>
        <v/>
      </c>
      <c r="Y719">
        <f>IF(W719=0,0,X719/W719)</f>
        <v/>
      </c>
      <c r="Z719">
        <f>C719-B719</f>
        <v/>
      </c>
      <c r="AA719">
        <f>TEXT(B719,"mmmm")</f>
        <v/>
      </c>
      <c r="AB719">
        <f>YEAR(B719)</f>
        <v/>
      </c>
      <c r="AC719">
        <f>IF(OR(P719&lt;0,P719&gt;0.5,C719&lt;B719),"INVALID","CLEAN")</f>
        <v/>
      </c>
    </row>
    <row r="720">
      <c r="A720" s="12" t="inlineStr">
        <is>
          <t>ORD-2024-10719</t>
        </is>
      </c>
      <c r="B720" s="12" t="inlineStr">
        <is>
          <t>06 Sep 2024</t>
        </is>
      </c>
      <c r="C720" s="12" t="inlineStr">
        <is>
          <t>2024-09-09</t>
        </is>
      </c>
      <c r="D720" s="12" t="inlineStr">
        <is>
          <t>CUST-3918</t>
        </is>
      </c>
      <c r="E720" s="12" t="inlineStr">
        <is>
          <t>Mira Das</t>
        </is>
      </c>
      <c r="F720" s="12" t="inlineStr">
        <is>
          <t>Consumer</t>
        </is>
      </c>
      <c r="G720" s="12" t="inlineStr">
        <is>
          <t>West</t>
        </is>
      </c>
      <c r="H720" s="12" t="inlineStr">
        <is>
          <t>Maharashtra</t>
        </is>
      </c>
      <c r="I720" s="12" t="inlineStr">
        <is>
          <t>Mumbai</t>
        </is>
      </c>
      <c r="J720" s="12" t="inlineStr">
        <is>
          <t>Office Supplies</t>
        </is>
      </c>
      <c r="K720" s="12" t="inlineStr">
        <is>
          <t>Art</t>
        </is>
      </c>
      <c r="L720" s="12" t="inlineStr">
        <is>
          <t>Smart Art 866</t>
        </is>
      </c>
      <c r="M720" s="12" t="inlineStr">
        <is>
          <t>Same Day</t>
        </is>
      </c>
      <c r="N720" s="12" t="n">
        <v>3</v>
      </c>
      <c r="O720" s="12" t="n">
        <v>1972.27</v>
      </c>
      <c r="P720" s="12" t="n">
        <v>0.2</v>
      </c>
      <c r="Q720" s="12" t="n">
        <v>4733.45</v>
      </c>
      <c r="R720" s="12" t="n">
        <v>3672.32</v>
      </c>
      <c r="S720" s="12" t="n">
        <v>1061.13</v>
      </c>
      <c r="T720" s="12" t="inlineStr">
        <is>
          <t>Paid</t>
        </is>
      </c>
      <c r="U720" s="12" t="inlineStr">
        <is>
          <t>Completed</t>
        </is>
      </c>
      <c r="V720">
        <f>IF(OR(P720="",P720&lt;0,P720&gt;0.5),0,P720)</f>
        <v/>
      </c>
      <c r="W720">
        <f>N720*O720*(1-V720)</f>
        <v/>
      </c>
      <c r="X720">
        <f>W720-R720</f>
        <v/>
      </c>
      <c r="Y720">
        <f>IF(W720=0,0,X720/W720)</f>
        <v/>
      </c>
      <c r="Z720">
        <f>C720-B720</f>
        <v/>
      </c>
      <c r="AA720">
        <f>TEXT(B720,"mmmm")</f>
        <v/>
      </c>
      <c r="AB720">
        <f>YEAR(B720)</f>
        <v/>
      </c>
      <c r="AC720">
        <f>IF(OR(P720&lt;0,P720&gt;0.5,C720&lt;B720),"INVALID","CLEAN")</f>
        <v/>
      </c>
    </row>
    <row r="721">
      <c r="A721" s="12" t="inlineStr">
        <is>
          <t>ORD-2025-10720</t>
        </is>
      </c>
      <c r="B721" s="12" t="inlineStr">
        <is>
          <t>08 Sep 2025</t>
        </is>
      </c>
      <c r="C721" s="12" t="inlineStr">
        <is>
          <t>2025-09-09</t>
        </is>
      </c>
      <c r="D721" s="12" t="inlineStr">
        <is>
          <t>CUST-3190</t>
        </is>
      </c>
      <c r="E721" s="12" t="inlineStr">
        <is>
          <t>Kabir Singh</t>
        </is>
      </c>
      <c r="F721" s="12" t="inlineStr">
        <is>
          <t>Corporate</t>
        </is>
      </c>
      <c r="G721" s="12" t="inlineStr">
        <is>
          <t>West</t>
        </is>
      </c>
      <c r="H721" s="12" t="inlineStr">
        <is>
          <t>Gujarat</t>
        </is>
      </c>
      <c r="I721" s="12" t="inlineStr">
        <is>
          <t>Ahmedabad</t>
        </is>
      </c>
      <c r="J721" s="12" t="inlineStr">
        <is>
          <t>Office Supplies</t>
        </is>
      </c>
      <c r="K721" s="12" t="inlineStr">
        <is>
          <t>Art</t>
        </is>
      </c>
      <c r="L721" s="12" t="inlineStr">
        <is>
          <t>Pro Art 447</t>
        </is>
      </c>
      <c r="M721" s="12" t="inlineStr">
        <is>
          <t>Same Day</t>
        </is>
      </c>
      <c r="N721" s="12" t="n">
        <v>2</v>
      </c>
      <c r="O721" s="12" t="n">
        <v>2372.41</v>
      </c>
      <c r="P721" s="12" t="n">
        <v>0.2</v>
      </c>
      <c r="Q721" s="12" t="n">
        <v>3795.86</v>
      </c>
      <c r="R721" s="12" t="n">
        <v>2264.92</v>
      </c>
      <c r="S721" s="12" t="n">
        <v>1530.94</v>
      </c>
      <c r="T721" s="12" t="inlineStr">
        <is>
          <t>Paid</t>
        </is>
      </c>
      <c r="U721" s="12" t="inlineStr">
        <is>
          <t>Completed</t>
        </is>
      </c>
      <c r="V721">
        <f>IF(OR(P721="",P721&lt;0,P721&gt;0.5),0,P721)</f>
        <v/>
      </c>
      <c r="W721">
        <f>N721*O721*(1-V721)</f>
        <v/>
      </c>
      <c r="X721">
        <f>W721-R721</f>
        <v/>
      </c>
      <c r="Y721">
        <f>IF(W721=0,0,X721/W721)</f>
        <v/>
      </c>
      <c r="Z721">
        <f>C721-B721</f>
        <v/>
      </c>
      <c r="AA721">
        <f>TEXT(B721,"mmmm")</f>
        <v/>
      </c>
      <c r="AB721">
        <f>YEAR(B721)</f>
        <v/>
      </c>
      <c r="AC721">
        <f>IF(OR(P721&lt;0,P721&gt;0.5,C721&lt;B721),"INVALID","CLEAN")</f>
        <v/>
      </c>
    </row>
    <row r="722">
      <c r="A722" s="12" t="inlineStr">
        <is>
          <t>ORD-2024-10721</t>
        </is>
      </c>
      <c r="B722" s="12" t="inlineStr">
        <is>
          <t>2024-07-16</t>
        </is>
      </c>
      <c r="C722" s="12" t="inlineStr">
        <is>
          <t>07/16/2024</t>
        </is>
      </c>
      <c r="D722" s="12" t="inlineStr">
        <is>
          <t>CUST-1991</t>
        </is>
      </c>
      <c r="E722" s="12" t="inlineStr">
        <is>
          <t>Aditi Sen</t>
        </is>
      </c>
      <c r="F722" s="12" t="inlineStr">
        <is>
          <t>Home Office</t>
        </is>
      </c>
      <c r="G722" s="12" t="inlineStr">
        <is>
          <t>West</t>
        </is>
      </c>
      <c r="H722" s="12" t="inlineStr">
        <is>
          <t>Madhya Pradesh</t>
        </is>
      </c>
      <c r="I722" s="12" t="inlineStr">
        <is>
          <t>Indore</t>
        </is>
      </c>
      <c r="J722" s="12" t="inlineStr">
        <is>
          <t>Technology</t>
        </is>
      </c>
      <c r="K722" s="12" t="inlineStr">
        <is>
          <t>Copiers</t>
        </is>
      </c>
      <c r="L722" s="12" t="inlineStr">
        <is>
          <t>Smart Copiers 196</t>
        </is>
      </c>
      <c r="M722" s="12" t="inlineStr">
        <is>
          <t>Same Day</t>
        </is>
      </c>
      <c r="N722" s="12" t="n">
        <v>4</v>
      </c>
      <c r="O722" s="12" t="n">
        <v>4479.92</v>
      </c>
      <c r="P722" s="12" t="n">
        <v>0.15</v>
      </c>
      <c r="Q722" s="12" t="n">
        <v>15231.73</v>
      </c>
      <c r="R722" s="12" t="n">
        <v>12451.46</v>
      </c>
      <c r="S722" s="12" t="n">
        <v>2780.27</v>
      </c>
      <c r="T722" s="12" t="inlineStr">
        <is>
          <t>Paid</t>
        </is>
      </c>
      <c r="U722" s="12" t="inlineStr">
        <is>
          <t>Completed</t>
        </is>
      </c>
      <c r="V722">
        <f>IF(OR(P722="",P722&lt;0,P722&gt;0.5),0,P722)</f>
        <v/>
      </c>
      <c r="W722">
        <f>N722*O722*(1-V722)</f>
        <v/>
      </c>
      <c r="X722">
        <f>W722-R722</f>
        <v/>
      </c>
      <c r="Y722">
        <f>IF(W722=0,0,X722/W722)</f>
        <v/>
      </c>
      <c r="Z722">
        <f>C722-B722</f>
        <v/>
      </c>
      <c r="AA722">
        <f>TEXT(B722,"mmmm")</f>
        <v/>
      </c>
      <c r="AB722">
        <f>YEAR(B722)</f>
        <v/>
      </c>
      <c r="AC722">
        <f>IF(OR(P722&lt;0,P722&gt;0.5,C722&lt;B722),"INVALID","CLEAN")</f>
        <v/>
      </c>
    </row>
    <row r="723">
      <c r="A723" s="12" t="inlineStr">
        <is>
          <t>ORD-2025-10722</t>
        </is>
      </c>
      <c r="B723" s="12" t="inlineStr">
        <is>
          <t>19-06-2025</t>
        </is>
      </c>
      <c r="C723" s="12" t="inlineStr">
        <is>
          <t>23-06-2025</t>
        </is>
      </c>
      <c r="D723" s="12" t="inlineStr">
        <is>
          <t>CUST-7606</t>
        </is>
      </c>
      <c r="E723" s="12" t="inlineStr">
        <is>
          <t>Sneha Kapoor</t>
        </is>
      </c>
      <c r="F723" s="12" t="inlineStr">
        <is>
          <t>Consumer</t>
        </is>
      </c>
      <c r="G723" s="12" t="inlineStr">
        <is>
          <t>South</t>
        </is>
      </c>
      <c r="H723" s="12" t="inlineStr">
        <is>
          <t>Karnataka</t>
        </is>
      </c>
      <c r="I723" s="12" t="inlineStr">
        <is>
          <t>Bengaluru</t>
        </is>
      </c>
      <c r="J723" s="12" t="inlineStr">
        <is>
          <t>Technology</t>
        </is>
      </c>
      <c r="K723" s="12" t="inlineStr">
        <is>
          <t>Copiers</t>
        </is>
      </c>
      <c r="L723" s="12" t="inlineStr">
        <is>
          <t>Pro Copiers 532</t>
        </is>
      </c>
      <c r="M723" s="12" t="inlineStr">
        <is>
          <t>First Class</t>
        </is>
      </c>
      <c r="N723" s="12" t="n">
        <v>5</v>
      </c>
      <c r="O723" s="12" t="n">
        <v>2729.95</v>
      </c>
      <c r="P723" s="12" t="n">
        <v>0</v>
      </c>
      <c r="Q723" s="12" t="n">
        <v>13649.75</v>
      </c>
      <c r="R723" s="12" t="n">
        <v>10288.03</v>
      </c>
      <c r="S723" s="12" t="n">
        <v>3361.72</v>
      </c>
      <c r="T723" s="12" t="inlineStr">
        <is>
          <t>Paid</t>
        </is>
      </c>
      <c r="U723" s="12" t="inlineStr">
        <is>
          <t>Completed</t>
        </is>
      </c>
      <c r="V723">
        <f>IF(OR(P723="",P723&lt;0,P723&gt;0.5),0,P723)</f>
        <v/>
      </c>
      <c r="W723">
        <f>N723*O723*(1-V723)</f>
        <v/>
      </c>
      <c r="X723">
        <f>W723-R723</f>
        <v/>
      </c>
      <c r="Y723">
        <f>IF(W723=0,0,X723/W723)</f>
        <v/>
      </c>
      <c r="Z723">
        <f>C723-B723</f>
        <v/>
      </c>
      <c r="AA723">
        <f>TEXT(B723,"mmmm")</f>
        <v/>
      </c>
      <c r="AB723">
        <f>YEAR(B723)</f>
        <v/>
      </c>
      <c r="AC723">
        <f>IF(OR(P723&lt;0,P723&gt;0.5,C723&lt;B723),"INVALID","CLEAN")</f>
        <v/>
      </c>
    </row>
    <row r="724">
      <c r="A724" s="12" t="inlineStr">
        <is>
          <t>ORD-2024-10723</t>
        </is>
      </c>
      <c r="B724" s="12" t="inlineStr">
        <is>
          <t>2024-10-07</t>
        </is>
      </c>
      <c r="C724" s="12" t="inlineStr">
        <is>
          <t>10 Oct 2024</t>
        </is>
      </c>
      <c r="D724" s="12" t="inlineStr">
        <is>
          <t>CUST-8844</t>
        </is>
      </c>
      <c r="E724" s="12" t="inlineStr">
        <is>
          <t>Vikram Iyer</t>
        </is>
      </c>
      <c r="F724" s="12" t="inlineStr">
        <is>
          <t>Consumer</t>
        </is>
      </c>
      <c r="G724" s="12" t="inlineStr">
        <is>
          <t>East</t>
        </is>
      </c>
      <c r="H724" s="12" t="inlineStr">
        <is>
          <t>West Bengal</t>
        </is>
      </c>
      <c r="I724" s="12" t="inlineStr">
        <is>
          <t>Kolkata</t>
        </is>
      </c>
      <c r="J724" s="12" t="inlineStr">
        <is>
          <t>Furniture</t>
        </is>
      </c>
      <c r="K724" s="12" t="inlineStr">
        <is>
          <t>Chairs</t>
        </is>
      </c>
      <c r="L724" s="12" t="inlineStr">
        <is>
          <t>Eco Chairs 442</t>
        </is>
      </c>
      <c r="M724" s="12" t="inlineStr">
        <is>
          <t>Second Class</t>
        </is>
      </c>
      <c r="N724" s="12" t="n">
        <v>9</v>
      </c>
      <c r="O724" s="12" t="n">
        <v>481.51</v>
      </c>
      <c r="P724" s="12" t="n"/>
      <c r="Q724" s="12" t="n">
        <v>4333.59</v>
      </c>
      <c r="R724" s="12" t="n">
        <v>2533.59</v>
      </c>
      <c r="S724" s="12" t="n">
        <v>1800</v>
      </c>
      <c r="T724" s="12" t="inlineStr">
        <is>
          <t>Refunded</t>
        </is>
      </c>
      <c r="U724" s="12" t="inlineStr">
        <is>
          <t>Cancelled</t>
        </is>
      </c>
      <c r="V724">
        <f>IF(OR(P724="",P724&lt;0,P724&gt;0.5),0,P724)</f>
        <v/>
      </c>
      <c r="W724">
        <f>N724*O724*(1-V724)</f>
        <v/>
      </c>
      <c r="X724">
        <f>W724-R724</f>
        <v/>
      </c>
      <c r="Y724">
        <f>IF(W724=0,0,X724/W724)</f>
        <v/>
      </c>
      <c r="Z724">
        <f>C724-B724</f>
        <v/>
      </c>
      <c r="AA724">
        <f>TEXT(B724,"mmmm")</f>
        <v/>
      </c>
      <c r="AB724">
        <f>YEAR(B724)</f>
        <v/>
      </c>
      <c r="AC724">
        <f>IF(OR(P724&lt;0,P724&gt;0.5,C724&lt;B724),"INVALID","CLEAN")</f>
        <v/>
      </c>
    </row>
    <row r="725">
      <c r="A725" s="12" t="inlineStr">
        <is>
          <t>ORD-2025-10724</t>
        </is>
      </c>
      <c r="B725" s="12" t="inlineStr">
        <is>
          <t>10/06/2025</t>
        </is>
      </c>
      <c r="C725" s="12" t="inlineStr">
        <is>
          <t>2025-10-13</t>
        </is>
      </c>
      <c r="D725" s="12" t="inlineStr">
        <is>
          <t>CUST-4335</t>
        </is>
      </c>
      <c r="E725" s="12" t="inlineStr">
        <is>
          <t>Kabir Singh</t>
        </is>
      </c>
      <c r="F725" s="12" t="inlineStr">
        <is>
          <t>Home Office</t>
        </is>
      </c>
      <c r="G725" s="12" t="inlineStr">
        <is>
          <t>East</t>
        </is>
      </c>
      <c r="H725" s="12" t="inlineStr">
        <is>
          <t>Jharkhand</t>
        </is>
      </c>
      <c r="I725" s="12" t="inlineStr">
        <is>
          <t>Ranchi</t>
        </is>
      </c>
      <c r="J725" s="12" t="inlineStr">
        <is>
          <t>Technology</t>
        </is>
      </c>
      <c r="K725" s="12" t="inlineStr">
        <is>
          <t>Accessories</t>
        </is>
      </c>
      <c r="L725" s="12" t="inlineStr">
        <is>
          <t>Eco Accessories 364</t>
        </is>
      </c>
      <c r="M725" s="12" t="inlineStr">
        <is>
          <t>Standard Class</t>
        </is>
      </c>
      <c r="N725" s="12" t="n">
        <v>6</v>
      </c>
      <c r="O725" s="12" t="n">
        <v>2391.93</v>
      </c>
      <c r="P725" s="12" t="n">
        <v>0.05</v>
      </c>
      <c r="Q725" s="12" t="n">
        <v>13634</v>
      </c>
      <c r="R725" s="12" t="n">
        <v>9589.809999999999</v>
      </c>
      <c r="S725" s="12" t="n">
        <v>4044.19</v>
      </c>
      <c r="T725" s="12" t="inlineStr">
        <is>
          <t>Failed</t>
        </is>
      </c>
      <c r="U725" s="12" t="inlineStr">
        <is>
          <t>Returned</t>
        </is>
      </c>
      <c r="V725">
        <f>IF(OR(P725="",P725&lt;0,P725&gt;0.5),0,P725)</f>
        <v/>
      </c>
      <c r="W725">
        <f>N725*O725*(1-V725)</f>
        <v/>
      </c>
      <c r="X725">
        <f>W725-R725</f>
        <v/>
      </c>
      <c r="Y725">
        <f>IF(W725=0,0,X725/W725)</f>
        <v/>
      </c>
      <c r="Z725">
        <f>C725-B725</f>
        <v/>
      </c>
      <c r="AA725">
        <f>TEXT(B725,"mmmm")</f>
        <v/>
      </c>
      <c r="AB725">
        <f>YEAR(B725)</f>
        <v/>
      </c>
      <c r="AC725">
        <f>IF(OR(P725&lt;0,P725&gt;0.5,C725&lt;B725),"INVALID","CLEAN")</f>
        <v/>
      </c>
    </row>
    <row r="726">
      <c r="A726" s="12" t="inlineStr">
        <is>
          <t>ORD-2024-10725</t>
        </is>
      </c>
      <c r="B726" s="12" t="inlineStr">
        <is>
          <t>02/10/2024</t>
        </is>
      </c>
      <c r="C726" s="12" t="inlineStr">
        <is>
          <t>16-02-2024</t>
        </is>
      </c>
      <c r="D726" s="12" t="inlineStr">
        <is>
          <t>CUST-5891</t>
        </is>
      </c>
      <c r="E726" s="12" t="inlineStr">
        <is>
          <t>Karan Malhotra</t>
        </is>
      </c>
      <c r="F726" s="12" t="inlineStr">
        <is>
          <t>Consumer</t>
        </is>
      </c>
      <c r="G726" s="12" t="inlineStr">
        <is>
          <t>West</t>
        </is>
      </c>
      <c r="H726" s="12" t="inlineStr">
        <is>
          <t>Goa</t>
        </is>
      </c>
      <c r="I726" s="12" t="inlineStr">
        <is>
          <t>Panaji</t>
        </is>
      </c>
      <c r="J726" s="12" t="inlineStr">
        <is>
          <t>Furniture</t>
        </is>
      </c>
      <c r="K726" s="12" t="inlineStr">
        <is>
          <t>Furnishings</t>
        </is>
      </c>
      <c r="L726" s="12" t="inlineStr">
        <is>
          <t>Elite Furnishings 921</t>
        </is>
      </c>
      <c r="M726" s="12" t="inlineStr">
        <is>
          <t>Second Class</t>
        </is>
      </c>
      <c r="N726" s="12" t="n">
        <v>3</v>
      </c>
      <c r="O726" s="12" t="n">
        <v>253.43</v>
      </c>
      <c r="P726" s="12" t="n">
        <v>0</v>
      </c>
      <c r="Q726" s="12" t="n">
        <v>760.29</v>
      </c>
      <c r="R726" s="12" t="n">
        <v>497.77</v>
      </c>
      <c r="S726" s="12" t="n">
        <v>262.52</v>
      </c>
      <c r="T726" s="12" t="inlineStr">
        <is>
          <t>Paid</t>
        </is>
      </c>
      <c r="U726" s="12" t="inlineStr">
        <is>
          <t>Completed</t>
        </is>
      </c>
      <c r="V726">
        <f>IF(OR(P726="",P726&lt;0,P726&gt;0.5),0,P726)</f>
        <v/>
      </c>
      <c r="W726">
        <f>N726*O726*(1-V726)</f>
        <v/>
      </c>
      <c r="X726">
        <f>W726-R726</f>
        <v/>
      </c>
      <c r="Y726">
        <f>IF(W726=0,0,X726/W726)</f>
        <v/>
      </c>
      <c r="Z726">
        <f>C726-B726</f>
        <v/>
      </c>
      <c r="AA726">
        <f>TEXT(B726,"mmmm")</f>
        <v/>
      </c>
      <c r="AB726">
        <f>YEAR(B726)</f>
        <v/>
      </c>
      <c r="AC726">
        <f>IF(OR(P726&lt;0,P726&gt;0.5,C726&lt;B726),"INVALID","CLEAN")</f>
        <v/>
      </c>
    </row>
    <row r="727">
      <c r="A727" s="12" t="inlineStr">
        <is>
          <t>ORD-2025-10726</t>
        </is>
      </c>
      <c r="B727" s="12" t="inlineStr">
        <is>
          <t>10/05/2025</t>
        </is>
      </c>
      <c r="C727" s="12" t="inlineStr">
        <is>
          <t>2025-10-12</t>
        </is>
      </c>
      <c r="D727" s="12" t="inlineStr">
        <is>
          <t>CUST-6371</t>
        </is>
      </c>
      <c r="E727" s="12" t="inlineStr">
        <is>
          <t>Priya Menon</t>
        </is>
      </c>
      <c r="F727" s="12" t="inlineStr">
        <is>
          <t>Corporate</t>
        </is>
      </c>
      <c r="G727" s="12" t="inlineStr">
        <is>
          <t>South</t>
        </is>
      </c>
      <c r="H727" s="12" t="inlineStr">
        <is>
          <t>Karnataka</t>
        </is>
      </c>
      <c r="I727" s="12" t="inlineStr">
        <is>
          <t>Bengaluru</t>
        </is>
      </c>
      <c r="J727" s="12" t="inlineStr">
        <is>
          <t>Furniture</t>
        </is>
      </c>
      <c r="K727" s="12" t="inlineStr">
        <is>
          <t>Tables</t>
        </is>
      </c>
      <c r="L727" s="12" t="inlineStr">
        <is>
          <t>Max Tables 309</t>
        </is>
      </c>
      <c r="M727" s="12" t="inlineStr">
        <is>
          <t>Second Class</t>
        </is>
      </c>
      <c r="N727" s="12" t="n">
        <v>7</v>
      </c>
      <c r="O727" s="12" t="n">
        <v>2134.73</v>
      </c>
      <c r="P727" s="12" t="n">
        <v>0</v>
      </c>
      <c r="Q727" s="12" t="n">
        <v>14943.11</v>
      </c>
      <c r="R727" s="12" t="n">
        <v>8521.5</v>
      </c>
      <c r="S727" s="12" t="n">
        <v>6421.61</v>
      </c>
      <c r="T727" s="12" t="inlineStr">
        <is>
          <t>Paid</t>
        </is>
      </c>
      <c r="U727" s="12" t="inlineStr">
        <is>
          <t>Completed</t>
        </is>
      </c>
      <c r="V727">
        <f>IF(OR(P727="",P727&lt;0,P727&gt;0.5),0,P727)</f>
        <v/>
      </c>
      <c r="W727">
        <f>N727*O727*(1-V727)</f>
        <v/>
      </c>
      <c r="X727">
        <f>W727-R727</f>
        <v/>
      </c>
      <c r="Y727">
        <f>IF(W727=0,0,X727/W727)</f>
        <v/>
      </c>
      <c r="Z727">
        <f>C727-B727</f>
        <v/>
      </c>
      <c r="AA727">
        <f>TEXT(B727,"mmmm")</f>
        <v/>
      </c>
      <c r="AB727">
        <f>YEAR(B727)</f>
        <v/>
      </c>
      <c r="AC727">
        <f>IF(OR(P727&lt;0,P727&gt;0.5,C727&lt;B727),"INVALID","CLEAN")</f>
        <v/>
      </c>
    </row>
    <row r="728">
      <c r="A728" s="12" t="inlineStr">
        <is>
          <t>ORD-2024-10727</t>
        </is>
      </c>
      <c r="B728" s="12" t="inlineStr">
        <is>
          <t>2024-01-17</t>
        </is>
      </c>
      <c r="C728" s="12" t="inlineStr">
        <is>
          <t>01/23/2024</t>
        </is>
      </c>
      <c r="D728" s="12" t="inlineStr">
        <is>
          <t>CUST-6655</t>
        </is>
      </c>
      <c r="E728" s="12" t="inlineStr">
        <is>
          <t>Kabir Singh</t>
        </is>
      </c>
      <c r="F728" s="12" t="inlineStr">
        <is>
          <t>Home Office</t>
        </is>
      </c>
      <c r="G728" s="12" t="inlineStr">
        <is>
          <t>West</t>
        </is>
      </c>
      <c r="H728" s="12" t="inlineStr">
        <is>
          <t>Gujarat</t>
        </is>
      </c>
      <c r="I728" s="12" t="inlineStr">
        <is>
          <t>Ahmedabad</t>
        </is>
      </c>
      <c r="J728" s="12" t="inlineStr">
        <is>
          <t>Technology</t>
        </is>
      </c>
      <c r="K728" s="12" t="inlineStr">
        <is>
          <t>Phones</t>
        </is>
      </c>
      <c r="L728" s="12" t="inlineStr">
        <is>
          <t>Pro Phones 857</t>
        </is>
      </c>
      <c r="M728" s="12" t="inlineStr">
        <is>
          <t>Standard Class</t>
        </is>
      </c>
      <c r="N728" s="12" t="n">
        <v>5</v>
      </c>
      <c r="O728" s="12" t="n">
        <v>2018</v>
      </c>
      <c r="P728" s="12" t="n">
        <v>0.2</v>
      </c>
      <c r="Q728" s="12" t="n">
        <v>8072</v>
      </c>
      <c r="R728" s="12" t="n">
        <v>5379.22</v>
      </c>
      <c r="S728" s="12" t="n">
        <v>2692.78</v>
      </c>
      <c r="T728" s="12" t="inlineStr">
        <is>
          <t>Pending</t>
        </is>
      </c>
      <c r="U728" s="12" t="inlineStr">
        <is>
          <t>Returned</t>
        </is>
      </c>
      <c r="V728">
        <f>IF(OR(P728="",P728&lt;0,P728&gt;0.5),0,P728)</f>
        <v/>
      </c>
      <c r="W728">
        <f>N728*O728*(1-V728)</f>
        <v/>
      </c>
      <c r="X728">
        <f>W728-R728</f>
        <v/>
      </c>
      <c r="Y728">
        <f>IF(W728=0,0,X728/W728)</f>
        <v/>
      </c>
      <c r="Z728">
        <f>C728-B728</f>
        <v/>
      </c>
      <c r="AA728">
        <f>TEXT(B728,"mmmm")</f>
        <v/>
      </c>
      <c r="AB728">
        <f>YEAR(B728)</f>
        <v/>
      </c>
      <c r="AC728">
        <f>IF(OR(P728&lt;0,P728&gt;0.5,C728&lt;B728),"INVALID","CLEAN")</f>
        <v/>
      </c>
    </row>
    <row r="729">
      <c r="A729" s="12" t="inlineStr">
        <is>
          <t>ORD-2024-10728</t>
        </is>
      </c>
      <c r="B729" s="12" t="inlineStr">
        <is>
          <t>13 Oct 2024</t>
        </is>
      </c>
      <c r="C729" s="12" t="inlineStr">
        <is>
          <t>13 Oct 2024</t>
        </is>
      </c>
      <c r="D729" s="12" t="inlineStr">
        <is>
          <t>CUST-6492</t>
        </is>
      </c>
      <c r="E729" s="12" t="inlineStr">
        <is>
          <t>Aarav Sharma</t>
        </is>
      </c>
      <c r="F729" s="12" t="inlineStr">
        <is>
          <t>Small Business</t>
        </is>
      </c>
      <c r="G729" s="12" t="inlineStr">
        <is>
          <t>East</t>
        </is>
      </c>
      <c r="H729" s="12" t="inlineStr">
        <is>
          <t>Assam</t>
        </is>
      </c>
      <c r="I729" s="12" t="inlineStr">
        <is>
          <t>Guwahati</t>
        </is>
      </c>
      <c r="J729" s="12" t="inlineStr">
        <is>
          <t>Technology</t>
        </is>
      </c>
      <c r="K729" s="12" t="inlineStr">
        <is>
          <t>Accessories</t>
        </is>
      </c>
      <c r="L729" s="12" t="inlineStr">
        <is>
          <t>Max Accessories 567</t>
        </is>
      </c>
      <c r="M729" s="12" t="inlineStr">
        <is>
          <t>Second Class</t>
        </is>
      </c>
      <c r="N729" s="12" t="n">
        <v>8</v>
      </c>
      <c r="O729" s="12" t="n">
        <v>3730.66</v>
      </c>
      <c r="P729" s="12" t="n">
        <v>0.05</v>
      </c>
      <c r="Q729" s="12" t="n">
        <v>28353.02</v>
      </c>
      <c r="R729" s="12" t="n">
        <v>19257.85</v>
      </c>
      <c r="S729" s="12" t="n">
        <v>9095.17</v>
      </c>
      <c r="T729" s="12" t="inlineStr">
        <is>
          <t>Paid</t>
        </is>
      </c>
      <c r="U729" s="12" t="inlineStr">
        <is>
          <t>Completed</t>
        </is>
      </c>
      <c r="V729">
        <f>IF(OR(P729="",P729&lt;0,P729&gt;0.5),0,P729)</f>
        <v/>
      </c>
      <c r="W729">
        <f>N729*O729*(1-V729)</f>
        <v/>
      </c>
      <c r="X729">
        <f>W729-R729</f>
        <v/>
      </c>
      <c r="Y729">
        <f>IF(W729=0,0,X729/W729)</f>
        <v/>
      </c>
      <c r="Z729">
        <f>C729-B729</f>
        <v/>
      </c>
      <c r="AA729">
        <f>TEXT(B729,"mmmm")</f>
        <v/>
      </c>
      <c r="AB729">
        <f>YEAR(B729)</f>
        <v/>
      </c>
      <c r="AC729">
        <f>IF(OR(P729&lt;0,P729&gt;0.5,C729&lt;B729),"INVALID","CLEAN")</f>
        <v/>
      </c>
    </row>
    <row r="730">
      <c r="A730" s="12" t="inlineStr">
        <is>
          <t>ORD-2024-10729</t>
        </is>
      </c>
      <c r="B730" s="12" t="inlineStr">
        <is>
          <t>2024-01-04</t>
        </is>
      </c>
      <c r="C730" s="12" t="inlineStr">
        <is>
          <t>07-01-2024</t>
        </is>
      </c>
      <c r="D730" s="12" t="inlineStr">
        <is>
          <t>CUST-1154</t>
        </is>
      </c>
      <c r="E730" s="12" t="inlineStr">
        <is>
          <t>Sneha Kapoor</t>
        </is>
      </c>
      <c r="F730" s="12" t="inlineStr">
        <is>
          <t>Small Business</t>
        </is>
      </c>
      <c r="G730" s="12" t="inlineStr">
        <is>
          <t>South</t>
        </is>
      </c>
      <c r="H730" s="12" t="inlineStr">
        <is>
          <t>Karnataka</t>
        </is>
      </c>
      <c r="I730" s="12" t="inlineStr">
        <is>
          <t>Bengaluru</t>
        </is>
      </c>
      <c r="J730" s="12" t="inlineStr">
        <is>
          <t>Technology</t>
        </is>
      </c>
      <c r="K730" s="12" t="inlineStr">
        <is>
          <t>Machines</t>
        </is>
      </c>
      <c r="L730" s="12" t="inlineStr">
        <is>
          <t>Max Machines 200</t>
        </is>
      </c>
      <c r="M730" s="12" t="inlineStr">
        <is>
          <t>First Class</t>
        </is>
      </c>
      <c r="N730" s="12" t="n">
        <v>1</v>
      </c>
      <c r="O730" s="12" t="n">
        <v>2363.02</v>
      </c>
      <c r="P730" s="12" t="n">
        <v>0.15</v>
      </c>
      <c r="Q730" s="12" t="n">
        <v>2008.57</v>
      </c>
      <c r="R730" s="12" t="n">
        <v>1194.83</v>
      </c>
      <c r="S730" s="12" t="n">
        <v>813.74</v>
      </c>
      <c r="T730" s="12" t="inlineStr">
        <is>
          <t>Paid</t>
        </is>
      </c>
      <c r="U730" s="12" t="inlineStr">
        <is>
          <t>Completed</t>
        </is>
      </c>
      <c r="V730">
        <f>IF(OR(P730="",P730&lt;0,P730&gt;0.5),0,P730)</f>
        <v/>
      </c>
      <c r="W730">
        <f>N730*O730*(1-V730)</f>
        <v/>
      </c>
      <c r="X730">
        <f>W730-R730</f>
        <v/>
      </c>
      <c r="Y730">
        <f>IF(W730=0,0,X730/W730)</f>
        <v/>
      </c>
      <c r="Z730">
        <f>C730-B730</f>
        <v/>
      </c>
      <c r="AA730">
        <f>TEXT(B730,"mmmm")</f>
        <v/>
      </c>
      <c r="AB730">
        <f>YEAR(B730)</f>
        <v/>
      </c>
      <c r="AC730">
        <f>IF(OR(P730&lt;0,P730&gt;0.5,C730&lt;B730),"INVALID","CLEAN")</f>
        <v/>
      </c>
    </row>
    <row r="731">
      <c r="A731" s="12" t="inlineStr">
        <is>
          <t>ORD-2025-10730</t>
        </is>
      </c>
      <c r="B731" s="12" t="inlineStr">
        <is>
          <t>17-05-2025</t>
        </is>
      </c>
      <c r="C731" s="12" t="inlineStr">
        <is>
          <t>25 May 2025</t>
        </is>
      </c>
      <c r="D731" s="12" t="inlineStr">
        <is>
          <t>CUST-8713</t>
        </is>
      </c>
      <c r="E731" s="12" t="inlineStr">
        <is>
          <t>Ananya Rao</t>
        </is>
      </c>
      <c r="F731" s="12" t="inlineStr">
        <is>
          <t>Corporate</t>
        </is>
      </c>
      <c r="G731" s="12" t="inlineStr">
        <is>
          <t>South</t>
        </is>
      </c>
      <c r="H731" s="12" t="inlineStr">
        <is>
          <t>Tamil Nadu</t>
        </is>
      </c>
      <c r="I731" s="12" t="inlineStr">
        <is>
          <t>Chennai</t>
        </is>
      </c>
      <c r="J731" s="12" t="inlineStr">
        <is>
          <t>Technology</t>
        </is>
      </c>
      <c r="K731" s="12" t="inlineStr">
        <is>
          <t>Machines</t>
        </is>
      </c>
      <c r="L731" s="12" t="inlineStr">
        <is>
          <t>Pro Machines 563</t>
        </is>
      </c>
      <c r="M731" s="12" t="inlineStr">
        <is>
          <t>Same Day</t>
        </is>
      </c>
      <c r="N731" s="12" t="n">
        <v>6</v>
      </c>
      <c r="O731" s="12" t="n">
        <v>1810.63</v>
      </c>
      <c r="P731" s="12" t="n">
        <v>0.15</v>
      </c>
      <c r="Q731" s="12" t="n">
        <v>9234.209999999999</v>
      </c>
      <c r="R731" s="12" t="n">
        <v>5516.52</v>
      </c>
      <c r="S731" s="12" t="n">
        <v>3717.69</v>
      </c>
      <c r="T731" s="12" t="inlineStr">
        <is>
          <t>Paid</t>
        </is>
      </c>
      <c r="U731" s="12" t="inlineStr">
        <is>
          <t>Completed</t>
        </is>
      </c>
      <c r="V731">
        <f>IF(OR(P731="",P731&lt;0,P731&gt;0.5),0,P731)</f>
        <v/>
      </c>
      <c r="W731">
        <f>N731*O731*(1-V731)</f>
        <v/>
      </c>
      <c r="X731">
        <f>W731-R731</f>
        <v/>
      </c>
      <c r="Y731">
        <f>IF(W731=0,0,X731/W731)</f>
        <v/>
      </c>
      <c r="Z731">
        <f>C731-B731</f>
        <v/>
      </c>
      <c r="AA731">
        <f>TEXT(B731,"mmmm")</f>
        <v/>
      </c>
      <c r="AB731">
        <f>YEAR(B731)</f>
        <v/>
      </c>
      <c r="AC731">
        <f>IF(OR(P731&lt;0,P731&gt;0.5,C731&lt;B731),"INVALID","CLEAN")</f>
        <v/>
      </c>
    </row>
    <row r="732">
      <c r="A732" s="12" t="inlineStr">
        <is>
          <t>ORD-2025-10731</t>
        </is>
      </c>
      <c r="B732" s="12" t="inlineStr">
        <is>
          <t>06/19/2025</t>
        </is>
      </c>
      <c r="C732" s="12" t="inlineStr">
        <is>
          <t>24-06-2025</t>
        </is>
      </c>
      <c r="D732" s="12" t="inlineStr">
        <is>
          <t>CUST-6765</t>
        </is>
      </c>
      <c r="E732" s="12" t="inlineStr">
        <is>
          <t>Arjun Bose</t>
        </is>
      </c>
      <c r="F732" s="12" t="inlineStr">
        <is>
          <t>Consumer</t>
        </is>
      </c>
      <c r="G732" s="12" t="inlineStr">
        <is>
          <t>East</t>
        </is>
      </c>
      <c r="H732" s="12" t="inlineStr">
        <is>
          <t>West Bengal</t>
        </is>
      </c>
      <c r="I732" s="12" t="inlineStr">
        <is>
          <t>Kolkata</t>
        </is>
      </c>
      <c r="J732" s="12" t="inlineStr">
        <is>
          <t>Office Supplies</t>
        </is>
      </c>
      <c r="K732" s="12" t="inlineStr">
        <is>
          <t>Art</t>
        </is>
      </c>
      <c r="L732" s="12" t="inlineStr">
        <is>
          <t>Elite Art 696</t>
        </is>
      </c>
      <c r="M732" s="12" t="inlineStr">
        <is>
          <t>Second Class</t>
        </is>
      </c>
      <c r="N732" s="12" t="n">
        <v>4</v>
      </c>
      <c r="O732" s="12" t="n">
        <v>782.01</v>
      </c>
      <c r="P732" s="12" t="n">
        <v>0.15</v>
      </c>
      <c r="Q732" s="12" t="n">
        <v>2658.83</v>
      </c>
      <c r="R732" s="12" t="n">
        <v>2226.97</v>
      </c>
      <c r="S732" s="12" t="n">
        <v>431.86</v>
      </c>
      <c r="T732" s="12" t="inlineStr">
        <is>
          <t>Refunded</t>
        </is>
      </c>
      <c r="U732" s="12" t="inlineStr">
        <is>
          <t>Returned</t>
        </is>
      </c>
      <c r="V732">
        <f>IF(OR(P732="",P732&lt;0,P732&gt;0.5),0,P732)</f>
        <v/>
      </c>
      <c r="W732">
        <f>N732*O732*(1-V732)</f>
        <v/>
      </c>
      <c r="X732">
        <f>W732-R732</f>
        <v/>
      </c>
      <c r="Y732">
        <f>IF(W732=0,0,X732/W732)</f>
        <v/>
      </c>
      <c r="Z732">
        <f>C732-B732</f>
        <v/>
      </c>
      <c r="AA732">
        <f>TEXT(B732,"mmmm")</f>
        <v/>
      </c>
      <c r="AB732">
        <f>YEAR(B732)</f>
        <v/>
      </c>
      <c r="AC732">
        <f>IF(OR(P732&lt;0,P732&gt;0.5,C732&lt;B732),"INVALID","CLEAN")</f>
        <v/>
      </c>
    </row>
    <row r="733">
      <c r="A733" s="12" t="inlineStr">
        <is>
          <t>ORD-2024-10732</t>
        </is>
      </c>
      <c r="B733" s="12" t="inlineStr">
        <is>
          <t>2024-03-17</t>
        </is>
      </c>
      <c r="C733" s="12" t="inlineStr">
        <is>
          <t>19 Mar 2024</t>
        </is>
      </c>
      <c r="D733" s="12" t="inlineStr">
        <is>
          <t>CUST-6849</t>
        </is>
      </c>
      <c r="E733" s="12" t="inlineStr">
        <is>
          <t>Ananya Rao</t>
        </is>
      </c>
      <c r="F733" s="12" t="inlineStr">
        <is>
          <t>Corporate</t>
        </is>
      </c>
      <c r="G733" s="12" t="inlineStr">
        <is>
          <t>East</t>
        </is>
      </c>
      <c r="H733" s="12" t="inlineStr">
        <is>
          <t>Odisha</t>
        </is>
      </c>
      <c r="I733" s="12" t="inlineStr">
        <is>
          <t>Bhubaneswar</t>
        </is>
      </c>
      <c r="J733" s="12" t="inlineStr">
        <is>
          <t>Office Supplies</t>
        </is>
      </c>
      <c r="K733" s="12" t="inlineStr">
        <is>
          <t>Binders</t>
        </is>
      </c>
      <c r="L733" s="12" t="inlineStr">
        <is>
          <t>Eco Binders 178</t>
        </is>
      </c>
      <c r="M733" s="12" t="inlineStr">
        <is>
          <t>First Class</t>
        </is>
      </c>
      <c r="N733" s="12" t="n">
        <v>4</v>
      </c>
      <c r="O733" s="12" t="n">
        <v>4376.68</v>
      </c>
      <c r="P733" s="12" t="n">
        <v>0.1</v>
      </c>
      <c r="Q733" s="12" t="n">
        <v>15756.05</v>
      </c>
      <c r="R733" s="12" t="n">
        <v>10245.44</v>
      </c>
      <c r="S733" s="12" t="n">
        <v>5510.61</v>
      </c>
      <c r="T733" s="12" t="inlineStr">
        <is>
          <t>Paid</t>
        </is>
      </c>
      <c r="U733" s="12" t="inlineStr">
        <is>
          <t>Completed</t>
        </is>
      </c>
      <c r="V733">
        <f>IF(OR(P733="",P733&lt;0,P733&gt;0.5),0,P733)</f>
        <v/>
      </c>
      <c r="W733">
        <f>N733*O733*(1-V733)</f>
        <v/>
      </c>
      <c r="X733">
        <f>W733-R733</f>
        <v/>
      </c>
      <c r="Y733">
        <f>IF(W733=0,0,X733/W733)</f>
        <v/>
      </c>
      <c r="Z733">
        <f>C733-B733</f>
        <v/>
      </c>
      <c r="AA733">
        <f>TEXT(B733,"mmmm")</f>
        <v/>
      </c>
      <c r="AB733">
        <f>YEAR(B733)</f>
        <v/>
      </c>
      <c r="AC733">
        <f>IF(OR(P733&lt;0,P733&gt;0.5,C733&lt;B733),"INVALID","CLEAN")</f>
        <v/>
      </c>
    </row>
    <row r="734">
      <c r="A734" s="12" t="inlineStr">
        <is>
          <t>ORD-2024-10733</t>
        </is>
      </c>
      <c r="B734" s="12" t="inlineStr">
        <is>
          <t>2024-11-28</t>
        </is>
      </c>
      <c r="C734" s="12" t="inlineStr">
        <is>
          <t>06 Dec 2024</t>
        </is>
      </c>
      <c r="D734" s="12" t="inlineStr">
        <is>
          <t>CUST-4973</t>
        </is>
      </c>
      <c r="E734" s="12" t="inlineStr">
        <is>
          <t>Arjun Bose</t>
        </is>
      </c>
      <c r="F734" s="12" t="inlineStr">
        <is>
          <t>Small Business</t>
        </is>
      </c>
      <c r="G734" s="12" t="inlineStr">
        <is>
          <t>North</t>
        </is>
      </c>
      <c r="H734" s="12" t="inlineStr">
        <is>
          <t>Punjab</t>
        </is>
      </c>
      <c r="I734" s="12" t="inlineStr">
        <is>
          <t>Ludhiana</t>
        </is>
      </c>
      <c r="J734" s="12" t="inlineStr">
        <is>
          <t>Technology</t>
        </is>
      </c>
      <c r="K734" s="12" t="inlineStr">
        <is>
          <t>Phones</t>
        </is>
      </c>
      <c r="L734" s="12" t="inlineStr">
        <is>
          <t>Max Phones 678</t>
        </is>
      </c>
      <c r="M734" s="12" t="inlineStr">
        <is>
          <t>Standard Class</t>
        </is>
      </c>
      <c r="N734" s="12" t="n">
        <v>6</v>
      </c>
      <c r="O734" s="12" t="n">
        <v>2464.63</v>
      </c>
      <c r="P734" s="12" t="n">
        <v>0</v>
      </c>
      <c r="Q734" s="12" t="n">
        <v>14787.78</v>
      </c>
      <c r="R734" s="12" t="n">
        <v>8596.65</v>
      </c>
      <c r="S734" s="12" t="n">
        <v>6191.13</v>
      </c>
      <c r="T734" s="12" t="inlineStr">
        <is>
          <t>Paid</t>
        </is>
      </c>
      <c r="U734" s="12" t="inlineStr">
        <is>
          <t>Completed</t>
        </is>
      </c>
      <c r="V734">
        <f>IF(OR(P734="",P734&lt;0,P734&gt;0.5),0,P734)</f>
        <v/>
      </c>
      <c r="W734">
        <f>N734*O734*(1-V734)</f>
        <v/>
      </c>
      <c r="X734">
        <f>W734-R734</f>
        <v/>
      </c>
      <c r="Y734">
        <f>IF(W734=0,0,X734/W734)</f>
        <v/>
      </c>
      <c r="Z734">
        <f>C734-B734</f>
        <v/>
      </c>
      <c r="AA734">
        <f>TEXT(B734,"mmmm")</f>
        <v/>
      </c>
      <c r="AB734">
        <f>YEAR(B734)</f>
        <v/>
      </c>
      <c r="AC734">
        <f>IF(OR(P734&lt;0,P734&gt;0.5,C734&lt;B734),"INVALID","CLEAN")</f>
        <v/>
      </c>
    </row>
    <row r="735">
      <c r="A735" s="12" t="inlineStr">
        <is>
          <t>ORD-2024-10734</t>
        </is>
      </c>
      <c r="B735" s="12" t="inlineStr">
        <is>
          <t>21-06-2024</t>
        </is>
      </c>
      <c r="C735" s="12" t="inlineStr">
        <is>
          <t>28 Jun 2024</t>
        </is>
      </c>
      <c r="D735" s="12" t="inlineStr">
        <is>
          <t>CUST-2394</t>
        </is>
      </c>
      <c r="E735" s="12" t="inlineStr">
        <is>
          <t>Aarav Sharma</t>
        </is>
      </c>
      <c r="F735" s="12" t="inlineStr">
        <is>
          <t>Home Office</t>
        </is>
      </c>
      <c r="G735" s="12" t="inlineStr">
        <is>
          <t>North</t>
        </is>
      </c>
      <c r="H735" s="12" t="inlineStr">
        <is>
          <t>Rajasthan</t>
        </is>
      </c>
      <c r="I735" s="12" t="inlineStr">
        <is>
          <t>Jaipur</t>
        </is>
      </c>
      <c r="J735" s="12" t="inlineStr">
        <is>
          <t>Furniture</t>
        </is>
      </c>
      <c r="K735" s="12" t="inlineStr">
        <is>
          <t>Furnishings</t>
        </is>
      </c>
      <c r="L735" s="12" t="inlineStr">
        <is>
          <t>Classic Furnishings 582</t>
        </is>
      </c>
      <c r="M735" s="12" t="inlineStr">
        <is>
          <t>First Class</t>
        </is>
      </c>
      <c r="N735" s="12" t="n">
        <v>9</v>
      </c>
      <c r="O735" s="12" t="n">
        <v>2797.96</v>
      </c>
      <c r="P735" s="12" t="n">
        <v>0</v>
      </c>
      <c r="Q735" s="12" t="n">
        <v>25181.64</v>
      </c>
      <c r="R735" s="12" t="n">
        <v>15337.9</v>
      </c>
      <c r="S735" s="12" t="n">
        <v>9843.74</v>
      </c>
      <c r="T735" s="12" t="inlineStr">
        <is>
          <t>Paid</t>
        </is>
      </c>
      <c r="U735" s="12" t="inlineStr">
        <is>
          <t>Completed</t>
        </is>
      </c>
      <c r="V735">
        <f>IF(OR(P735="",P735&lt;0,P735&gt;0.5),0,P735)</f>
        <v/>
      </c>
      <c r="W735">
        <f>N735*O735*(1-V735)</f>
        <v/>
      </c>
      <c r="X735">
        <f>W735-R735</f>
        <v/>
      </c>
      <c r="Y735">
        <f>IF(W735=0,0,X735/W735)</f>
        <v/>
      </c>
      <c r="Z735">
        <f>C735-B735</f>
        <v/>
      </c>
      <c r="AA735">
        <f>TEXT(B735,"mmmm")</f>
        <v/>
      </c>
      <c r="AB735">
        <f>YEAR(B735)</f>
        <v/>
      </c>
      <c r="AC735">
        <f>IF(OR(P735&lt;0,P735&gt;0.5,C735&lt;B735),"INVALID","CLEAN")</f>
        <v/>
      </c>
    </row>
    <row r="736">
      <c r="A736" s="12" t="inlineStr">
        <is>
          <t>ORD-2024-10735</t>
        </is>
      </c>
      <c r="B736" s="12" t="inlineStr">
        <is>
          <t>24-08-2024</t>
        </is>
      </c>
      <c r="C736" s="12" t="inlineStr">
        <is>
          <t>24-08-2024</t>
        </is>
      </c>
      <c r="D736" s="12" t="inlineStr">
        <is>
          <t>CUST-5406</t>
        </is>
      </c>
      <c r="E736" s="12" t="inlineStr">
        <is>
          <t>Ananya Rao</t>
        </is>
      </c>
      <c r="F736" s="12" t="inlineStr">
        <is>
          <t>Small Business</t>
        </is>
      </c>
      <c r="G736" s="12" t="inlineStr">
        <is>
          <t>North</t>
        </is>
      </c>
      <c r="H736" s="12" t="inlineStr">
        <is>
          <t>Rajasthan</t>
        </is>
      </c>
      <c r="I736" s="12" t="inlineStr">
        <is>
          <t>Jaipur</t>
        </is>
      </c>
      <c r="J736" s="12" t="inlineStr">
        <is>
          <t>Technology</t>
        </is>
      </c>
      <c r="K736" s="12" t="inlineStr">
        <is>
          <t>Accessories</t>
        </is>
      </c>
      <c r="L736" s="12" t="inlineStr">
        <is>
          <t>Classic Accessories 981</t>
        </is>
      </c>
      <c r="M736" s="12" t="inlineStr">
        <is>
          <t>First Class</t>
        </is>
      </c>
      <c r="N736" s="12" t="n">
        <v>4</v>
      </c>
      <c r="O736" s="12" t="n">
        <v>2761.86</v>
      </c>
      <c r="P736" s="12" t="n">
        <v>0.2</v>
      </c>
      <c r="Q736" s="12" t="n">
        <v>8837.950000000001</v>
      </c>
      <c r="R736" s="12" t="n">
        <v>6157.27</v>
      </c>
      <c r="S736" s="12" t="n">
        <v>2680.68</v>
      </c>
      <c r="T736" s="12" t="inlineStr">
        <is>
          <t>Paid</t>
        </is>
      </c>
      <c r="U736" s="12" t="inlineStr">
        <is>
          <t>Completed</t>
        </is>
      </c>
      <c r="V736">
        <f>IF(OR(P736="",P736&lt;0,P736&gt;0.5),0,P736)</f>
        <v/>
      </c>
      <c r="W736">
        <f>N736*O736*(1-V736)</f>
        <v/>
      </c>
      <c r="X736">
        <f>W736-R736</f>
        <v/>
      </c>
      <c r="Y736">
        <f>IF(W736=0,0,X736/W736)</f>
        <v/>
      </c>
      <c r="Z736">
        <f>C736-B736</f>
        <v/>
      </c>
      <c r="AA736">
        <f>TEXT(B736,"mmmm")</f>
        <v/>
      </c>
      <c r="AB736">
        <f>YEAR(B736)</f>
        <v/>
      </c>
      <c r="AC736">
        <f>IF(OR(P736&lt;0,P736&gt;0.5,C736&lt;B736),"INVALID","CLEAN")</f>
        <v/>
      </c>
    </row>
    <row r="737">
      <c r="A737" s="12" t="inlineStr">
        <is>
          <t>ORD-2024-10736</t>
        </is>
      </c>
      <c r="B737" s="12" t="inlineStr">
        <is>
          <t>2024-08-11</t>
        </is>
      </c>
      <c r="C737" s="12" t="inlineStr">
        <is>
          <t>19-08-2024</t>
        </is>
      </c>
      <c r="D737" s="12" t="inlineStr">
        <is>
          <t>CUST-1963</t>
        </is>
      </c>
      <c r="E737" s="12" t="inlineStr">
        <is>
          <t>Mira Das</t>
        </is>
      </c>
      <c r="F737" s="12" t="inlineStr">
        <is>
          <t>Consumer</t>
        </is>
      </c>
      <c r="G737" s="12" t="inlineStr">
        <is>
          <t>West</t>
        </is>
      </c>
      <c r="H737" s="12" t="inlineStr">
        <is>
          <t>Maharashtra</t>
        </is>
      </c>
      <c r="I737" s="12" t="inlineStr">
        <is>
          <t>Mumbai</t>
        </is>
      </c>
      <c r="J737" s="12" t="inlineStr">
        <is>
          <t>Furniture</t>
        </is>
      </c>
      <c r="K737" s="12" t="inlineStr">
        <is>
          <t>Tables</t>
        </is>
      </c>
      <c r="L737" s="12" t="inlineStr">
        <is>
          <t>Classic Tables 534</t>
        </is>
      </c>
      <c r="M737" s="12" t="inlineStr">
        <is>
          <t>Standard Class</t>
        </is>
      </c>
      <c r="N737" s="12" t="n">
        <v>6</v>
      </c>
      <c r="O737" s="12" t="n">
        <v>1515.79</v>
      </c>
      <c r="P737" s="12" t="n">
        <v>0.2</v>
      </c>
      <c r="Q737" s="12" t="n">
        <v>7275.79</v>
      </c>
      <c r="R737" s="12" t="n">
        <v>6152.87</v>
      </c>
      <c r="S737" s="12" t="n">
        <v>1122.92</v>
      </c>
      <c r="T737" s="12" t="inlineStr">
        <is>
          <t>Paid</t>
        </is>
      </c>
      <c r="U737" s="12" t="inlineStr">
        <is>
          <t>Completed</t>
        </is>
      </c>
      <c r="V737">
        <f>IF(OR(P737="",P737&lt;0,P737&gt;0.5),0,P737)</f>
        <v/>
      </c>
      <c r="W737">
        <f>N737*O737*(1-V737)</f>
        <v/>
      </c>
      <c r="X737">
        <f>W737-R737</f>
        <v/>
      </c>
      <c r="Y737">
        <f>IF(W737=0,0,X737/W737)</f>
        <v/>
      </c>
      <c r="Z737">
        <f>C737-B737</f>
        <v/>
      </c>
      <c r="AA737">
        <f>TEXT(B737,"mmmm")</f>
        <v/>
      </c>
      <c r="AB737">
        <f>YEAR(B737)</f>
        <v/>
      </c>
      <c r="AC737">
        <f>IF(OR(P737&lt;0,P737&gt;0.5,C737&lt;B737),"INVALID","CLEAN")</f>
        <v/>
      </c>
    </row>
    <row r="738">
      <c r="A738" s="12" t="inlineStr">
        <is>
          <t>ORD-2024-10737</t>
        </is>
      </c>
      <c r="B738" s="12" t="inlineStr">
        <is>
          <t>06 Dec 2024</t>
        </is>
      </c>
      <c r="C738" s="12" t="inlineStr">
        <is>
          <t>09-12-2024</t>
        </is>
      </c>
      <c r="D738" s="12" t="inlineStr">
        <is>
          <t>CUST-9017</t>
        </is>
      </c>
      <c r="E738" s="12" t="inlineStr">
        <is>
          <t>Aditi Sen</t>
        </is>
      </c>
      <c r="F738" s="12" t="inlineStr">
        <is>
          <t>Consumer</t>
        </is>
      </c>
      <c r="G738" s="12" t="inlineStr">
        <is>
          <t>West</t>
        </is>
      </c>
      <c r="H738" s="12" t="inlineStr">
        <is>
          <t>Maharashtra</t>
        </is>
      </c>
      <c r="I738" s="12" t="inlineStr">
        <is>
          <t>Mumbai</t>
        </is>
      </c>
      <c r="J738" s="12" t="inlineStr">
        <is>
          <t>Furniture</t>
        </is>
      </c>
      <c r="K738" s="12" t="inlineStr">
        <is>
          <t>Chairs</t>
        </is>
      </c>
      <c r="L738" s="12" t="inlineStr">
        <is>
          <t>Pro Chairs 383</t>
        </is>
      </c>
      <c r="M738" s="12" t="inlineStr">
        <is>
          <t>Second Class</t>
        </is>
      </c>
      <c r="N738" s="12" t="n">
        <v>9</v>
      </c>
      <c r="O738" s="12" t="n">
        <v>290.75</v>
      </c>
      <c r="P738" s="12" t="n">
        <v>0.1</v>
      </c>
      <c r="Q738" s="12" t="n">
        <v>2355.08</v>
      </c>
      <c r="R738" s="12" t="n">
        <v>1350.03</v>
      </c>
      <c r="S738" s="12" t="n">
        <v>1005.05</v>
      </c>
      <c r="T738" s="12" t="inlineStr">
        <is>
          <t>Paid</t>
        </is>
      </c>
      <c r="U738" s="12" t="inlineStr">
        <is>
          <t>Completed</t>
        </is>
      </c>
      <c r="V738">
        <f>IF(OR(P738="",P738&lt;0,P738&gt;0.5),0,P738)</f>
        <v/>
      </c>
      <c r="W738">
        <f>N738*O738*(1-V738)</f>
        <v/>
      </c>
      <c r="X738">
        <f>W738-R738</f>
        <v/>
      </c>
      <c r="Y738">
        <f>IF(W738=0,0,X738/W738)</f>
        <v/>
      </c>
      <c r="Z738">
        <f>C738-B738</f>
        <v/>
      </c>
      <c r="AA738">
        <f>TEXT(B738,"mmmm")</f>
        <v/>
      </c>
      <c r="AB738">
        <f>YEAR(B738)</f>
        <v/>
      </c>
      <c r="AC738">
        <f>IF(OR(P738&lt;0,P738&gt;0.5,C738&lt;B738),"INVALID","CLEAN")</f>
        <v/>
      </c>
    </row>
    <row r="739">
      <c r="A739" s="12" t="inlineStr">
        <is>
          <t>ORD-2024-10738</t>
        </is>
      </c>
      <c r="B739" s="12" t="inlineStr">
        <is>
          <t>2024-02-10</t>
        </is>
      </c>
      <c r="C739" s="12" t="inlineStr">
        <is>
          <t>10 Feb 2024</t>
        </is>
      </c>
      <c r="D739" s="12" t="inlineStr">
        <is>
          <t>CUST-7967</t>
        </is>
      </c>
      <c r="E739" s="12" t="inlineStr">
        <is>
          <t>Isha Nair</t>
        </is>
      </c>
      <c r="F739" s="12" t="inlineStr">
        <is>
          <t xml:space="preserve">Home Office </t>
        </is>
      </c>
      <c r="G739" s="12" t="inlineStr">
        <is>
          <t>West</t>
        </is>
      </c>
      <c r="H739" s="12" t="inlineStr">
        <is>
          <t>Maharashtra</t>
        </is>
      </c>
      <c r="I739" s="12" t="inlineStr">
        <is>
          <t>Mumbai</t>
        </is>
      </c>
      <c r="J739" s="12" t="inlineStr">
        <is>
          <t>Furniture</t>
        </is>
      </c>
      <c r="K739" s="12" t="inlineStr">
        <is>
          <t>Chairs</t>
        </is>
      </c>
      <c r="L739" s="12" t="inlineStr">
        <is>
          <t>Max Chairs 845</t>
        </is>
      </c>
      <c r="M739" s="12" t="inlineStr">
        <is>
          <t>Same Day</t>
        </is>
      </c>
      <c r="N739" s="12" t="n">
        <v>6</v>
      </c>
      <c r="O739" s="12" t="n">
        <v>601.52</v>
      </c>
      <c r="P739" s="12" t="n">
        <v>0</v>
      </c>
      <c r="Q739" s="12" t="n">
        <v>3609.12</v>
      </c>
      <c r="R739" s="12" t="n">
        <v>2645.5</v>
      </c>
      <c r="S739" s="12" t="n">
        <v>963.62</v>
      </c>
      <c r="T739" s="12" t="inlineStr">
        <is>
          <t>Paid</t>
        </is>
      </c>
      <c r="U739" s="12" t="inlineStr">
        <is>
          <t>Completed</t>
        </is>
      </c>
      <c r="V739">
        <f>IF(OR(P739="",P739&lt;0,P739&gt;0.5),0,P739)</f>
        <v/>
      </c>
      <c r="W739">
        <f>N739*O739*(1-V739)</f>
        <v/>
      </c>
      <c r="X739">
        <f>W739-R739</f>
        <v/>
      </c>
      <c r="Y739">
        <f>IF(W739=0,0,X739/W739)</f>
        <v/>
      </c>
      <c r="Z739">
        <f>C739-B739</f>
        <v/>
      </c>
      <c r="AA739">
        <f>TEXT(B739,"mmmm")</f>
        <v/>
      </c>
      <c r="AB739">
        <f>YEAR(B739)</f>
        <v/>
      </c>
      <c r="AC739">
        <f>IF(OR(P739&lt;0,P739&gt;0.5,C739&lt;B739),"INVALID","CLEAN")</f>
        <v/>
      </c>
    </row>
    <row r="740">
      <c r="A740" s="12" t="inlineStr">
        <is>
          <t>ORD-2025-10739</t>
        </is>
      </c>
      <c r="B740" s="12" t="inlineStr">
        <is>
          <t>20 Feb 2025</t>
        </is>
      </c>
      <c r="C740" s="12" t="inlineStr">
        <is>
          <t>02/22/2025</t>
        </is>
      </c>
      <c r="D740" s="12" t="inlineStr">
        <is>
          <t>CUST-5334</t>
        </is>
      </c>
      <c r="E740" s="12" t="inlineStr">
        <is>
          <t>Priya Menon</t>
        </is>
      </c>
      <c r="F740" s="12" t="inlineStr">
        <is>
          <t>Corporate</t>
        </is>
      </c>
      <c r="G740" s="12" t="inlineStr">
        <is>
          <t>South</t>
        </is>
      </c>
      <c r="H740" s="12" t="inlineStr">
        <is>
          <t>Kerala</t>
        </is>
      </c>
      <c r="I740" s="12" t="inlineStr">
        <is>
          <t>Kochi</t>
        </is>
      </c>
      <c r="J740" s="12" t="inlineStr">
        <is>
          <t>Office Supplies</t>
        </is>
      </c>
      <c r="K740" s="12" t="inlineStr">
        <is>
          <t>Paper</t>
        </is>
      </c>
      <c r="L740" s="12" t="inlineStr">
        <is>
          <t>Prime Paper 307</t>
        </is>
      </c>
      <c r="M740" s="12" t="inlineStr">
        <is>
          <t>First Class</t>
        </is>
      </c>
      <c r="N740" s="12" t="n">
        <v>1</v>
      </c>
      <c r="O740" s="12" t="n">
        <v>2188.19</v>
      </c>
      <c r="P740" s="12" t="n">
        <v>0</v>
      </c>
      <c r="Q740" s="12" t="n">
        <v>2188.19</v>
      </c>
      <c r="R740" s="12" t="n">
        <v>1298.84</v>
      </c>
      <c r="S740" s="12" t="n">
        <v>889.35</v>
      </c>
      <c r="T740" s="12" t="inlineStr">
        <is>
          <t>Paid</t>
        </is>
      </c>
      <c r="U740" s="12" t="inlineStr">
        <is>
          <t>Completed</t>
        </is>
      </c>
      <c r="V740">
        <f>IF(OR(P740="",P740&lt;0,P740&gt;0.5),0,P740)</f>
        <v/>
      </c>
      <c r="W740">
        <f>N740*O740*(1-V740)</f>
        <v/>
      </c>
      <c r="X740">
        <f>W740-R740</f>
        <v/>
      </c>
      <c r="Y740">
        <f>IF(W740=0,0,X740/W740)</f>
        <v/>
      </c>
      <c r="Z740">
        <f>C740-B740</f>
        <v/>
      </c>
      <c r="AA740">
        <f>TEXT(B740,"mmmm")</f>
        <v/>
      </c>
      <c r="AB740">
        <f>YEAR(B740)</f>
        <v/>
      </c>
      <c r="AC740">
        <f>IF(OR(P740&lt;0,P740&gt;0.5,C740&lt;B740),"INVALID","CLEAN")</f>
        <v/>
      </c>
    </row>
    <row r="741">
      <c r="A741" s="12" t="inlineStr">
        <is>
          <t>ORD-2024-10740</t>
        </is>
      </c>
      <c r="B741" s="12" t="inlineStr">
        <is>
          <t>03 Dec 2024</t>
        </is>
      </c>
      <c r="C741" s="12" t="inlineStr">
        <is>
          <t>12/10/2024</t>
        </is>
      </c>
      <c r="D741" s="12" t="inlineStr">
        <is>
          <t>CUST-5846</t>
        </is>
      </c>
      <c r="E741" s="12" t="inlineStr">
        <is>
          <t>Neha Gupta</t>
        </is>
      </c>
      <c r="F741" s="12" t="inlineStr">
        <is>
          <t>Corporate</t>
        </is>
      </c>
      <c r="G741" s="12" t="inlineStr">
        <is>
          <t>North</t>
        </is>
      </c>
      <c r="H741" s="12" t="inlineStr">
        <is>
          <t>Rajasthan</t>
        </is>
      </c>
      <c r="I741" s="12" t="inlineStr">
        <is>
          <t>Jaipur</t>
        </is>
      </c>
      <c r="J741" s="12" t="inlineStr">
        <is>
          <t>Technology</t>
        </is>
      </c>
      <c r="K741" s="12" t="inlineStr">
        <is>
          <t>Phones</t>
        </is>
      </c>
      <c r="L741" s="12" t="inlineStr">
        <is>
          <t>Basic Phones 859</t>
        </is>
      </c>
      <c r="M741" s="12" t="inlineStr">
        <is>
          <t>Standard Class</t>
        </is>
      </c>
      <c r="N741" s="12" t="n">
        <v>5</v>
      </c>
      <c r="O741" s="12" t="n">
        <v>2393.86</v>
      </c>
      <c r="P741" s="12" t="n">
        <v>0.05</v>
      </c>
      <c r="Q741" s="12" t="n">
        <v>11370.84</v>
      </c>
      <c r="R741" s="12" t="n">
        <v>7469.58</v>
      </c>
      <c r="S741" s="12" t="n">
        <v>3901.26</v>
      </c>
      <c r="T741" s="12" t="inlineStr">
        <is>
          <t>Paid</t>
        </is>
      </c>
      <c r="U741" s="12" t="inlineStr">
        <is>
          <t>Completed</t>
        </is>
      </c>
      <c r="V741">
        <f>IF(OR(P741="",P741&lt;0,P741&gt;0.5),0,P741)</f>
        <v/>
      </c>
      <c r="W741">
        <f>N741*O741*(1-V741)</f>
        <v/>
      </c>
      <c r="X741">
        <f>W741-R741</f>
        <v/>
      </c>
      <c r="Y741">
        <f>IF(W741=0,0,X741/W741)</f>
        <v/>
      </c>
      <c r="Z741">
        <f>C741-B741</f>
        <v/>
      </c>
      <c r="AA741">
        <f>TEXT(B741,"mmmm")</f>
        <v/>
      </c>
      <c r="AB741">
        <f>YEAR(B741)</f>
        <v/>
      </c>
      <c r="AC741">
        <f>IF(OR(P741&lt;0,P741&gt;0.5,C741&lt;B741),"INVALID","CLEAN")</f>
        <v/>
      </c>
    </row>
    <row r="742">
      <c r="A742" s="12" t="inlineStr">
        <is>
          <t>ORD-2024-10741</t>
        </is>
      </c>
      <c r="B742" s="12" t="inlineStr">
        <is>
          <t>02 Apr 2024</t>
        </is>
      </c>
      <c r="C742" s="12" t="inlineStr">
        <is>
          <t>04/02/2024</t>
        </is>
      </c>
      <c r="D742" s="12" t="inlineStr">
        <is>
          <t>CUST-7932</t>
        </is>
      </c>
      <c r="E742" s="12" t="inlineStr">
        <is>
          <t>Sneha Kapoor</t>
        </is>
      </c>
      <c r="F742" s="12" t="inlineStr">
        <is>
          <t>Small Business</t>
        </is>
      </c>
      <c r="G742" s="12" t="inlineStr">
        <is>
          <t>West</t>
        </is>
      </c>
      <c r="H742" s="12" t="inlineStr">
        <is>
          <t>Maharashtra</t>
        </is>
      </c>
      <c r="I742" s="12" t="inlineStr">
        <is>
          <t>Mumbai</t>
        </is>
      </c>
      <c r="J742" s="12" t="inlineStr">
        <is>
          <t>Furniture</t>
        </is>
      </c>
      <c r="K742" s="12" t="inlineStr">
        <is>
          <t>Chairs</t>
        </is>
      </c>
      <c r="L742" s="12" t="inlineStr">
        <is>
          <t>Eco Chairs 883</t>
        </is>
      </c>
      <c r="M742" s="12" t="inlineStr">
        <is>
          <t>First Class</t>
        </is>
      </c>
      <c r="N742" s="12" t="n">
        <v>4</v>
      </c>
      <c r="O742" s="12" t="n">
        <v>2583</v>
      </c>
      <c r="P742" s="12" t="n">
        <v>0.1</v>
      </c>
      <c r="Q742" s="12" t="n">
        <v>9298.799999999999</v>
      </c>
      <c r="R742" s="12" t="n">
        <v>6548.5</v>
      </c>
      <c r="S742" s="12" t="n">
        <v>2750.3</v>
      </c>
      <c r="T742" s="12" t="inlineStr">
        <is>
          <t>Paid</t>
        </is>
      </c>
      <c r="U742" s="12" t="inlineStr">
        <is>
          <t>Completed</t>
        </is>
      </c>
      <c r="V742">
        <f>IF(OR(P742="",P742&lt;0,P742&gt;0.5),0,P742)</f>
        <v/>
      </c>
      <c r="W742">
        <f>N742*O742*(1-V742)</f>
        <v/>
      </c>
      <c r="X742">
        <f>W742-R742</f>
        <v/>
      </c>
      <c r="Y742">
        <f>IF(W742=0,0,X742/W742)</f>
        <v/>
      </c>
      <c r="Z742">
        <f>C742-B742</f>
        <v/>
      </c>
      <c r="AA742">
        <f>TEXT(B742,"mmmm")</f>
        <v/>
      </c>
      <c r="AB742">
        <f>YEAR(B742)</f>
        <v/>
      </c>
      <c r="AC742">
        <f>IF(OR(P742&lt;0,P742&gt;0.5,C742&lt;B742),"INVALID","CLEAN")</f>
        <v/>
      </c>
    </row>
    <row r="743">
      <c r="A743" s="12" t="inlineStr">
        <is>
          <t>ORD-2025-10742</t>
        </is>
      </c>
      <c r="B743" s="12" t="inlineStr">
        <is>
          <t>04/23/2025</t>
        </is>
      </c>
      <c r="C743" s="12" t="inlineStr">
        <is>
          <t>2025-04-25</t>
        </is>
      </c>
      <c r="D743" s="12" t="inlineStr">
        <is>
          <t>CUST-3285</t>
        </is>
      </c>
      <c r="E743" s="12" t="inlineStr">
        <is>
          <t>Isha Nair</t>
        </is>
      </c>
      <c r="F743" s="12" t="inlineStr">
        <is>
          <t>Home Office</t>
        </is>
      </c>
      <c r="G743" s="12" t="inlineStr">
        <is>
          <t>South</t>
        </is>
      </c>
      <c r="H743" s="12" t="inlineStr">
        <is>
          <t>Tamil Nadu</t>
        </is>
      </c>
      <c r="I743" s="12" t="inlineStr">
        <is>
          <t>Chennai</t>
        </is>
      </c>
      <c r="J743" s="12" t="inlineStr">
        <is>
          <t>Furniture</t>
        </is>
      </c>
      <c r="K743" s="12" t="inlineStr">
        <is>
          <t>Chairs</t>
        </is>
      </c>
      <c r="L743" s="12" t="inlineStr">
        <is>
          <t>Max Chairs 706</t>
        </is>
      </c>
      <c r="M743" s="12" t="inlineStr">
        <is>
          <t>Second Class</t>
        </is>
      </c>
      <c r="N743" s="12" t="n">
        <v>3</v>
      </c>
      <c r="O743" s="12" t="n">
        <v>2951.12</v>
      </c>
      <c r="P743" s="12" t="n"/>
      <c r="Q743" s="12" t="n">
        <v>7082.69</v>
      </c>
      <c r="R743" s="12" t="n">
        <v>5596.34</v>
      </c>
      <c r="S743" s="12" t="n">
        <v>1486.35</v>
      </c>
      <c r="T743" s="12" t="inlineStr">
        <is>
          <t>Paid</t>
        </is>
      </c>
      <c r="U743" s="12" t="inlineStr">
        <is>
          <t>Cancelled</t>
        </is>
      </c>
      <c r="V743">
        <f>IF(OR(P743="",P743&lt;0,P743&gt;0.5),0,P743)</f>
        <v/>
      </c>
      <c r="W743">
        <f>N743*O743*(1-V743)</f>
        <v/>
      </c>
      <c r="X743">
        <f>W743-R743</f>
        <v/>
      </c>
      <c r="Y743">
        <f>IF(W743=0,0,X743/W743)</f>
        <v/>
      </c>
      <c r="Z743">
        <f>C743-B743</f>
        <v/>
      </c>
      <c r="AA743">
        <f>TEXT(B743,"mmmm")</f>
        <v/>
      </c>
      <c r="AB743">
        <f>YEAR(B743)</f>
        <v/>
      </c>
      <c r="AC743">
        <f>IF(OR(P743&lt;0,P743&gt;0.5,C743&lt;B743),"INVALID","CLEAN")</f>
        <v/>
      </c>
    </row>
    <row r="744">
      <c r="A744" s="12" t="inlineStr">
        <is>
          <t>ORD-2024-10743</t>
        </is>
      </c>
      <c r="B744" s="12" t="inlineStr">
        <is>
          <t>10/15/2024</t>
        </is>
      </c>
      <c r="C744" s="12" t="inlineStr">
        <is>
          <t>22 Oct 2024</t>
        </is>
      </c>
      <c r="D744" s="12" t="inlineStr">
        <is>
          <t>CUST-6368</t>
        </is>
      </c>
      <c r="E744" s="12" t="inlineStr">
        <is>
          <t>Karan Malhotra</t>
        </is>
      </c>
      <c r="F744" s="12" t="inlineStr">
        <is>
          <t>Corporate</t>
        </is>
      </c>
      <c r="G744" s="12" t="inlineStr">
        <is>
          <t>east</t>
        </is>
      </c>
      <c r="H744" s="12" t="inlineStr">
        <is>
          <t>Odisha</t>
        </is>
      </c>
      <c r="I744" s="12" t="inlineStr">
        <is>
          <t>Bhubaneswar</t>
        </is>
      </c>
      <c r="J744" s="12" t="inlineStr">
        <is>
          <t>Office Supplies</t>
        </is>
      </c>
      <c r="K744" s="12" t="inlineStr">
        <is>
          <t>Paper</t>
        </is>
      </c>
      <c r="L744" s="12" t="inlineStr">
        <is>
          <t>Prime Paper 768</t>
        </is>
      </c>
      <c r="M744" s="12" t="inlineStr">
        <is>
          <t>Standard Class</t>
        </is>
      </c>
      <c r="N744" s="12" t="n">
        <v>4</v>
      </c>
      <c r="O744" s="12" t="n">
        <v>2260.95</v>
      </c>
      <c r="P744" s="12" t="n">
        <v>0</v>
      </c>
      <c r="Q744" s="12" t="n">
        <v>9043.799999999999</v>
      </c>
      <c r="R744" s="12" t="n">
        <v>5913.38</v>
      </c>
      <c r="S744" s="12" t="n">
        <v>3130.42</v>
      </c>
      <c r="T744" s="12" t="inlineStr">
        <is>
          <t>Paid</t>
        </is>
      </c>
      <c r="U744" s="12" t="inlineStr">
        <is>
          <t>Completed</t>
        </is>
      </c>
      <c r="V744">
        <f>IF(OR(P744="",P744&lt;0,P744&gt;0.5),0,P744)</f>
        <v/>
      </c>
      <c r="W744">
        <f>N744*O744*(1-V744)</f>
        <v/>
      </c>
      <c r="X744">
        <f>W744-R744</f>
        <v/>
      </c>
      <c r="Y744">
        <f>IF(W744=0,0,X744/W744)</f>
        <v/>
      </c>
      <c r="Z744">
        <f>C744-B744</f>
        <v/>
      </c>
      <c r="AA744">
        <f>TEXT(B744,"mmmm")</f>
        <v/>
      </c>
      <c r="AB744">
        <f>YEAR(B744)</f>
        <v/>
      </c>
      <c r="AC744">
        <f>IF(OR(P744&lt;0,P744&gt;0.5,C744&lt;B744),"INVALID","CLEAN")</f>
        <v/>
      </c>
    </row>
    <row r="745">
      <c r="A745" s="12" t="inlineStr">
        <is>
          <t>ORD-2025-10744</t>
        </is>
      </c>
      <c r="B745" s="12" t="inlineStr">
        <is>
          <t>02/12/2025</t>
        </is>
      </c>
      <c r="C745" s="12" t="inlineStr">
        <is>
          <t>14 Feb 2025</t>
        </is>
      </c>
      <c r="D745" s="12" t="inlineStr">
        <is>
          <t>CUST-6231</t>
        </is>
      </c>
      <c r="E745" s="12" t="inlineStr">
        <is>
          <t>Sneha Kapoor</t>
        </is>
      </c>
      <c r="F745" s="12" t="inlineStr">
        <is>
          <t>Consumer</t>
        </is>
      </c>
      <c r="G745" s="12" t="inlineStr">
        <is>
          <t>North</t>
        </is>
      </c>
      <c r="H745" s="12" t="inlineStr">
        <is>
          <t>Uttar Pradesh</t>
        </is>
      </c>
      <c r="I745" s="12" t="inlineStr">
        <is>
          <t>Noida</t>
        </is>
      </c>
      <c r="J745" s="12" t="inlineStr">
        <is>
          <t>Office Supplies</t>
        </is>
      </c>
      <c r="K745" s="12" t="inlineStr">
        <is>
          <t>Art</t>
        </is>
      </c>
      <c r="L745" s="12" t="inlineStr">
        <is>
          <t>Basic Art 764</t>
        </is>
      </c>
      <c r="M745" s="12" t="inlineStr">
        <is>
          <t>Standard Class</t>
        </is>
      </c>
      <c r="N745" s="12" t="n">
        <v>6</v>
      </c>
      <c r="O745" s="12" t="n">
        <v>491.4</v>
      </c>
      <c r="P745" s="12" t="n">
        <v>0.25</v>
      </c>
      <c r="Q745" s="12" t="n">
        <v>2211.3</v>
      </c>
      <c r="R745" s="12" t="n">
        <v>1735.64</v>
      </c>
      <c r="S745" s="12" t="n">
        <v>475.66</v>
      </c>
      <c r="T745" s="12" t="inlineStr">
        <is>
          <t>Paid</t>
        </is>
      </c>
      <c r="U745" s="12" t="inlineStr">
        <is>
          <t>Completed</t>
        </is>
      </c>
      <c r="V745">
        <f>IF(OR(P745="",P745&lt;0,P745&gt;0.5),0,P745)</f>
        <v/>
      </c>
      <c r="W745">
        <f>N745*O745*(1-V745)</f>
        <v/>
      </c>
      <c r="X745">
        <f>W745-R745</f>
        <v/>
      </c>
      <c r="Y745">
        <f>IF(W745=0,0,X745/W745)</f>
        <v/>
      </c>
      <c r="Z745">
        <f>C745-B745</f>
        <v/>
      </c>
      <c r="AA745">
        <f>TEXT(B745,"mmmm")</f>
        <v/>
      </c>
      <c r="AB745">
        <f>YEAR(B745)</f>
        <v/>
      </c>
      <c r="AC745">
        <f>IF(OR(P745&lt;0,P745&gt;0.5,C745&lt;B745),"INVALID","CLEAN")</f>
        <v/>
      </c>
    </row>
    <row r="746">
      <c r="A746" s="12" t="inlineStr">
        <is>
          <t>ORD-2025-10745</t>
        </is>
      </c>
      <c r="B746" s="12" t="inlineStr">
        <is>
          <t>2025-08-17</t>
        </is>
      </c>
      <c r="C746" s="12" t="inlineStr">
        <is>
          <t>2025-08-20</t>
        </is>
      </c>
      <c r="D746" s="12" t="inlineStr">
        <is>
          <t>CUST-2021</t>
        </is>
      </c>
      <c r="E746" s="12" t="inlineStr">
        <is>
          <t>Mira Das</t>
        </is>
      </c>
      <c r="F746" s="12" t="inlineStr">
        <is>
          <t>Home Office</t>
        </is>
      </c>
      <c r="G746" s="12" t="inlineStr">
        <is>
          <t>North</t>
        </is>
      </c>
      <c r="H746" s="12" t="inlineStr">
        <is>
          <t>Punjab</t>
        </is>
      </c>
      <c r="I746" s="12" t="inlineStr">
        <is>
          <t>Ludhiana</t>
        </is>
      </c>
      <c r="J746" s="12" t="inlineStr">
        <is>
          <t>Office Supplies</t>
        </is>
      </c>
      <c r="K746" s="12" t="inlineStr">
        <is>
          <t>Binders</t>
        </is>
      </c>
      <c r="L746" s="12" t="inlineStr">
        <is>
          <t>Prime Binders 181</t>
        </is>
      </c>
      <c r="M746" s="12" t="inlineStr">
        <is>
          <t>First Class</t>
        </is>
      </c>
      <c r="N746" s="12" t="n">
        <v>5</v>
      </c>
      <c r="O746" s="12" t="n">
        <v>2701.89</v>
      </c>
      <c r="P746" s="12" t="n">
        <v>0.1</v>
      </c>
      <c r="Q746" s="12" t="n">
        <v>12158.5</v>
      </c>
      <c r="R746" s="12" t="n">
        <v>10260.07</v>
      </c>
      <c r="S746" s="12" t="n">
        <v>1898.43</v>
      </c>
      <c r="T746" s="12" t="inlineStr">
        <is>
          <t>Paid</t>
        </is>
      </c>
      <c r="U746" s="12" t="inlineStr">
        <is>
          <t>Cancelled</t>
        </is>
      </c>
      <c r="V746">
        <f>IF(OR(P746="",P746&lt;0,P746&gt;0.5),0,P746)</f>
        <v/>
      </c>
      <c r="W746">
        <f>N746*O746*(1-V746)</f>
        <v/>
      </c>
      <c r="X746">
        <f>W746-R746</f>
        <v/>
      </c>
      <c r="Y746">
        <f>IF(W746=0,0,X746/W746)</f>
        <v/>
      </c>
      <c r="Z746">
        <f>C746-B746</f>
        <v/>
      </c>
      <c r="AA746">
        <f>TEXT(B746,"mmmm")</f>
        <v/>
      </c>
      <c r="AB746">
        <f>YEAR(B746)</f>
        <v/>
      </c>
      <c r="AC746">
        <f>IF(OR(P746&lt;0,P746&gt;0.5,C746&lt;B746),"INVALID","CLEAN")</f>
        <v/>
      </c>
    </row>
    <row r="747">
      <c r="A747" s="12" t="inlineStr">
        <is>
          <t>ORD-2024-10746</t>
        </is>
      </c>
      <c r="B747" s="12" t="inlineStr">
        <is>
          <t>24 Oct 2024</t>
        </is>
      </c>
      <c r="C747" s="12" t="inlineStr">
        <is>
          <t>28-10-2024</t>
        </is>
      </c>
      <c r="D747" s="12" t="inlineStr">
        <is>
          <t>CUST-1493</t>
        </is>
      </c>
      <c r="E747" s="12" t="inlineStr">
        <is>
          <t>Mira Das</t>
        </is>
      </c>
      <c r="F747" s="12" t="inlineStr">
        <is>
          <t>Small Business</t>
        </is>
      </c>
      <c r="G747" s="12" t="inlineStr">
        <is>
          <t>East</t>
        </is>
      </c>
      <c r="H747" s="12" t="inlineStr">
        <is>
          <t>Assam</t>
        </is>
      </c>
      <c r="I747" s="12" t="inlineStr">
        <is>
          <t>Guwahati</t>
        </is>
      </c>
      <c r="J747" s="12" t="inlineStr">
        <is>
          <t>Technology</t>
        </is>
      </c>
      <c r="K747" s="12" t="inlineStr">
        <is>
          <t>Copiers</t>
        </is>
      </c>
      <c r="L747" s="12" t="inlineStr">
        <is>
          <t>Max Copiers 866</t>
        </is>
      </c>
      <c r="M747" s="12" t="inlineStr">
        <is>
          <t>Standard Class</t>
        </is>
      </c>
      <c r="N747" s="12" t="n">
        <v>3</v>
      </c>
      <c r="O747" s="12" t="n">
        <v>723.59</v>
      </c>
      <c r="P747" s="12" t="n">
        <v>0.2</v>
      </c>
      <c r="Q747" s="12" t="n">
        <v>1736.62</v>
      </c>
      <c r="R747" s="12" t="n">
        <v>1059.52</v>
      </c>
      <c r="S747" s="12" t="n">
        <v>677.1</v>
      </c>
      <c r="T747" s="12" t="inlineStr">
        <is>
          <t>Paid</t>
        </is>
      </c>
      <c r="U747" s="12" t="inlineStr">
        <is>
          <t>Completed</t>
        </is>
      </c>
      <c r="V747">
        <f>IF(OR(P747="",P747&lt;0,P747&gt;0.5),0,P747)</f>
        <v/>
      </c>
      <c r="W747">
        <f>N747*O747*(1-V747)</f>
        <v/>
      </c>
      <c r="X747">
        <f>W747-R747</f>
        <v/>
      </c>
      <c r="Y747">
        <f>IF(W747=0,0,X747/W747)</f>
        <v/>
      </c>
      <c r="Z747">
        <f>C747-B747</f>
        <v/>
      </c>
      <c r="AA747">
        <f>TEXT(B747,"mmmm")</f>
        <v/>
      </c>
      <c r="AB747">
        <f>YEAR(B747)</f>
        <v/>
      </c>
      <c r="AC747">
        <f>IF(OR(P747&lt;0,P747&gt;0.5,C747&lt;B747),"INVALID","CLEAN")</f>
        <v/>
      </c>
    </row>
    <row r="748">
      <c r="A748" s="12" t="inlineStr">
        <is>
          <t>ORD-2025-10747</t>
        </is>
      </c>
      <c r="B748" s="12" t="inlineStr">
        <is>
          <t>2025-01-04</t>
        </is>
      </c>
      <c r="C748" s="12" t="inlineStr">
        <is>
          <t>10-01-2025</t>
        </is>
      </c>
      <c r="D748" s="12" t="inlineStr">
        <is>
          <t>CUST-2314</t>
        </is>
      </c>
      <c r="E748" s="12" t="inlineStr">
        <is>
          <t>Aarav Sharma</t>
        </is>
      </c>
      <c r="F748" s="12" t="inlineStr">
        <is>
          <t>Home Office</t>
        </is>
      </c>
      <c r="G748" s="12" t="inlineStr">
        <is>
          <t>East</t>
        </is>
      </c>
      <c r="H748" s="12" t="inlineStr">
        <is>
          <t>West Bengal</t>
        </is>
      </c>
      <c r="I748" s="12" t="inlineStr">
        <is>
          <t>Kolkata</t>
        </is>
      </c>
      <c r="J748" s="12" t="inlineStr">
        <is>
          <t>Office Supplies</t>
        </is>
      </c>
      <c r="K748" s="12" t="inlineStr">
        <is>
          <t>Paper</t>
        </is>
      </c>
      <c r="L748" s="12" t="inlineStr">
        <is>
          <t>Pro Paper 662</t>
        </is>
      </c>
      <c r="M748" s="12" t="inlineStr">
        <is>
          <t>Standard Class</t>
        </is>
      </c>
      <c r="N748" s="12" t="n">
        <v>4</v>
      </c>
      <c r="O748" s="12" t="n">
        <v>2583.19</v>
      </c>
      <c r="P748" s="12" t="n">
        <v>0.2</v>
      </c>
      <c r="Q748" s="12" t="n">
        <v>8266.209999999999</v>
      </c>
      <c r="R748" s="12" t="n">
        <v>6236.32</v>
      </c>
      <c r="S748" s="12" t="n">
        <v>2029.89</v>
      </c>
      <c r="T748" s="12" t="inlineStr">
        <is>
          <t>Paid</t>
        </is>
      </c>
      <c r="U748" s="12" t="inlineStr">
        <is>
          <t>Completed</t>
        </is>
      </c>
      <c r="V748">
        <f>IF(OR(P748="",P748&lt;0,P748&gt;0.5),0,P748)</f>
        <v/>
      </c>
      <c r="W748">
        <f>N748*O748*(1-V748)</f>
        <v/>
      </c>
      <c r="X748">
        <f>W748-R748</f>
        <v/>
      </c>
      <c r="Y748">
        <f>IF(W748=0,0,X748/W748)</f>
        <v/>
      </c>
      <c r="Z748">
        <f>C748-B748</f>
        <v/>
      </c>
      <c r="AA748">
        <f>TEXT(B748,"mmmm")</f>
        <v/>
      </c>
      <c r="AB748">
        <f>YEAR(B748)</f>
        <v/>
      </c>
      <c r="AC748">
        <f>IF(OR(P748&lt;0,P748&gt;0.5,C748&lt;B748),"INVALID","CLEAN")</f>
        <v/>
      </c>
    </row>
    <row r="749">
      <c r="A749" s="12" t="inlineStr">
        <is>
          <t>ORD-2024-10748</t>
        </is>
      </c>
      <c r="B749" s="12" t="inlineStr">
        <is>
          <t>2024-05-01</t>
        </is>
      </c>
      <c r="C749" s="12" t="inlineStr">
        <is>
          <t>07 May 2024</t>
        </is>
      </c>
      <c r="D749" s="12" t="inlineStr">
        <is>
          <t>CUST-8416</t>
        </is>
      </c>
      <c r="E749" s="12" t="inlineStr">
        <is>
          <t>Isha Nair</t>
        </is>
      </c>
      <c r="F749" s="12" t="inlineStr">
        <is>
          <t>Home Office</t>
        </is>
      </c>
      <c r="G749" s="12" t="inlineStr">
        <is>
          <t>East</t>
        </is>
      </c>
      <c r="H749" s="12" t="inlineStr">
        <is>
          <t>Odisha</t>
        </is>
      </c>
      <c r="I749" s="12" t="inlineStr">
        <is>
          <t>Bhubaneswar</t>
        </is>
      </c>
      <c r="J749" s="12" t="inlineStr">
        <is>
          <t>Office Supplies</t>
        </is>
      </c>
      <c r="K749" s="12" t="inlineStr">
        <is>
          <t>Paper</t>
        </is>
      </c>
      <c r="L749" s="12" t="inlineStr">
        <is>
          <t>Classic Paper 388</t>
        </is>
      </c>
      <c r="M749" s="12" t="inlineStr">
        <is>
          <t>Same Day</t>
        </is>
      </c>
      <c r="N749" s="12" t="n">
        <v>8</v>
      </c>
      <c r="O749" s="12" t="n">
        <v>1473.83</v>
      </c>
      <c r="P749" s="12" t="n">
        <v>0.15</v>
      </c>
      <c r="Q749" s="12" t="n">
        <v>10022.04</v>
      </c>
      <c r="R749" s="12" t="n">
        <v>5576.98</v>
      </c>
      <c r="S749" s="12" t="n">
        <v>4445.06</v>
      </c>
      <c r="T749" s="12" t="inlineStr">
        <is>
          <t>Paid</t>
        </is>
      </c>
      <c r="U749" s="12" t="inlineStr">
        <is>
          <t>Completed</t>
        </is>
      </c>
      <c r="V749">
        <f>IF(OR(P749="",P749&lt;0,P749&gt;0.5),0,P749)</f>
        <v/>
      </c>
      <c r="W749">
        <f>N749*O749*(1-V749)</f>
        <v/>
      </c>
      <c r="X749">
        <f>W749-R749</f>
        <v/>
      </c>
      <c r="Y749">
        <f>IF(W749=0,0,X749/W749)</f>
        <v/>
      </c>
      <c r="Z749">
        <f>C749-B749</f>
        <v/>
      </c>
      <c r="AA749">
        <f>TEXT(B749,"mmmm")</f>
        <v/>
      </c>
      <c r="AB749">
        <f>YEAR(B749)</f>
        <v/>
      </c>
      <c r="AC749">
        <f>IF(OR(P749&lt;0,P749&gt;0.5,C749&lt;B749),"INVALID","CLEAN")</f>
        <v/>
      </c>
    </row>
    <row r="750">
      <c r="A750" s="12" t="inlineStr">
        <is>
          <t>ORD-2024-10749</t>
        </is>
      </c>
      <c r="B750" s="12" t="inlineStr">
        <is>
          <t>30-05-2024</t>
        </is>
      </c>
      <c r="C750" s="12" t="inlineStr">
        <is>
          <t>05/30/2024</t>
        </is>
      </c>
      <c r="D750" s="12" t="inlineStr">
        <is>
          <t>CUST-3103</t>
        </is>
      </c>
      <c r="E750" s="12" t="inlineStr">
        <is>
          <t>Diya Patel</t>
        </is>
      </c>
      <c r="F750" s="12" t="inlineStr">
        <is>
          <t>Home Office</t>
        </is>
      </c>
      <c r="G750" s="12" t="inlineStr">
        <is>
          <t>North</t>
        </is>
      </c>
      <c r="H750" s="12" t="inlineStr">
        <is>
          <t>Haryana</t>
        </is>
      </c>
      <c r="I750" s="12" t="inlineStr">
        <is>
          <t>Gurugram</t>
        </is>
      </c>
      <c r="J750" s="12" t="inlineStr">
        <is>
          <t>Technology</t>
        </is>
      </c>
      <c r="K750" s="12" t="inlineStr">
        <is>
          <t>Phones</t>
        </is>
      </c>
      <c r="L750" s="12" t="inlineStr">
        <is>
          <t>Pro Phones 765</t>
        </is>
      </c>
      <c r="M750" s="12" t="inlineStr">
        <is>
          <t>Second Class</t>
        </is>
      </c>
      <c r="N750" s="12" t="n">
        <v>1</v>
      </c>
      <c r="O750" s="12" t="n">
        <v>3848.04</v>
      </c>
      <c r="P750" s="12" t="n">
        <v>0.25</v>
      </c>
      <c r="Q750" s="12" t="n">
        <v>2886.03</v>
      </c>
      <c r="R750" s="12" t="n">
        <v>2064.83</v>
      </c>
      <c r="S750" s="12" t="n">
        <v>821.2</v>
      </c>
      <c r="T750" s="12" t="inlineStr">
        <is>
          <t>Paid</t>
        </is>
      </c>
      <c r="U750" s="12" t="inlineStr">
        <is>
          <t>Completed</t>
        </is>
      </c>
      <c r="V750">
        <f>IF(OR(P750="",P750&lt;0,P750&gt;0.5),0,P750)</f>
        <v/>
      </c>
      <c r="W750">
        <f>N750*O750*(1-V750)</f>
        <v/>
      </c>
      <c r="X750">
        <f>W750-R750</f>
        <v/>
      </c>
      <c r="Y750">
        <f>IF(W750=0,0,X750/W750)</f>
        <v/>
      </c>
      <c r="Z750">
        <f>C750-B750</f>
        <v/>
      </c>
      <c r="AA750">
        <f>TEXT(B750,"mmmm")</f>
        <v/>
      </c>
      <c r="AB750">
        <f>YEAR(B750)</f>
        <v/>
      </c>
      <c r="AC750">
        <f>IF(OR(P750&lt;0,P750&gt;0.5,C750&lt;B750),"INVALID","CLEAN")</f>
        <v/>
      </c>
    </row>
    <row r="751">
      <c r="A751" s="12" t="inlineStr">
        <is>
          <t>ORD-2024-10750</t>
        </is>
      </c>
      <c r="B751" s="12" t="inlineStr">
        <is>
          <t>21 Mar 2024</t>
        </is>
      </c>
      <c r="C751" s="12" t="inlineStr">
        <is>
          <t>2024-03-25</t>
        </is>
      </c>
      <c r="D751" s="12" t="inlineStr">
        <is>
          <t>CUST-4457</t>
        </is>
      </c>
      <c r="E751" s="12" t="inlineStr">
        <is>
          <t>Aditi Sen</t>
        </is>
      </c>
      <c r="F751" s="12" t="inlineStr">
        <is>
          <t>Home Office</t>
        </is>
      </c>
      <c r="G751" s="12" t="inlineStr">
        <is>
          <t>East</t>
        </is>
      </c>
      <c r="H751" s="12" t="inlineStr">
        <is>
          <t>Assam</t>
        </is>
      </c>
      <c r="I751" s="12" t="inlineStr">
        <is>
          <t>Guwahati</t>
        </is>
      </c>
      <c r="J751" s="12" t="inlineStr">
        <is>
          <t>Technology</t>
        </is>
      </c>
      <c r="K751" s="12" t="inlineStr">
        <is>
          <t>Machines</t>
        </is>
      </c>
      <c r="L751" s="12" t="inlineStr">
        <is>
          <t>Classic Machines 543</t>
        </is>
      </c>
      <c r="M751" s="12" t="inlineStr">
        <is>
          <t>Standard Class</t>
        </is>
      </c>
      <c r="N751" s="12" t="n">
        <v>1</v>
      </c>
      <c r="O751" s="12" t="n">
        <v>1716.7</v>
      </c>
      <c r="P751" s="12" t="n">
        <v>0.15</v>
      </c>
      <c r="Q751" s="12" t="n">
        <v>1459.19</v>
      </c>
      <c r="R751" s="12" t="n">
        <v>1055.79</v>
      </c>
      <c r="S751" s="12" t="n">
        <v>403.4</v>
      </c>
      <c r="T751" s="12" t="inlineStr">
        <is>
          <t>Paid</t>
        </is>
      </c>
      <c r="U751" s="12" t="inlineStr">
        <is>
          <t>Completed</t>
        </is>
      </c>
      <c r="V751">
        <f>IF(OR(P751="",P751&lt;0,P751&gt;0.5),0,P751)</f>
        <v/>
      </c>
      <c r="W751">
        <f>N751*O751*(1-V751)</f>
        <v/>
      </c>
      <c r="X751">
        <f>W751-R751</f>
        <v/>
      </c>
      <c r="Y751">
        <f>IF(W751=0,0,X751/W751)</f>
        <v/>
      </c>
      <c r="Z751">
        <f>C751-B751</f>
        <v/>
      </c>
      <c r="AA751">
        <f>TEXT(B751,"mmmm")</f>
        <v/>
      </c>
      <c r="AB751">
        <f>YEAR(B751)</f>
        <v/>
      </c>
      <c r="AC751">
        <f>IF(OR(P751&lt;0,P751&gt;0.5,C751&lt;B751),"INVALID","CLEAN")</f>
        <v/>
      </c>
    </row>
    <row r="752">
      <c r="A752" s="12" t="inlineStr">
        <is>
          <t>ORD-2025-10751</t>
        </is>
      </c>
      <c r="B752" s="12" t="inlineStr">
        <is>
          <t>06/02/2025</t>
        </is>
      </c>
      <c r="C752" s="12" t="inlineStr">
        <is>
          <t>2025-06-02</t>
        </is>
      </c>
      <c r="D752" s="12" t="inlineStr">
        <is>
          <t>CUST-7036</t>
        </is>
      </c>
      <c r="E752" s="12" t="inlineStr">
        <is>
          <t>Aarav Sharma</t>
        </is>
      </c>
      <c r="F752" s="12" t="inlineStr">
        <is>
          <t>Home Office</t>
        </is>
      </c>
      <c r="G752" s="12" t="inlineStr">
        <is>
          <t>South</t>
        </is>
      </c>
      <c r="H752" s="12" t="inlineStr">
        <is>
          <t>Telangana</t>
        </is>
      </c>
      <c r="I752" s="12" t="inlineStr">
        <is>
          <t>Hyderabad</t>
        </is>
      </c>
      <c r="J752" s="12" t="inlineStr">
        <is>
          <t>Technology</t>
        </is>
      </c>
      <c r="K752" s="12" t="inlineStr">
        <is>
          <t>Accessories</t>
        </is>
      </c>
      <c r="L752" s="12" t="inlineStr">
        <is>
          <t>Max Accessories 291</t>
        </is>
      </c>
      <c r="M752" s="12" t="inlineStr">
        <is>
          <t>First Class</t>
        </is>
      </c>
      <c r="N752" s="12" t="n">
        <v>8</v>
      </c>
      <c r="O752" s="12" t="n">
        <v>3925.93</v>
      </c>
      <c r="P752" s="12" t="n">
        <v>0.15</v>
      </c>
      <c r="Q752" s="12" t="n">
        <v>26696.32</v>
      </c>
      <c r="R752" s="12" t="n">
        <v>22724.52</v>
      </c>
      <c r="S752" s="12" t="n">
        <v>3971.8</v>
      </c>
      <c r="T752" s="12" t="inlineStr">
        <is>
          <t>Paid</t>
        </is>
      </c>
      <c r="U752" s="12" t="inlineStr">
        <is>
          <t>Completed</t>
        </is>
      </c>
      <c r="V752">
        <f>IF(OR(P752="",P752&lt;0,P752&gt;0.5),0,P752)</f>
        <v/>
      </c>
      <c r="W752">
        <f>N752*O752*(1-V752)</f>
        <v/>
      </c>
      <c r="X752">
        <f>W752-R752</f>
        <v/>
      </c>
      <c r="Y752">
        <f>IF(W752=0,0,X752/W752)</f>
        <v/>
      </c>
      <c r="Z752">
        <f>C752-B752</f>
        <v/>
      </c>
      <c r="AA752">
        <f>TEXT(B752,"mmmm")</f>
        <v/>
      </c>
      <c r="AB752">
        <f>YEAR(B752)</f>
        <v/>
      </c>
      <c r="AC752">
        <f>IF(OR(P752&lt;0,P752&gt;0.5,C752&lt;B752),"INVALID","CLEAN")</f>
        <v/>
      </c>
    </row>
    <row r="753">
      <c r="A753" s="12" t="inlineStr">
        <is>
          <t>ORD-2025-10752</t>
        </is>
      </c>
      <c r="B753" s="12" t="inlineStr">
        <is>
          <t>18-07-2025</t>
        </is>
      </c>
      <c r="C753" s="12" t="inlineStr">
        <is>
          <t>19-07-2025</t>
        </is>
      </c>
      <c r="D753" s="12" t="inlineStr">
        <is>
          <t>CUST-8512</t>
        </is>
      </c>
      <c r="E753" s="12" t="inlineStr">
        <is>
          <t>Priya Menon</t>
        </is>
      </c>
      <c r="F753" s="12" t="inlineStr">
        <is>
          <t>Home Office</t>
        </is>
      </c>
      <c r="G753" s="12" t="n"/>
      <c r="H753" s="12" t="inlineStr">
        <is>
          <t>Uttar Pradesh</t>
        </is>
      </c>
      <c r="I753" s="12" t="inlineStr">
        <is>
          <t>Noida</t>
        </is>
      </c>
      <c r="J753" s="12" t="inlineStr">
        <is>
          <t>Technology</t>
        </is>
      </c>
      <c r="K753" s="12" t="inlineStr">
        <is>
          <t>Machines</t>
        </is>
      </c>
      <c r="L753" s="12" t="inlineStr">
        <is>
          <t>Eco Machines 414</t>
        </is>
      </c>
      <c r="M753" s="12" t="n"/>
      <c r="N753" s="12" t="n">
        <v>3</v>
      </c>
      <c r="O753" s="12" t="n">
        <v>2963.25</v>
      </c>
      <c r="P753" s="12" t="n">
        <v>0.05</v>
      </c>
      <c r="Q753" s="12" t="n">
        <v>8445.26</v>
      </c>
      <c r="R753" s="12" t="n">
        <v>6937.6</v>
      </c>
      <c r="S753" s="12" t="n">
        <v>1507.66</v>
      </c>
      <c r="T753" s="12" t="inlineStr">
        <is>
          <t>Paid</t>
        </is>
      </c>
      <c r="U753" s="12" t="inlineStr">
        <is>
          <t>Completed</t>
        </is>
      </c>
      <c r="V753">
        <f>IF(OR(P753="",P753&lt;0,P753&gt;0.5),0,P753)</f>
        <v/>
      </c>
      <c r="W753">
        <f>N753*O753*(1-V753)</f>
        <v/>
      </c>
      <c r="X753">
        <f>W753-R753</f>
        <v/>
      </c>
      <c r="Y753">
        <f>IF(W753=0,0,X753/W753)</f>
        <v/>
      </c>
      <c r="Z753">
        <f>C753-B753</f>
        <v/>
      </c>
      <c r="AA753">
        <f>TEXT(B753,"mmmm")</f>
        <v/>
      </c>
      <c r="AB753">
        <f>YEAR(B753)</f>
        <v/>
      </c>
      <c r="AC753">
        <f>IF(OR(P753&lt;0,P753&gt;0.5,C753&lt;B753),"INVALID","CLEAN")</f>
        <v/>
      </c>
    </row>
    <row r="754">
      <c r="A754" s="12" t="inlineStr">
        <is>
          <t>ORD-2024-10753</t>
        </is>
      </c>
      <c r="B754" s="12" t="inlineStr">
        <is>
          <t>24-03-2024</t>
        </is>
      </c>
      <c r="C754" s="12" t="inlineStr">
        <is>
          <t>27-03-2024</t>
        </is>
      </c>
      <c r="D754" s="12" t="inlineStr">
        <is>
          <t>CUST-6345</t>
        </is>
      </c>
      <c r="E754" s="12" t="inlineStr">
        <is>
          <t>Aditi Sen</t>
        </is>
      </c>
      <c r="F754" s="12" t="inlineStr">
        <is>
          <t>Corporate</t>
        </is>
      </c>
      <c r="G754" s="12" t="inlineStr">
        <is>
          <t xml:space="preserve">West </t>
        </is>
      </c>
      <c r="H754" s="12" t="inlineStr">
        <is>
          <t>Gujarat</t>
        </is>
      </c>
      <c r="I754" s="12" t="inlineStr">
        <is>
          <t>Ahmedabad</t>
        </is>
      </c>
      <c r="J754" s="12" t="inlineStr">
        <is>
          <t>Office Supplies</t>
        </is>
      </c>
      <c r="K754" s="12" t="inlineStr">
        <is>
          <t>Storage</t>
        </is>
      </c>
      <c r="L754" s="12" t="inlineStr">
        <is>
          <t>Basic Storage 273</t>
        </is>
      </c>
      <c r="M754" s="12" t="inlineStr">
        <is>
          <t>First Class</t>
        </is>
      </c>
      <c r="N754" s="12" t="n">
        <v>5</v>
      </c>
      <c r="O754" s="12" t="n">
        <v>2465.22</v>
      </c>
      <c r="P754" s="12" t="n">
        <v>0.05</v>
      </c>
      <c r="Q754" s="12" t="n">
        <v>11709.79</v>
      </c>
      <c r="R754" s="12" t="n">
        <v>8372.290000000001</v>
      </c>
      <c r="S754" s="12" t="n">
        <v>3337.5</v>
      </c>
      <c r="T754" s="12" t="inlineStr">
        <is>
          <t>Paid</t>
        </is>
      </c>
      <c r="U754" s="12" t="inlineStr">
        <is>
          <t>Completed</t>
        </is>
      </c>
      <c r="V754">
        <f>IF(OR(P754="",P754&lt;0,P754&gt;0.5),0,P754)</f>
        <v/>
      </c>
      <c r="W754">
        <f>N754*O754*(1-V754)</f>
        <v/>
      </c>
      <c r="X754">
        <f>W754-R754</f>
        <v/>
      </c>
      <c r="Y754">
        <f>IF(W754=0,0,X754/W754)</f>
        <v/>
      </c>
      <c r="Z754">
        <f>C754-B754</f>
        <v/>
      </c>
      <c r="AA754">
        <f>TEXT(B754,"mmmm")</f>
        <v/>
      </c>
      <c r="AB754">
        <f>YEAR(B754)</f>
        <v/>
      </c>
      <c r="AC754">
        <f>IF(OR(P754&lt;0,P754&gt;0.5,C754&lt;B754),"INVALID","CLEAN")</f>
        <v/>
      </c>
    </row>
    <row r="755">
      <c r="A755" s="12" t="inlineStr">
        <is>
          <t>ORD-2024-10754</t>
        </is>
      </c>
      <c r="B755" s="12" t="inlineStr">
        <is>
          <t>11 Aug 2024</t>
        </is>
      </c>
      <c r="C755" s="12" t="inlineStr">
        <is>
          <t>10-08-2024</t>
        </is>
      </c>
      <c r="D755" s="12" t="inlineStr">
        <is>
          <t>CUST-4505</t>
        </is>
      </c>
      <c r="E755" s="12" t="inlineStr">
        <is>
          <t>Aditi Sen</t>
        </is>
      </c>
      <c r="F755" s="12" t="inlineStr">
        <is>
          <t>Corporate</t>
        </is>
      </c>
      <c r="G755" s="12" t="inlineStr">
        <is>
          <t>North</t>
        </is>
      </c>
      <c r="H755" s="12" t="inlineStr">
        <is>
          <t>Delhi</t>
        </is>
      </c>
      <c r="I755" s="12" t="inlineStr">
        <is>
          <t>New Delhi</t>
        </is>
      </c>
      <c r="J755" s="12" t="inlineStr">
        <is>
          <t xml:space="preserve">  Furniture </t>
        </is>
      </c>
      <c r="K755" s="12" t="inlineStr">
        <is>
          <t>Furnishings</t>
        </is>
      </c>
      <c r="L755" s="12" t="inlineStr">
        <is>
          <t>Elite Furnishings 588</t>
        </is>
      </c>
      <c r="M755" s="12" t="inlineStr">
        <is>
          <t>Second Class</t>
        </is>
      </c>
      <c r="N755" s="12" t="n">
        <v>3</v>
      </c>
      <c r="O755" s="12" t="n">
        <v>1017.22</v>
      </c>
      <c r="P755" s="12" t="n">
        <v>0.15</v>
      </c>
      <c r="Q755" s="12" t="n">
        <v>2593.91</v>
      </c>
      <c r="R755" s="12" t="n">
        <v>1848.48</v>
      </c>
      <c r="S755" s="12" t="n">
        <v>745.4299999999999</v>
      </c>
      <c r="T755" s="12" t="inlineStr">
        <is>
          <t>Failed</t>
        </is>
      </c>
      <c r="U755" s="12" t="inlineStr">
        <is>
          <t>Returned</t>
        </is>
      </c>
      <c r="V755">
        <f>IF(OR(P755="",P755&lt;0,P755&gt;0.5),0,P755)</f>
        <v/>
      </c>
      <c r="W755">
        <f>N755*O755*(1-V755)</f>
        <v/>
      </c>
      <c r="X755">
        <f>W755-R755</f>
        <v/>
      </c>
      <c r="Y755">
        <f>IF(W755=0,0,X755/W755)</f>
        <v/>
      </c>
      <c r="Z755">
        <f>C755-B755</f>
        <v/>
      </c>
      <c r="AA755">
        <f>TEXT(B755,"mmmm")</f>
        <v/>
      </c>
      <c r="AB755">
        <f>YEAR(B755)</f>
        <v/>
      </c>
      <c r="AC755">
        <f>IF(OR(P755&lt;0,P755&gt;0.5,C755&lt;B755),"INVALID","CLEAN")</f>
        <v/>
      </c>
    </row>
    <row r="756">
      <c r="A756" s="12" t="inlineStr">
        <is>
          <t>ORD-2025-10755</t>
        </is>
      </c>
      <c r="B756" s="12" t="inlineStr">
        <is>
          <t>06/04/2025</t>
        </is>
      </c>
      <c r="C756" s="12" t="inlineStr">
        <is>
          <t>06/04/2025</t>
        </is>
      </c>
      <c r="D756" s="12" t="inlineStr">
        <is>
          <t>CUST-7960</t>
        </is>
      </c>
      <c r="E756" s="12" t="inlineStr">
        <is>
          <t>Neha Gupta</t>
        </is>
      </c>
      <c r="F756" s="12" t="inlineStr">
        <is>
          <t>Corporate</t>
        </is>
      </c>
      <c r="G756" s="12" t="inlineStr">
        <is>
          <t>South</t>
        </is>
      </c>
      <c r="H756" s="12" t="inlineStr">
        <is>
          <t>Kerala</t>
        </is>
      </c>
      <c r="I756" s="12" t="inlineStr">
        <is>
          <t>Kochi</t>
        </is>
      </c>
      <c r="J756" s="12" t="inlineStr">
        <is>
          <t>Office Supplies</t>
        </is>
      </c>
      <c r="K756" s="12" t="inlineStr">
        <is>
          <t>Storage</t>
        </is>
      </c>
      <c r="L756" s="12" t="inlineStr">
        <is>
          <t>Elite Storage 857</t>
        </is>
      </c>
      <c r="M756" s="12" t="inlineStr">
        <is>
          <t>Standard Class</t>
        </is>
      </c>
      <c r="N756" s="12" t="n">
        <v>4</v>
      </c>
      <c r="O756" s="12" t="n">
        <v>891.34</v>
      </c>
      <c r="P756" s="12" t="n">
        <v>0.25</v>
      </c>
      <c r="Q756" s="12" t="n">
        <v>2674.02</v>
      </c>
      <c r="R756" s="12" t="n">
        <v>2207.57</v>
      </c>
      <c r="S756" s="12" t="n">
        <v>466.45</v>
      </c>
      <c r="T756" s="12" t="inlineStr">
        <is>
          <t>Paid</t>
        </is>
      </c>
      <c r="U756" s="12" t="inlineStr">
        <is>
          <t>Completed</t>
        </is>
      </c>
      <c r="V756">
        <f>IF(OR(P756="",P756&lt;0,P756&gt;0.5),0,P756)</f>
        <v/>
      </c>
      <c r="W756">
        <f>N756*O756*(1-V756)</f>
        <v/>
      </c>
      <c r="X756">
        <f>W756-R756</f>
        <v/>
      </c>
      <c r="Y756">
        <f>IF(W756=0,0,X756/W756)</f>
        <v/>
      </c>
      <c r="Z756">
        <f>C756-B756</f>
        <v/>
      </c>
      <c r="AA756">
        <f>TEXT(B756,"mmmm")</f>
        <v/>
      </c>
      <c r="AB756">
        <f>YEAR(B756)</f>
        <v/>
      </c>
      <c r="AC756">
        <f>IF(OR(P756&lt;0,P756&gt;0.5,C756&lt;B756),"INVALID","CLEAN")</f>
        <v/>
      </c>
    </row>
    <row r="757">
      <c r="A757" s="12" t="inlineStr">
        <is>
          <t>ORD-2025-10756</t>
        </is>
      </c>
      <c r="B757" s="12" t="inlineStr">
        <is>
          <t>20-07-2025</t>
        </is>
      </c>
      <c r="C757" s="12" t="inlineStr">
        <is>
          <t>24-07-2025</t>
        </is>
      </c>
      <c r="D757" s="12" t="inlineStr">
        <is>
          <t>CUST-3365</t>
        </is>
      </c>
      <c r="E757" s="12" t="inlineStr">
        <is>
          <t>Priya Menon</t>
        </is>
      </c>
      <c r="F757" s="12" t="inlineStr">
        <is>
          <t>Home Office</t>
        </is>
      </c>
      <c r="G757" s="12" t="inlineStr">
        <is>
          <t>West</t>
        </is>
      </c>
      <c r="H757" s="12" t="inlineStr">
        <is>
          <t>Madhya Pradesh</t>
        </is>
      </c>
      <c r="I757" s="12" t="inlineStr">
        <is>
          <t>Indore</t>
        </is>
      </c>
      <c r="J757" s="12" t="inlineStr">
        <is>
          <t>Office Supplies</t>
        </is>
      </c>
      <c r="K757" s="12" t="inlineStr">
        <is>
          <t>Storage</t>
        </is>
      </c>
      <c r="L757" s="12" t="inlineStr">
        <is>
          <t>Prime Storage 183</t>
        </is>
      </c>
      <c r="M757" s="12" t="inlineStr">
        <is>
          <t>Second Class</t>
        </is>
      </c>
      <c r="N757" s="12" t="n">
        <v>5</v>
      </c>
      <c r="O757" s="12" t="n">
        <v>2481.74</v>
      </c>
      <c r="P757" s="12" t="n">
        <v>0.2</v>
      </c>
      <c r="Q757" s="12" t="n">
        <v>9926.959999999999</v>
      </c>
      <c r="R757" s="12" t="n">
        <v>7994.98</v>
      </c>
      <c r="S757" s="12" t="n">
        <v>1931.98</v>
      </c>
      <c r="T757" s="12" t="inlineStr">
        <is>
          <t>Paid</t>
        </is>
      </c>
      <c r="U757" s="12" t="inlineStr">
        <is>
          <t>Completed</t>
        </is>
      </c>
      <c r="V757">
        <f>IF(OR(P757="",P757&lt;0,P757&gt;0.5),0,P757)</f>
        <v/>
      </c>
      <c r="W757">
        <f>N757*O757*(1-V757)</f>
        <v/>
      </c>
      <c r="X757">
        <f>W757-R757</f>
        <v/>
      </c>
      <c r="Y757">
        <f>IF(W757=0,0,X757/W757)</f>
        <v/>
      </c>
      <c r="Z757">
        <f>C757-B757</f>
        <v/>
      </c>
      <c r="AA757">
        <f>TEXT(B757,"mmmm")</f>
        <v/>
      </c>
      <c r="AB757">
        <f>YEAR(B757)</f>
        <v/>
      </c>
      <c r="AC757">
        <f>IF(OR(P757&lt;0,P757&gt;0.5,C757&lt;B757),"INVALID","CLEAN")</f>
        <v/>
      </c>
    </row>
    <row r="758">
      <c r="A758" s="12" t="inlineStr">
        <is>
          <t>ORD-2024-10757</t>
        </is>
      </c>
      <c r="B758" s="12" t="inlineStr">
        <is>
          <t>10/27/2024</t>
        </is>
      </c>
      <c r="C758" s="12" t="inlineStr">
        <is>
          <t>11/01/2024</t>
        </is>
      </c>
      <c r="D758" s="12" t="inlineStr">
        <is>
          <t>CUST-1557</t>
        </is>
      </c>
      <c r="E758" s="12" t="inlineStr">
        <is>
          <t>Rohan Mehta</t>
        </is>
      </c>
      <c r="F758" s="12" t="inlineStr">
        <is>
          <t>Consumer</t>
        </is>
      </c>
      <c r="G758" s="12" t="inlineStr">
        <is>
          <t>North</t>
        </is>
      </c>
      <c r="H758" s="12" t="inlineStr">
        <is>
          <t>Rajasthan</t>
        </is>
      </c>
      <c r="I758" s="12" t="inlineStr">
        <is>
          <t>Jaipur</t>
        </is>
      </c>
      <c r="J758" s="12" t="inlineStr">
        <is>
          <t>Technology</t>
        </is>
      </c>
      <c r="K758" s="12" t="inlineStr">
        <is>
          <t>Accessories</t>
        </is>
      </c>
      <c r="L758" s="12" t="inlineStr">
        <is>
          <t>Smart Accessories 362</t>
        </is>
      </c>
      <c r="M758" s="12" t="inlineStr">
        <is>
          <t>Same Day</t>
        </is>
      </c>
      <c r="N758" s="12" t="n">
        <v>7</v>
      </c>
      <c r="O758" s="12" t="n">
        <v>2177.1</v>
      </c>
      <c r="P758" s="12" t="n">
        <v>0.2</v>
      </c>
      <c r="Q758" s="12" t="n">
        <v>12191.76</v>
      </c>
      <c r="R758" s="12" t="n">
        <v>10457.49</v>
      </c>
      <c r="S758" s="12" t="n">
        <v>1734.27</v>
      </c>
      <c r="T758" s="12" t="inlineStr">
        <is>
          <t>Paid</t>
        </is>
      </c>
      <c r="U758" s="12" t="inlineStr">
        <is>
          <t>Returned</t>
        </is>
      </c>
      <c r="V758">
        <f>IF(OR(P758="",P758&lt;0,P758&gt;0.5),0,P758)</f>
        <v/>
      </c>
      <c r="W758">
        <f>N758*O758*(1-V758)</f>
        <v/>
      </c>
      <c r="X758">
        <f>W758-R758</f>
        <v/>
      </c>
      <c r="Y758">
        <f>IF(W758=0,0,X758/W758)</f>
        <v/>
      </c>
      <c r="Z758">
        <f>C758-B758</f>
        <v/>
      </c>
      <c r="AA758">
        <f>TEXT(B758,"mmmm")</f>
        <v/>
      </c>
      <c r="AB758">
        <f>YEAR(B758)</f>
        <v/>
      </c>
      <c r="AC758">
        <f>IF(OR(P758&lt;0,P758&gt;0.5,C758&lt;B758),"INVALID","CLEAN")</f>
        <v/>
      </c>
    </row>
    <row r="759">
      <c r="A759" s="12" t="inlineStr">
        <is>
          <t>ORD-2025-10758</t>
        </is>
      </c>
      <c r="B759" s="12" t="inlineStr">
        <is>
          <t>01 Aug 2025</t>
        </is>
      </c>
      <c r="C759" s="12" t="inlineStr">
        <is>
          <t>2025-08-03</t>
        </is>
      </c>
      <c r="D759" s="12" t="inlineStr">
        <is>
          <t>CUST-3058</t>
        </is>
      </c>
      <c r="E759" s="12" t="inlineStr">
        <is>
          <t>Aditi Sen</t>
        </is>
      </c>
      <c r="F759" s="12" t="inlineStr">
        <is>
          <t>Small Business</t>
        </is>
      </c>
      <c r="G759" s="12" t="inlineStr">
        <is>
          <t>South</t>
        </is>
      </c>
      <c r="H759" s="12" t="inlineStr">
        <is>
          <t>Kerala</t>
        </is>
      </c>
      <c r="I759" s="12" t="inlineStr">
        <is>
          <t>Kochi</t>
        </is>
      </c>
      <c r="J759" s="12" t="inlineStr">
        <is>
          <t>Furniture</t>
        </is>
      </c>
      <c r="K759" s="12" t="inlineStr">
        <is>
          <t>Bookcases</t>
        </is>
      </c>
      <c r="L759" s="12" t="inlineStr">
        <is>
          <t>Classic Bookcases 310</t>
        </is>
      </c>
      <c r="M759" s="12" t="inlineStr">
        <is>
          <t>Standard Class</t>
        </is>
      </c>
      <c r="N759" s="12" t="n">
        <v>3</v>
      </c>
      <c r="O759" s="12" t="n">
        <v>1904.78</v>
      </c>
      <c r="P759" s="12" t="n">
        <v>0.25</v>
      </c>
      <c r="Q759" s="12" t="n">
        <v>4285.76</v>
      </c>
      <c r="R759" s="12" t="n">
        <v>2386.33</v>
      </c>
      <c r="S759" s="12" t="n">
        <v>1899.43</v>
      </c>
      <c r="T759" s="12" t="inlineStr">
        <is>
          <t>Failed</t>
        </is>
      </c>
      <c r="U759" s="12" t="inlineStr">
        <is>
          <t>Cancelled</t>
        </is>
      </c>
      <c r="V759">
        <f>IF(OR(P759="",P759&lt;0,P759&gt;0.5),0,P759)</f>
        <v/>
      </c>
      <c r="W759">
        <f>N759*O759*(1-V759)</f>
        <v/>
      </c>
      <c r="X759">
        <f>W759-R759</f>
        <v/>
      </c>
      <c r="Y759">
        <f>IF(W759=0,0,X759/W759)</f>
        <v/>
      </c>
      <c r="Z759">
        <f>C759-B759</f>
        <v/>
      </c>
      <c r="AA759">
        <f>TEXT(B759,"mmmm")</f>
        <v/>
      </c>
      <c r="AB759">
        <f>YEAR(B759)</f>
        <v/>
      </c>
      <c r="AC759">
        <f>IF(OR(P759&lt;0,P759&gt;0.5,C759&lt;B759),"INVALID","CLEAN")</f>
        <v/>
      </c>
    </row>
    <row r="760">
      <c r="A760" s="12" t="inlineStr">
        <is>
          <t>ORD-2024-10759</t>
        </is>
      </c>
      <c r="B760" s="12" t="inlineStr">
        <is>
          <t>02 May 2024</t>
        </is>
      </c>
      <c r="C760" s="12" t="inlineStr">
        <is>
          <t>10 May 2024</t>
        </is>
      </c>
      <c r="D760" s="12" t="inlineStr">
        <is>
          <t>CUST-6076</t>
        </is>
      </c>
      <c r="E760" s="12" t="inlineStr">
        <is>
          <t>Aarav Sharma</t>
        </is>
      </c>
      <c r="F760" s="12" t="inlineStr">
        <is>
          <t>Small Business</t>
        </is>
      </c>
      <c r="G760" s="12" t="inlineStr">
        <is>
          <t>South</t>
        </is>
      </c>
      <c r="H760" s="12" t="inlineStr">
        <is>
          <t>Karnataka</t>
        </is>
      </c>
      <c r="I760" s="12" t="inlineStr">
        <is>
          <t>Bengaluru</t>
        </is>
      </c>
      <c r="J760" s="12" t="inlineStr">
        <is>
          <t>Furniture</t>
        </is>
      </c>
      <c r="K760" s="12" t="inlineStr">
        <is>
          <t>Chairs</t>
        </is>
      </c>
      <c r="L760" s="12" t="inlineStr">
        <is>
          <t>Prime Chairs 721</t>
        </is>
      </c>
      <c r="M760" s="12" t="inlineStr">
        <is>
          <t>Standard Class</t>
        </is>
      </c>
      <c r="N760" s="12" t="n">
        <v>1</v>
      </c>
      <c r="O760" s="12" t="n">
        <v>4166.91</v>
      </c>
      <c r="P760" s="12" t="n">
        <v>0</v>
      </c>
      <c r="Q760" s="12" t="n">
        <v>4166.91</v>
      </c>
      <c r="R760" s="12" t="n">
        <v>3412.63</v>
      </c>
      <c r="S760" s="12" t="n">
        <v>754.28</v>
      </c>
      <c r="T760" s="12" t="inlineStr">
        <is>
          <t>Paid</t>
        </is>
      </c>
      <c r="U760" s="12" t="inlineStr">
        <is>
          <t>Completed</t>
        </is>
      </c>
      <c r="V760">
        <f>IF(OR(P760="",P760&lt;0,P760&gt;0.5),0,P760)</f>
        <v/>
      </c>
      <c r="W760">
        <f>N760*O760*(1-V760)</f>
        <v/>
      </c>
      <c r="X760">
        <f>W760-R760</f>
        <v/>
      </c>
      <c r="Y760">
        <f>IF(W760=0,0,X760/W760)</f>
        <v/>
      </c>
      <c r="Z760">
        <f>C760-B760</f>
        <v/>
      </c>
      <c r="AA760">
        <f>TEXT(B760,"mmmm")</f>
        <v/>
      </c>
      <c r="AB760">
        <f>YEAR(B760)</f>
        <v/>
      </c>
      <c r="AC760">
        <f>IF(OR(P760&lt;0,P760&gt;0.5,C760&lt;B760),"INVALID","CLEAN")</f>
        <v/>
      </c>
    </row>
    <row r="761">
      <c r="A761" s="12" t="inlineStr">
        <is>
          <t>ORD-2024-10760</t>
        </is>
      </c>
      <c r="B761" s="12" t="inlineStr">
        <is>
          <t>2024-07-19</t>
        </is>
      </c>
      <c r="C761" s="12" t="inlineStr">
        <is>
          <t>26-07-2024</t>
        </is>
      </c>
      <c r="D761" s="12" t="inlineStr">
        <is>
          <t>CUST-2098</t>
        </is>
      </c>
      <c r="E761" s="12" t="inlineStr">
        <is>
          <t>Arjun Bose</t>
        </is>
      </c>
      <c r="F761" s="12" t="inlineStr">
        <is>
          <t>Home Office</t>
        </is>
      </c>
      <c r="G761" s="12" t="inlineStr">
        <is>
          <t xml:space="preserve">  South </t>
        </is>
      </c>
      <c r="H761" s="12" t="inlineStr">
        <is>
          <t>Karnataka</t>
        </is>
      </c>
      <c r="I761" s="12" t="inlineStr">
        <is>
          <t>Bengaluru</t>
        </is>
      </c>
      <c r="J761" s="12" t="inlineStr">
        <is>
          <t>Furniture</t>
        </is>
      </c>
      <c r="K761" s="12" t="inlineStr">
        <is>
          <t>Tables</t>
        </is>
      </c>
      <c r="L761" s="12" t="inlineStr">
        <is>
          <t>Prime Tables 797</t>
        </is>
      </c>
      <c r="M761" s="12" t="inlineStr">
        <is>
          <t>Second Class</t>
        </is>
      </c>
      <c r="N761" s="12" t="n">
        <v>5</v>
      </c>
      <c r="O761" s="12" t="n">
        <v>3986.01</v>
      </c>
      <c r="P761" s="12" t="n">
        <v>0.25</v>
      </c>
      <c r="Q761" s="12" t="n">
        <v>14947.54</v>
      </c>
      <c r="R761" s="12" t="n">
        <v>9438.459999999999</v>
      </c>
      <c r="S761" s="12" t="n">
        <v>5509.08</v>
      </c>
      <c r="T761" s="12" t="inlineStr">
        <is>
          <t>Paid</t>
        </is>
      </c>
      <c r="U761" s="12" t="inlineStr">
        <is>
          <t>Completed</t>
        </is>
      </c>
      <c r="V761">
        <f>IF(OR(P761="",P761&lt;0,P761&gt;0.5),0,P761)</f>
        <v/>
      </c>
      <c r="W761">
        <f>N761*O761*(1-V761)</f>
        <v/>
      </c>
      <c r="X761">
        <f>W761-R761</f>
        <v/>
      </c>
      <c r="Y761">
        <f>IF(W761=0,0,X761/W761)</f>
        <v/>
      </c>
      <c r="Z761">
        <f>C761-B761</f>
        <v/>
      </c>
      <c r="AA761">
        <f>TEXT(B761,"mmmm")</f>
        <v/>
      </c>
      <c r="AB761">
        <f>YEAR(B761)</f>
        <v/>
      </c>
      <c r="AC761">
        <f>IF(OR(P761&lt;0,P761&gt;0.5,C761&lt;B761),"INVALID","CLEAN")</f>
        <v/>
      </c>
    </row>
    <row r="762">
      <c r="A762" s="12" t="inlineStr">
        <is>
          <t>ORD-2024-10761</t>
        </is>
      </c>
      <c r="B762" s="12" t="inlineStr">
        <is>
          <t>28-08-2024</t>
        </is>
      </c>
      <c r="C762" s="12" t="inlineStr">
        <is>
          <t>02 Sep 2024</t>
        </is>
      </c>
      <c r="D762" s="12" t="inlineStr">
        <is>
          <t>CUST-7193</t>
        </is>
      </c>
      <c r="E762" s="12" t="inlineStr">
        <is>
          <t>Aditi Sen</t>
        </is>
      </c>
      <c r="F762" s="12" t="inlineStr">
        <is>
          <t>Home Office</t>
        </is>
      </c>
      <c r="G762" s="12" t="inlineStr">
        <is>
          <t>East</t>
        </is>
      </c>
      <c r="H762" s="12" t="inlineStr">
        <is>
          <t>Assam</t>
        </is>
      </c>
      <c r="I762" s="12" t="inlineStr">
        <is>
          <t>Guwahati</t>
        </is>
      </c>
      <c r="J762" s="12" t="inlineStr">
        <is>
          <t>Office Supplies</t>
        </is>
      </c>
      <c r="K762" s="12" t="inlineStr">
        <is>
          <t>Art</t>
        </is>
      </c>
      <c r="L762" s="12" t="inlineStr">
        <is>
          <t>Max Art 926</t>
        </is>
      </c>
      <c r="M762" s="12" t="inlineStr">
        <is>
          <t>Second Class</t>
        </is>
      </c>
      <c r="N762" s="12" t="n">
        <v>4</v>
      </c>
      <c r="O762" s="12" t="n">
        <v>3365.53</v>
      </c>
      <c r="P762" s="12" t="n">
        <v>0</v>
      </c>
      <c r="Q762" s="12" t="n">
        <v>13462.12</v>
      </c>
      <c r="R762" s="12" t="n">
        <v>7600.63</v>
      </c>
      <c r="S762" s="12" t="n">
        <v>5861.49</v>
      </c>
      <c r="T762" s="12" t="inlineStr">
        <is>
          <t>Pending</t>
        </is>
      </c>
      <c r="U762" s="12" t="inlineStr">
        <is>
          <t>Returned</t>
        </is>
      </c>
      <c r="V762">
        <f>IF(OR(P762="",P762&lt;0,P762&gt;0.5),0,P762)</f>
        <v/>
      </c>
      <c r="W762">
        <f>N762*O762*(1-V762)</f>
        <v/>
      </c>
      <c r="X762">
        <f>W762-R762</f>
        <v/>
      </c>
      <c r="Y762">
        <f>IF(W762=0,0,X762/W762)</f>
        <v/>
      </c>
      <c r="Z762">
        <f>C762-B762</f>
        <v/>
      </c>
      <c r="AA762">
        <f>TEXT(B762,"mmmm")</f>
        <v/>
      </c>
      <c r="AB762">
        <f>YEAR(B762)</f>
        <v/>
      </c>
      <c r="AC762">
        <f>IF(OR(P762&lt;0,P762&gt;0.5,C762&lt;B762),"INVALID","CLEAN")</f>
        <v/>
      </c>
    </row>
    <row r="763">
      <c r="A763" s="12" t="inlineStr">
        <is>
          <t>ORD-2025-10762</t>
        </is>
      </c>
      <c r="B763" s="12" t="inlineStr">
        <is>
          <t>27 Aug 2025</t>
        </is>
      </c>
      <c r="C763" s="12" t="inlineStr">
        <is>
          <t>08/31/2025</t>
        </is>
      </c>
      <c r="D763" s="12" t="inlineStr">
        <is>
          <t>CUST-8948</t>
        </is>
      </c>
      <c r="E763" s="12" t="inlineStr">
        <is>
          <t>Isha Nair</t>
        </is>
      </c>
      <c r="F763" s="12" t="inlineStr">
        <is>
          <t>Consumer</t>
        </is>
      </c>
      <c r="G763" s="12" t="inlineStr">
        <is>
          <t>South</t>
        </is>
      </c>
      <c r="H763" s="12" t="inlineStr">
        <is>
          <t>Karnataka</t>
        </is>
      </c>
      <c r="I763" s="12" t="inlineStr">
        <is>
          <t>Bengaluru</t>
        </is>
      </c>
      <c r="J763" s="12" t="inlineStr">
        <is>
          <t>Technology</t>
        </is>
      </c>
      <c r="K763" s="12" t="inlineStr">
        <is>
          <t>Machines</t>
        </is>
      </c>
      <c r="L763" s="12" t="inlineStr">
        <is>
          <t>Max Machines 364</t>
        </is>
      </c>
      <c r="M763" s="12" t="inlineStr">
        <is>
          <t>First Class</t>
        </is>
      </c>
      <c r="N763" s="12" t="n">
        <v>3</v>
      </c>
      <c r="O763" s="12" t="n">
        <v>2489.12</v>
      </c>
      <c r="P763" s="12" t="n">
        <v>0</v>
      </c>
      <c r="Q763" s="12" t="n">
        <v>7467.36</v>
      </c>
      <c r="R763" s="12" t="n">
        <v>5010.61</v>
      </c>
      <c r="S763" s="12" t="n">
        <v>2456.75</v>
      </c>
      <c r="T763" s="12" t="inlineStr">
        <is>
          <t>Paid</t>
        </is>
      </c>
      <c r="U763" s="12" t="inlineStr">
        <is>
          <t>Completed</t>
        </is>
      </c>
      <c r="V763">
        <f>IF(OR(P763="",P763&lt;0,P763&gt;0.5),0,P763)</f>
        <v/>
      </c>
      <c r="W763">
        <f>N763*O763*(1-V763)</f>
        <v/>
      </c>
      <c r="X763">
        <f>W763-R763</f>
        <v/>
      </c>
      <c r="Y763">
        <f>IF(W763=0,0,X763/W763)</f>
        <v/>
      </c>
      <c r="Z763">
        <f>C763-B763</f>
        <v/>
      </c>
      <c r="AA763">
        <f>TEXT(B763,"mmmm")</f>
        <v/>
      </c>
      <c r="AB763">
        <f>YEAR(B763)</f>
        <v/>
      </c>
      <c r="AC763">
        <f>IF(OR(P763&lt;0,P763&gt;0.5,C763&lt;B763),"INVALID","CLEAN")</f>
        <v/>
      </c>
    </row>
    <row r="764">
      <c r="A764" s="12" t="inlineStr">
        <is>
          <t>ORD-2024-10763</t>
        </is>
      </c>
      <c r="B764" s="12" t="inlineStr">
        <is>
          <t>01/01/2024</t>
        </is>
      </c>
      <c r="C764" s="12" t="inlineStr">
        <is>
          <t>05 Jan 2024</t>
        </is>
      </c>
      <c r="D764" s="12" t="inlineStr">
        <is>
          <t>CUST-6921</t>
        </is>
      </c>
      <c r="E764" s="12" t="inlineStr">
        <is>
          <t>Diya Patel</t>
        </is>
      </c>
      <c r="F764" s="12" t="inlineStr">
        <is>
          <t>Corporate</t>
        </is>
      </c>
      <c r="G764" s="12" t="inlineStr">
        <is>
          <t>West</t>
        </is>
      </c>
      <c r="H764" s="12" t="inlineStr">
        <is>
          <t>Madhya Pradesh</t>
        </is>
      </c>
      <c r="I764" s="12" t="inlineStr">
        <is>
          <t>Indore</t>
        </is>
      </c>
      <c r="J764" s="12" t="inlineStr">
        <is>
          <t>Technology</t>
        </is>
      </c>
      <c r="K764" s="12" t="inlineStr">
        <is>
          <t>Machines</t>
        </is>
      </c>
      <c r="L764" s="12" t="inlineStr">
        <is>
          <t>Classic Machines 122</t>
        </is>
      </c>
      <c r="M764" s="12" t="inlineStr">
        <is>
          <t>Second Class</t>
        </is>
      </c>
      <c r="N764" s="12" t="n">
        <v>2</v>
      </c>
      <c r="O764" s="12" t="n">
        <v>3694.12</v>
      </c>
      <c r="P764" s="12" t="n">
        <v>0.2</v>
      </c>
      <c r="Q764" s="12" t="n">
        <v>5910.59</v>
      </c>
      <c r="R764" s="12" t="n">
        <v>4775.44</v>
      </c>
      <c r="S764" s="12" t="n">
        <v>1135.15</v>
      </c>
      <c r="T764" s="12" t="inlineStr">
        <is>
          <t>Refunded</t>
        </is>
      </c>
      <c r="U764" s="12" t="inlineStr">
        <is>
          <t>Returned</t>
        </is>
      </c>
      <c r="V764">
        <f>IF(OR(P764="",P764&lt;0,P764&gt;0.5),0,P764)</f>
        <v/>
      </c>
      <c r="W764">
        <f>N764*O764*(1-V764)</f>
        <v/>
      </c>
      <c r="X764">
        <f>W764-R764</f>
        <v/>
      </c>
      <c r="Y764">
        <f>IF(W764=0,0,X764/W764)</f>
        <v/>
      </c>
      <c r="Z764">
        <f>C764-B764</f>
        <v/>
      </c>
      <c r="AA764">
        <f>TEXT(B764,"mmmm")</f>
        <v/>
      </c>
      <c r="AB764">
        <f>YEAR(B764)</f>
        <v/>
      </c>
      <c r="AC764">
        <f>IF(OR(P764&lt;0,P764&gt;0.5,C764&lt;B764),"INVALID","CLEAN")</f>
        <v/>
      </c>
    </row>
    <row r="765">
      <c r="A765" s="12" t="inlineStr">
        <is>
          <t>ORD-2025-10764</t>
        </is>
      </c>
      <c r="B765" s="12" t="inlineStr">
        <is>
          <t>23 Aug 2025</t>
        </is>
      </c>
      <c r="C765" s="12" t="inlineStr">
        <is>
          <t>2025-08-25</t>
        </is>
      </c>
      <c r="D765" s="12" t="inlineStr">
        <is>
          <t>CUST-4086</t>
        </is>
      </c>
      <c r="E765" s="12" t="inlineStr">
        <is>
          <t>Diya Patel</t>
        </is>
      </c>
      <c r="F765" s="12" t="inlineStr">
        <is>
          <t>Consumer</t>
        </is>
      </c>
      <c r="G765" s="12" t="inlineStr">
        <is>
          <t>North</t>
        </is>
      </c>
      <c r="H765" s="12" t="inlineStr">
        <is>
          <t>Rajasthan</t>
        </is>
      </c>
      <c r="I765" s="12" t="inlineStr">
        <is>
          <t>Jaipur</t>
        </is>
      </c>
      <c r="J765" s="12" t="inlineStr">
        <is>
          <t>Furniture</t>
        </is>
      </c>
      <c r="K765" s="12" t="inlineStr">
        <is>
          <t>Furnishings</t>
        </is>
      </c>
      <c r="L765" s="12" t="inlineStr">
        <is>
          <t>Elite Furnishings 169</t>
        </is>
      </c>
      <c r="M765" s="12" t="inlineStr">
        <is>
          <t>Same Day</t>
        </is>
      </c>
      <c r="N765" s="12" t="n">
        <v>6</v>
      </c>
      <c r="O765" s="12" t="n">
        <v>2742.48</v>
      </c>
      <c r="P765" s="12" t="n">
        <v>0</v>
      </c>
      <c r="Q765" s="12" t="n">
        <v>16454.88</v>
      </c>
      <c r="R765" s="12" t="n">
        <v>12081.54</v>
      </c>
      <c r="S765" s="12" t="n">
        <v>4373.34</v>
      </c>
      <c r="T765" s="12" t="inlineStr">
        <is>
          <t>Paid</t>
        </is>
      </c>
      <c r="U765" s="12" t="inlineStr">
        <is>
          <t>Completed</t>
        </is>
      </c>
      <c r="V765">
        <f>IF(OR(P765="",P765&lt;0,P765&gt;0.5),0,P765)</f>
        <v/>
      </c>
      <c r="W765">
        <f>N765*O765*(1-V765)</f>
        <v/>
      </c>
      <c r="X765">
        <f>W765-R765</f>
        <v/>
      </c>
      <c r="Y765">
        <f>IF(W765=0,0,X765/W765)</f>
        <v/>
      </c>
      <c r="Z765">
        <f>C765-B765</f>
        <v/>
      </c>
      <c r="AA765">
        <f>TEXT(B765,"mmmm")</f>
        <v/>
      </c>
      <c r="AB765">
        <f>YEAR(B765)</f>
        <v/>
      </c>
      <c r="AC765">
        <f>IF(OR(P765&lt;0,P765&gt;0.5,C765&lt;B765),"INVALID","CLEAN")</f>
        <v/>
      </c>
    </row>
    <row r="766">
      <c r="A766" s="12" t="inlineStr">
        <is>
          <t>ORD-2025-10765</t>
        </is>
      </c>
      <c r="B766" s="12" t="inlineStr">
        <is>
          <t>2025-04-13</t>
        </is>
      </c>
      <c r="C766" s="12" t="inlineStr">
        <is>
          <t>13-04-2025</t>
        </is>
      </c>
      <c r="D766" s="12" t="inlineStr">
        <is>
          <t>CUST-5174</t>
        </is>
      </c>
      <c r="E766" s="12" t="inlineStr">
        <is>
          <t>Priya Menon</t>
        </is>
      </c>
      <c r="F766" s="12" t="inlineStr">
        <is>
          <t>Corporate</t>
        </is>
      </c>
      <c r="G766" s="12" t="inlineStr">
        <is>
          <t>South</t>
        </is>
      </c>
      <c r="H766" s="12" t="inlineStr">
        <is>
          <t>Kerala</t>
        </is>
      </c>
      <c r="I766" s="12" t="inlineStr">
        <is>
          <t>Kochi</t>
        </is>
      </c>
      <c r="J766" s="12" t="inlineStr">
        <is>
          <t>Furniture</t>
        </is>
      </c>
      <c r="K766" s="12" t="inlineStr">
        <is>
          <t>Bookcases</t>
        </is>
      </c>
      <c r="L766" s="12" t="inlineStr">
        <is>
          <t>Pro Bookcases 615</t>
        </is>
      </c>
      <c r="M766" s="12" t="inlineStr">
        <is>
          <t>First Class</t>
        </is>
      </c>
      <c r="N766" s="12" t="n">
        <v>6</v>
      </c>
      <c r="O766" s="12" t="n">
        <v>4414</v>
      </c>
      <c r="P766" s="12" t="n">
        <v>0.05</v>
      </c>
      <c r="Q766" s="12" t="n">
        <v>25159.8</v>
      </c>
      <c r="R766" s="12" t="n">
        <v>21606.83</v>
      </c>
      <c r="S766" s="12" t="n">
        <v>3552.97</v>
      </c>
      <c r="T766" s="12" t="inlineStr">
        <is>
          <t>Paid</t>
        </is>
      </c>
      <c r="U766" s="12" t="inlineStr">
        <is>
          <t>Completed</t>
        </is>
      </c>
      <c r="V766">
        <f>IF(OR(P766="",P766&lt;0,P766&gt;0.5),0,P766)</f>
        <v/>
      </c>
      <c r="W766">
        <f>N766*O766*(1-V766)</f>
        <v/>
      </c>
      <c r="X766">
        <f>W766-R766</f>
        <v/>
      </c>
      <c r="Y766">
        <f>IF(W766=0,0,X766/W766)</f>
        <v/>
      </c>
      <c r="Z766">
        <f>C766-B766</f>
        <v/>
      </c>
      <c r="AA766">
        <f>TEXT(B766,"mmmm")</f>
        <v/>
      </c>
      <c r="AB766">
        <f>YEAR(B766)</f>
        <v/>
      </c>
      <c r="AC766">
        <f>IF(OR(P766&lt;0,P766&gt;0.5,C766&lt;B766),"INVALID","CLEAN")</f>
        <v/>
      </c>
    </row>
    <row r="767">
      <c r="A767" s="12" t="inlineStr">
        <is>
          <t>ORD-2025-10766</t>
        </is>
      </c>
      <c r="B767" s="12" t="inlineStr">
        <is>
          <t>29-06-2025</t>
        </is>
      </c>
      <c r="C767" s="12" t="inlineStr">
        <is>
          <t>2025-07-03</t>
        </is>
      </c>
      <c r="D767" s="12" t="inlineStr">
        <is>
          <t>CUST-8747</t>
        </is>
      </c>
      <c r="E767" s="12" t="inlineStr">
        <is>
          <t>Vikram Iyer</t>
        </is>
      </c>
      <c r="F767" s="12" t="inlineStr">
        <is>
          <t>Corporate</t>
        </is>
      </c>
      <c r="G767" s="12" t="inlineStr">
        <is>
          <t>East</t>
        </is>
      </c>
      <c r="H767" s="12" t="inlineStr">
        <is>
          <t>Jharkhand</t>
        </is>
      </c>
      <c r="I767" s="12" t="inlineStr">
        <is>
          <t>Ranchi</t>
        </is>
      </c>
      <c r="J767" s="12" t="inlineStr">
        <is>
          <t>Office Supplies</t>
        </is>
      </c>
      <c r="K767" s="12" t="inlineStr">
        <is>
          <t>Labels</t>
        </is>
      </c>
      <c r="L767" s="12" t="inlineStr">
        <is>
          <t>Max Labels 136</t>
        </is>
      </c>
      <c r="M767" s="12" t="inlineStr">
        <is>
          <t>First Class</t>
        </is>
      </c>
      <c r="N767" s="12" t="n">
        <v>3</v>
      </c>
      <c r="O767" s="12" t="n">
        <v>608.14</v>
      </c>
      <c r="P767" s="12" t="n">
        <v>0</v>
      </c>
      <c r="Q767" s="12" t="n">
        <v>1824.42</v>
      </c>
      <c r="R767" s="12" t="n">
        <v>1214.87</v>
      </c>
      <c r="S767" s="12" t="n">
        <v>609.55</v>
      </c>
      <c r="T767" s="12" t="inlineStr">
        <is>
          <t>Paid</t>
        </is>
      </c>
      <c r="U767" s="12" t="inlineStr">
        <is>
          <t>Completed</t>
        </is>
      </c>
      <c r="V767">
        <f>IF(OR(P767="",P767&lt;0,P767&gt;0.5),0,P767)</f>
        <v/>
      </c>
      <c r="W767">
        <f>N767*O767*(1-V767)</f>
        <v/>
      </c>
      <c r="X767">
        <f>W767-R767</f>
        <v/>
      </c>
      <c r="Y767">
        <f>IF(W767=0,0,X767/W767)</f>
        <v/>
      </c>
      <c r="Z767">
        <f>C767-B767</f>
        <v/>
      </c>
      <c r="AA767">
        <f>TEXT(B767,"mmmm")</f>
        <v/>
      </c>
      <c r="AB767">
        <f>YEAR(B767)</f>
        <v/>
      </c>
      <c r="AC767">
        <f>IF(OR(P767&lt;0,P767&gt;0.5,C767&lt;B767),"INVALID","CLEAN")</f>
        <v/>
      </c>
    </row>
    <row r="768">
      <c r="A768" s="12" t="inlineStr">
        <is>
          <t>ORD-2024-10767</t>
        </is>
      </c>
      <c r="B768" s="12" t="inlineStr">
        <is>
          <t>17 Sep 2024</t>
        </is>
      </c>
      <c r="C768" s="12" t="inlineStr">
        <is>
          <t>24 Sep 2024</t>
        </is>
      </c>
      <c r="D768" s="12" t="inlineStr">
        <is>
          <t>CUST-3156</t>
        </is>
      </c>
      <c r="E768" s="12" t="inlineStr">
        <is>
          <t>Mira Das</t>
        </is>
      </c>
      <c r="F768" s="12" t="inlineStr">
        <is>
          <t>Corporate</t>
        </is>
      </c>
      <c r="G768" s="12" t="inlineStr">
        <is>
          <t>West</t>
        </is>
      </c>
      <c r="H768" s="12" t="inlineStr">
        <is>
          <t>Gujarat</t>
        </is>
      </c>
      <c r="I768" s="12" t="inlineStr">
        <is>
          <t>Ahmedabad</t>
        </is>
      </c>
      <c r="J768" s="12" t="inlineStr">
        <is>
          <t>Office Supplies</t>
        </is>
      </c>
      <c r="K768" s="12" t="inlineStr">
        <is>
          <t>Art</t>
        </is>
      </c>
      <c r="L768" s="12" t="inlineStr">
        <is>
          <t>Prime Art 380</t>
        </is>
      </c>
      <c r="M768" s="12" t="inlineStr">
        <is>
          <t>Second Class</t>
        </is>
      </c>
      <c r="N768" s="12" t="n">
        <v>9</v>
      </c>
      <c r="O768" s="12" t="n">
        <v>2307.96</v>
      </c>
      <c r="P768" s="12" t="n">
        <v>0.2</v>
      </c>
      <c r="Q768" s="12" t="n">
        <v>16617.31</v>
      </c>
      <c r="R768" s="12" t="n">
        <v>9195.73</v>
      </c>
      <c r="S768" s="12" t="n">
        <v>7421.58</v>
      </c>
      <c r="T768" s="12" t="inlineStr">
        <is>
          <t>Paid</t>
        </is>
      </c>
      <c r="U768" s="12" t="inlineStr">
        <is>
          <t>Cancelled</t>
        </is>
      </c>
      <c r="V768">
        <f>IF(OR(P768="",P768&lt;0,P768&gt;0.5),0,P768)</f>
        <v/>
      </c>
      <c r="W768">
        <f>N768*O768*(1-V768)</f>
        <v/>
      </c>
      <c r="X768">
        <f>W768-R768</f>
        <v/>
      </c>
      <c r="Y768">
        <f>IF(W768=0,0,X768/W768)</f>
        <v/>
      </c>
      <c r="Z768">
        <f>C768-B768</f>
        <v/>
      </c>
      <c r="AA768">
        <f>TEXT(B768,"mmmm")</f>
        <v/>
      </c>
      <c r="AB768">
        <f>YEAR(B768)</f>
        <v/>
      </c>
      <c r="AC768">
        <f>IF(OR(P768&lt;0,P768&gt;0.5,C768&lt;B768),"INVALID","CLEAN")</f>
        <v/>
      </c>
    </row>
    <row r="769">
      <c r="A769" s="12" t="inlineStr">
        <is>
          <t>ORD-2024-10768</t>
        </is>
      </c>
      <c r="B769" s="12" t="inlineStr">
        <is>
          <t>03 May 2024</t>
        </is>
      </c>
      <c r="C769" s="12" t="inlineStr">
        <is>
          <t>05/06/2024</t>
        </is>
      </c>
      <c r="D769" s="12" t="inlineStr">
        <is>
          <t>CUST-2043</t>
        </is>
      </c>
      <c r="E769" s="12" t="inlineStr">
        <is>
          <t>Ananya Rao</t>
        </is>
      </c>
      <c r="F769" s="12" t="inlineStr">
        <is>
          <t>Home Office</t>
        </is>
      </c>
      <c r="G769" s="12" t="inlineStr">
        <is>
          <t>North</t>
        </is>
      </c>
      <c r="H769" s="12" t="inlineStr">
        <is>
          <t>Uttar Pradesh</t>
        </is>
      </c>
      <c r="I769" s="12" t="inlineStr">
        <is>
          <t>Noida</t>
        </is>
      </c>
      <c r="J769" s="12" t="inlineStr">
        <is>
          <t>OFFICE SUPPLIES</t>
        </is>
      </c>
      <c r="K769" s="12" t="inlineStr">
        <is>
          <t>Binders</t>
        </is>
      </c>
      <c r="L769" s="12" t="inlineStr">
        <is>
          <t>Classic Binders 234</t>
        </is>
      </c>
      <c r="M769" s="12" t="inlineStr">
        <is>
          <t>Standard Class</t>
        </is>
      </c>
      <c r="N769" s="12" t="n">
        <v>1</v>
      </c>
      <c r="O769" s="12" t="n">
        <v>1244.58</v>
      </c>
      <c r="P769" s="12" t="n">
        <v>0.25</v>
      </c>
      <c r="Q769" s="12" t="n">
        <v>933.4299999999999</v>
      </c>
      <c r="R769" s="12" t="n">
        <v>583.09</v>
      </c>
      <c r="S769" s="12" t="n">
        <v>350.34</v>
      </c>
      <c r="T769" s="12" t="inlineStr">
        <is>
          <t>Paid</t>
        </is>
      </c>
      <c r="U769" s="12" t="inlineStr">
        <is>
          <t>Completed</t>
        </is>
      </c>
      <c r="V769">
        <f>IF(OR(P769="",P769&lt;0,P769&gt;0.5),0,P769)</f>
        <v/>
      </c>
      <c r="W769">
        <f>N769*O769*(1-V769)</f>
        <v/>
      </c>
      <c r="X769">
        <f>W769-R769</f>
        <v/>
      </c>
      <c r="Y769">
        <f>IF(W769=0,0,X769/W769)</f>
        <v/>
      </c>
      <c r="Z769">
        <f>C769-B769</f>
        <v/>
      </c>
      <c r="AA769">
        <f>TEXT(B769,"mmmm")</f>
        <v/>
      </c>
      <c r="AB769">
        <f>YEAR(B769)</f>
        <v/>
      </c>
      <c r="AC769">
        <f>IF(OR(P769&lt;0,P769&gt;0.5,C769&lt;B769),"INVALID","CLEAN")</f>
        <v/>
      </c>
    </row>
    <row r="770">
      <c r="A770" s="12" t="inlineStr">
        <is>
          <t>ORD-2025-10769</t>
        </is>
      </c>
      <c r="B770" s="12" t="inlineStr">
        <is>
          <t>2025-04-02</t>
        </is>
      </c>
      <c r="C770" s="12" t="inlineStr">
        <is>
          <t>2025-04-04</t>
        </is>
      </c>
      <c r="D770" s="12" t="inlineStr">
        <is>
          <t>CUST-8808</t>
        </is>
      </c>
      <c r="E770" s="12" t="inlineStr">
        <is>
          <t>Sneha Kapoor</t>
        </is>
      </c>
      <c r="F770" s="12" t="inlineStr">
        <is>
          <t>Home Office</t>
        </is>
      </c>
      <c r="G770" s="12" t="inlineStr">
        <is>
          <t>East</t>
        </is>
      </c>
      <c r="H770" s="12" t="inlineStr">
        <is>
          <t>Jharkhand</t>
        </is>
      </c>
      <c r="I770" s="12" t="inlineStr">
        <is>
          <t>Ranchi</t>
        </is>
      </c>
      <c r="J770" s="12" t="inlineStr">
        <is>
          <t>Office Supplies</t>
        </is>
      </c>
      <c r="K770" s="12" t="inlineStr">
        <is>
          <t>Paper</t>
        </is>
      </c>
      <c r="L770" s="12" t="inlineStr">
        <is>
          <t>Classic Paper 280</t>
        </is>
      </c>
      <c r="M770" s="12" t="inlineStr">
        <is>
          <t>Same Day</t>
        </is>
      </c>
      <c r="N770" s="12" t="n">
        <v>5</v>
      </c>
      <c r="O770" s="12" t="n">
        <v>3234.24</v>
      </c>
      <c r="P770" s="12" t="n">
        <v>0.1</v>
      </c>
      <c r="Q770" s="12" t="n">
        <v>14554.08</v>
      </c>
      <c r="R770" s="12" t="n">
        <v>11166.84</v>
      </c>
      <c r="S770" s="12" t="n">
        <v>3387.24</v>
      </c>
      <c r="T770" s="12" t="inlineStr">
        <is>
          <t>Paid</t>
        </is>
      </c>
      <c r="U770" s="12" t="inlineStr">
        <is>
          <t>Completed</t>
        </is>
      </c>
      <c r="V770">
        <f>IF(OR(P770="",P770&lt;0,P770&gt;0.5),0,P770)</f>
        <v/>
      </c>
      <c r="W770">
        <f>N770*O770*(1-V770)</f>
        <v/>
      </c>
      <c r="X770">
        <f>W770-R770</f>
        <v/>
      </c>
      <c r="Y770">
        <f>IF(W770=0,0,X770/W770)</f>
        <v/>
      </c>
      <c r="Z770">
        <f>C770-B770</f>
        <v/>
      </c>
      <c r="AA770">
        <f>TEXT(B770,"mmmm")</f>
        <v/>
      </c>
      <c r="AB770">
        <f>YEAR(B770)</f>
        <v/>
      </c>
      <c r="AC770">
        <f>IF(OR(P770&lt;0,P770&gt;0.5,C770&lt;B770),"INVALID","CLEAN")</f>
        <v/>
      </c>
    </row>
    <row r="771">
      <c r="A771" s="12" t="inlineStr">
        <is>
          <t>ORD-2024-10770</t>
        </is>
      </c>
      <c r="B771" s="12" t="inlineStr">
        <is>
          <t>05/11/2024</t>
        </is>
      </c>
      <c r="C771" s="12" t="inlineStr">
        <is>
          <t>13 May 2024</t>
        </is>
      </c>
      <c r="D771" s="12" t="inlineStr">
        <is>
          <t>CUST-1293</t>
        </is>
      </c>
      <c r="E771" s="12" t="inlineStr">
        <is>
          <t>Priya Menon</t>
        </is>
      </c>
      <c r="F771" s="12" t="inlineStr">
        <is>
          <t>Home Office</t>
        </is>
      </c>
      <c r="G771" s="12" t="inlineStr">
        <is>
          <t>West</t>
        </is>
      </c>
      <c r="H771" s="12" t="inlineStr">
        <is>
          <t>Goa</t>
        </is>
      </c>
      <c r="I771" s="12" t="inlineStr">
        <is>
          <t>Panaji</t>
        </is>
      </c>
      <c r="J771" s="12" t="inlineStr">
        <is>
          <t>Furniture</t>
        </is>
      </c>
      <c r="K771" s="12" t="inlineStr">
        <is>
          <t>Bookcases</t>
        </is>
      </c>
      <c r="L771" s="12" t="inlineStr">
        <is>
          <t>Classic Bookcases 922</t>
        </is>
      </c>
      <c r="M771" s="12" t="inlineStr">
        <is>
          <t>Same Day</t>
        </is>
      </c>
      <c r="N771" s="12" t="n">
        <v>3</v>
      </c>
      <c r="O771" s="12" t="n">
        <v>3612.75</v>
      </c>
      <c r="P771" s="12" t="n">
        <v>0.25</v>
      </c>
      <c r="Q771" s="12" t="n">
        <v>8128.69</v>
      </c>
      <c r="R771" s="12" t="n">
        <v>5071.66</v>
      </c>
      <c r="S771" s="12" t="n">
        <v>3057.03</v>
      </c>
      <c r="T771" s="12" t="inlineStr">
        <is>
          <t>Paid</t>
        </is>
      </c>
      <c r="U771" s="12" t="inlineStr">
        <is>
          <t>Completed</t>
        </is>
      </c>
      <c r="V771">
        <f>IF(OR(P771="",P771&lt;0,P771&gt;0.5),0,P771)</f>
        <v/>
      </c>
      <c r="W771">
        <f>N771*O771*(1-V771)</f>
        <v/>
      </c>
      <c r="X771">
        <f>W771-R771</f>
        <v/>
      </c>
      <c r="Y771">
        <f>IF(W771=0,0,X771/W771)</f>
        <v/>
      </c>
      <c r="Z771">
        <f>C771-B771</f>
        <v/>
      </c>
      <c r="AA771">
        <f>TEXT(B771,"mmmm")</f>
        <v/>
      </c>
      <c r="AB771">
        <f>YEAR(B771)</f>
        <v/>
      </c>
      <c r="AC771">
        <f>IF(OR(P771&lt;0,P771&gt;0.5,C771&lt;B771),"INVALID","CLEAN")</f>
        <v/>
      </c>
    </row>
    <row r="772">
      <c r="A772" s="12" t="inlineStr">
        <is>
          <t>ORD-2024-10771</t>
        </is>
      </c>
      <c r="B772" s="12" t="inlineStr">
        <is>
          <t>02/15/2024</t>
        </is>
      </c>
      <c r="C772" s="12" t="inlineStr">
        <is>
          <t>17-02-2024</t>
        </is>
      </c>
      <c r="D772" s="12" t="inlineStr">
        <is>
          <t>CUST-8384</t>
        </is>
      </c>
      <c r="E772" s="12" t="inlineStr">
        <is>
          <t>Neha Gupta</t>
        </is>
      </c>
      <c r="F772" s="12" t="inlineStr">
        <is>
          <t>Consumer</t>
        </is>
      </c>
      <c r="G772" s="12" t="inlineStr">
        <is>
          <t>North</t>
        </is>
      </c>
      <c r="H772" s="12" t="inlineStr">
        <is>
          <t>Uttar Pradesh</t>
        </is>
      </c>
      <c r="I772" s="12" t="inlineStr">
        <is>
          <t>Noida</t>
        </is>
      </c>
      <c r="J772" s="12" t="inlineStr">
        <is>
          <t>Technology</t>
        </is>
      </c>
      <c r="K772" s="12" t="inlineStr">
        <is>
          <t>Copiers</t>
        </is>
      </c>
      <c r="L772" s="12" t="inlineStr">
        <is>
          <t>Eco Copiers 396</t>
        </is>
      </c>
      <c r="M772" s="12" t="inlineStr">
        <is>
          <t>First Class</t>
        </is>
      </c>
      <c r="N772" s="12" t="n">
        <v>4</v>
      </c>
      <c r="O772" s="12" t="n">
        <v>863</v>
      </c>
      <c r="P772" s="12" t="n"/>
      <c r="Q772" s="12" t="n">
        <v>3106.8</v>
      </c>
      <c r="R772" s="12" t="n">
        <v>2376.62</v>
      </c>
      <c r="S772" s="12" t="n">
        <v>730.1799999999999</v>
      </c>
      <c r="T772" s="12" t="inlineStr">
        <is>
          <t>Paid</t>
        </is>
      </c>
      <c r="U772" s="12" t="inlineStr">
        <is>
          <t>Completed</t>
        </is>
      </c>
      <c r="V772">
        <f>IF(OR(P772="",P772&lt;0,P772&gt;0.5),0,P772)</f>
        <v/>
      </c>
      <c r="W772">
        <f>N772*O772*(1-V772)</f>
        <v/>
      </c>
      <c r="X772">
        <f>W772-R772</f>
        <v/>
      </c>
      <c r="Y772">
        <f>IF(W772=0,0,X772/W772)</f>
        <v/>
      </c>
      <c r="Z772">
        <f>C772-B772</f>
        <v/>
      </c>
      <c r="AA772">
        <f>TEXT(B772,"mmmm")</f>
        <v/>
      </c>
      <c r="AB772">
        <f>YEAR(B772)</f>
        <v/>
      </c>
      <c r="AC772">
        <f>IF(OR(P772&lt;0,P772&gt;0.5,C772&lt;B772),"INVALID","CLEAN")</f>
        <v/>
      </c>
    </row>
    <row r="773">
      <c r="A773" s="12" t="inlineStr">
        <is>
          <t>ORD-2024-10772</t>
        </is>
      </c>
      <c r="B773" s="12" t="inlineStr">
        <is>
          <t>2024-07-12</t>
        </is>
      </c>
      <c r="C773" s="12" t="inlineStr">
        <is>
          <t>2024-07-14</t>
        </is>
      </c>
      <c r="D773" s="12" t="inlineStr">
        <is>
          <t>CUST-7861</t>
        </is>
      </c>
      <c r="E773" s="12" t="inlineStr">
        <is>
          <t>Ananya Rao</t>
        </is>
      </c>
      <c r="F773" s="12" t="inlineStr">
        <is>
          <t>Consumer</t>
        </is>
      </c>
      <c r="G773" s="12" t="inlineStr">
        <is>
          <t>North</t>
        </is>
      </c>
      <c r="H773" s="12" t="inlineStr">
        <is>
          <t>Haryana</t>
        </is>
      </c>
      <c r="I773" s="12" t="inlineStr">
        <is>
          <t>Gurugram</t>
        </is>
      </c>
      <c r="J773" s="12" t="inlineStr">
        <is>
          <t>Technology</t>
        </is>
      </c>
      <c r="K773" s="12" t="inlineStr">
        <is>
          <t>Machines</t>
        </is>
      </c>
      <c r="L773" s="12" t="inlineStr">
        <is>
          <t>Basic Machines 401</t>
        </is>
      </c>
      <c r="M773" s="12" t="inlineStr">
        <is>
          <t>Second Class</t>
        </is>
      </c>
      <c r="N773" s="12" t="n">
        <v>4</v>
      </c>
      <c r="O773" s="12" t="n">
        <v>2131.41</v>
      </c>
      <c r="P773" s="12" t="n"/>
      <c r="Q773" s="12" t="n">
        <v>6394.23</v>
      </c>
      <c r="R773" s="12" t="n">
        <v>3520.69</v>
      </c>
      <c r="S773" s="12" t="n">
        <v>2873.54</v>
      </c>
      <c r="T773" s="12" t="inlineStr">
        <is>
          <t>Paid</t>
        </is>
      </c>
      <c r="U773" s="12" t="inlineStr">
        <is>
          <t>Completed</t>
        </is>
      </c>
      <c r="V773">
        <f>IF(OR(P773="",P773&lt;0,P773&gt;0.5),0,P773)</f>
        <v/>
      </c>
      <c r="W773">
        <f>N773*O773*(1-V773)</f>
        <v/>
      </c>
      <c r="X773">
        <f>W773-R773</f>
        <v/>
      </c>
      <c r="Y773">
        <f>IF(W773=0,0,X773/W773)</f>
        <v/>
      </c>
      <c r="Z773">
        <f>C773-B773</f>
        <v/>
      </c>
      <c r="AA773">
        <f>TEXT(B773,"mmmm")</f>
        <v/>
      </c>
      <c r="AB773">
        <f>YEAR(B773)</f>
        <v/>
      </c>
      <c r="AC773">
        <f>IF(OR(P773&lt;0,P773&gt;0.5,C773&lt;B773),"INVALID","CLEAN")</f>
        <v/>
      </c>
    </row>
    <row r="774">
      <c r="A774" s="12" t="inlineStr">
        <is>
          <t>ORD-2025-10773</t>
        </is>
      </c>
      <c r="B774" s="12" t="inlineStr">
        <is>
          <t>07/15/2025</t>
        </is>
      </c>
      <c r="C774" s="12" t="inlineStr">
        <is>
          <t>19 Jul 2025</t>
        </is>
      </c>
      <c r="D774" s="12" t="inlineStr">
        <is>
          <t>CUST-8422</t>
        </is>
      </c>
      <c r="E774" s="12" t="inlineStr">
        <is>
          <t>Diya Patel</t>
        </is>
      </c>
      <c r="F774" s="12" t="inlineStr">
        <is>
          <t>Consumer</t>
        </is>
      </c>
      <c r="G774" s="12" t="inlineStr">
        <is>
          <t>South</t>
        </is>
      </c>
      <c r="H774" s="12" t="inlineStr">
        <is>
          <t>Tamil Nadu</t>
        </is>
      </c>
      <c r="I774" s="12" t="inlineStr">
        <is>
          <t>Chennai</t>
        </is>
      </c>
      <c r="J774" s="12" t="inlineStr">
        <is>
          <t>Furniture</t>
        </is>
      </c>
      <c r="K774" s="12" t="inlineStr">
        <is>
          <t>Chairs</t>
        </is>
      </c>
      <c r="L774" s="12" t="inlineStr">
        <is>
          <t>Basic Chairs 279</t>
        </is>
      </c>
      <c r="M774" s="12" t="inlineStr">
        <is>
          <t>Same Day</t>
        </is>
      </c>
      <c r="N774" s="12" t="n">
        <v>1</v>
      </c>
      <c r="O774" s="12" t="n">
        <v>3903.22</v>
      </c>
      <c r="P774" s="12" t="n">
        <v>0.05</v>
      </c>
      <c r="Q774" s="12" t="n">
        <v>3708.06</v>
      </c>
      <c r="R774" s="12" t="n">
        <v>2760.29</v>
      </c>
      <c r="S774" s="12" t="n">
        <v>947.77</v>
      </c>
      <c r="T774" s="12" t="inlineStr">
        <is>
          <t>Pending</t>
        </is>
      </c>
      <c r="U774" s="12" t="inlineStr">
        <is>
          <t>Cancelled</t>
        </is>
      </c>
      <c r="V774">
        <f>IF(OR(P774="",P774&lt;0,P774&gt;0.5),0,P774)</f>
        <v/>
      </c>
      <c r="W774">
        <f>N774*O774*(1-V774)</f>
        <v/>
      </c>
      <c r="X774">
        <f>W774-R774</f>
        <v/>
      </c>
      <c r="Y774">
        <f>IF(W774=0,0,X774/W774)</f>
        <v/>
      </c>
      <c r="Z774">
        <f>C774-B774</f>
        <v/>
      </c>
      <c r="AA774">
        <f>TEXT(B774,"mmmm")</f>
        <v/>
      </c>
      <c r="AB774">
        <f>YEAR(B774)</f>
        <v/>
      </c>
      <c r="AC774">
        <f>IF(OR(P774&lt;0,P774&gt;0.5,C774&lt;B774),"INVALID","CLEAN")</f>
        <v/>
      </c>
    </row>
    <row r="775">
      <c r="A775" s="12" t="inlineStr">
        <is>
          <t>ORD-2025-10774</t>
        </is>
      </c>
      <c r="B775" s="12" t="inlineStr">
        <is>
          <t>2025-02-21</t>
        </is>
      </c>
      <c r="C775" s="12" t="inlineStr">
        <is>
          <t>21 Feb 2025</t>
        </is>
      </c>
      <c r="D775" s="12" t="inlineStr">
        <is>
          <t>CUST-4766</t>
        </is>
      </c>
      <c r="E775" s="12" t="inlineStr">
        <is>
          <t>Karan Malhotra</t>
        </is>
      </c>
      <c r="F775" s="12" t="inlineStr">
        <is>
          <t>Home Office</t>
        </is>
      </c>
      <c r="G775" s="12" t="inlineStr">
        <is>
          <t>West</t>
        </is>
      </c>
      <c r="H775" s="12" t="inlineStr">
        <is>
          <t>Gujarat</t>
        </is>
      </c>
      <c r="I775" s="12" t="inlineStr">
        <is>
          <t>Ahmedabad</t>
        </is>
      </c>
      <c r="J775" s="12" t="inlineStr">
        <is>
          <t>Technology</t>
        </is>
      </c>
      <c r="K775" s="12" t="inlineStr">
        <is>
          <t>Phones</t>
        </is>
      </c>
      <c r="L775" s="12" t="inlineStr">
        <is>
          <t>Basic Phones 753</t>
        </is>
      </c>
      <c r="M775" s="12" t="n"/>
      <c r="N775" s="12" t="n">
        <v>4</v>
      </c>
      <c r="O775" s="12" t="n">
        <v>2945.07</v>
      </c>
      <c r="P775" s="12" t="n">
        <v>0.2</v>
      </c>
      <c r="Q775" s="12" t="n">
        <v>9424.219999999999</v>
      </c>
      <c r="R775" s="12" t="n">
        <v>6178.92</v>
      </c>
      <c r="S775" s="12" t="n">
        <v>3245.3</v>
      </c>
      <c r="T775" s="12" t="inlineStr">
        <is>
          <t>Paid</t>
        </is>
      </c>
      <c r="U775" s="12" t="inlineStr">
        <is>
          <t>Completed</t>
        </is>
      </c>
      <c r="V775">
        <f>IF(OR(P775="",P775&lt;0,P775&gt;0.5),0,P775)</f>
        <v/>
      </c>
      <c r="W775">
        <f>N775*O775*(1-V775)</f>
        <v/>
      </c>
      <c r="X775">
        <f>W775-R775</f>
        <v/>
      </c>
      <c r="Y775">
        <f>IF(W775=0,0,X775/W775)</f>
        <v/>
      </c>
      <c r="Z775">
        <f>C775-B775</f>
        <v/>
      </c>
      <c r="AA775">
        <f>TEXT(B775,"mmmm")</f>
        <v/>
      </c>
      <c r="AB775">
        <f>YEAR(B775)</f>
        <v/>
      </c>
      <c r="AC775">
        <f>IF(OR(P775&lt;0,P775&gt;0.5,C775&lt;B775),"INVALID","CLEAN")</f>
        <v/>
      </c>
    </row>
    <row r="776">
      <c r="A776" s="12" t="inlineStr">
        <is>
          <t>ORD-2025-10775</t>
        </is>
      </c>
      <c r="B776" s="12" t="inlineStr">
        <is>
          <t>07-08-2025</t>
        </is>
      </c>
      <c r="C776" s="12" t="inlineStr">
        <is>
          <t>2025-08-07</t>
        </is>
      </c>
      <c r="D776" s="12" t="inlineStr">
        <is>
          <t>CUST-1182</t>
        </is>
      </c>
      <c r="E776" s="12" t="inlineStr">
        <is>
          <t>Kabir Singh</t>
        </is>
      </c>
      <c r="F776" s="12" t="inlineStr">
        <is>
          <t>Consumer</t>
        </is>
      </c>
      <c r="G776" s="12" t="inlineStr">
        <is>
          <t>West</t>
        </is>
      </c>
      <c r="H776" s="12" t="inlineStr">
        <is>
          <t>Rajasthan</t>
        </is>
      </c>
      <c r="I776" s="12" t="inlineStr">
        <is>
          <t>Udaipur</t>
        </is>
      </c>
      <c r="J776" s="12" t="inlineStr">
        <is>
          <t>Technology</t>
        </is>
      </c>
      <c r="K776" s="12" t="inlineStr">
        <is>
          <t>Machines</t>
        </is>
      </c>
      <c r="L776" s="12" t="inlineStr">
        <is>
          <t>Smart Machines 789</t>
        </is>
      </c>
      <c r="M776" s="12" t="n"/>
      <c r="N776" s="12" t="n">
        <v>9</v>
      </c>
      <c r="O776" s="12" t="n">
        <v>1076.75</v>
      </c>
      <c r="P776" s="12" t="n">
        <v>0.2</v>
      </c>
      <c r="Q776" s="12" t="n">
        <v>7752.6</v>
      </c>
      <c r="R776" s="12" t="n">
        <v>4689.3</v>
      </c>
      <c r="S776" s="12" t="n">
        <v>3063.3</v>
      </c>
      <c r="T776" s="12" t="inlineStr">
        <is>
          <t>Paid</t>
        </is>
      </c>
      <c r="U776" s="12" t="inlineStr">
        <is>
          <t>Completed</t>
        </is>
      </c>
      <c r="V776">
        <f>IF(OR(P776="",P776&lt;0,P776&gt;0.5),0,P776)</f>
        <v/>
      </c>
      <c r="W776">
        <f>N776*O776*(1-V776)</f>
        <v/>
      </c>
      <c r="X776">
        <f>W776-R776</f>
        <v/>
      </c>
      <c r="Y776">
        <f>IF(W776=0,0,X776/W776)</f>
        <v/>
      </c>
      <c r="Z776">
        <f>C776-B776</f>
        <v/>
      </c>
      <c r="AA776">
        <f>TEXT(B776,"mmmm")</f>
        <v/>
      </c>
      <c r="AB776">
        <f>YEAR(B776)</f>
        <v/>
      </c>
      <c r="AC776">
        <f>IF(OR(P776&lt;0,P776&gt;0.5,C776&lt;B776),"INVALID","CLEAN")</f>
        <v/>
      </c>
    </row>
    <row r="777">
      <c r="A777" s="12" t="inlineStr">
        <is>
          <t>ORD-2024-10776</t>
        </is>
      </c>
      <c r="B777" s="12" t="inlineStr">
        <is>
          <t>14 Apr 2024</t>
        </is>
      </c>
      <c r="C777" s="12" t="inlineStr">
        <is>
          <t>22-04-2024</t>
        </is>
      </c>
      <c r="D777" s="12" t="inlineStr">
        <is>
          <t>CUST-4461</t>
        </is>
      </c>
      <c r="E777" s="12" t="inlineStr">
        <is>
          <t>Arjun Bose</t>
        </is>
      </c>
      <c r="F777" s="12" t="inlineStr">
        <is>
          <t>Consumer</t>
        </is>
      </c>
      <c r="G777" s="12" t="inlineStr">
        <is>
          <t>North</t>
        </is>
      </c>
      <c r="H777" s="12" t="inlineStr">
        <is>
          <t>Haryana</t>
        </is>
      </c>
      <c r="I777" s="12" t="inlineStr">
        <is>
          <t>Gurugram</t>
        </is>
      </c>
      <c r="J777" s="12" t="inlineStr">
        <is>
          <t>Technology</t>
        </is>
      </c>
      <c r="K777" s="12" t="inlineStr">
        <is>
          <t>Accessories</t>
        </is>
      </c>
      <c r="L777" s="12" t="inlineStr">
        <is>
          <t>Elite Accessories 312</t>
        </is>
      </c>
      <c r="M777" s="12" t="inlineStr">
        <is>
          <t>Standard Class</t>
        </is>
      </c>
      <c r="N777" s="12" t="n">
        <v>8</v>
      </c>
      <c r="O777" s="12" t="n">
        <v>3956.12</v>
      </c>
      <c r="P777" s="12" t="n">
        <v>0.25</v>
      </c>
      <c r="Q777" s="12" t="n">
        <v>23736.72</v>
      </c>
      <c r="R777" s="12" t="n">
        <v>13890.9</v>
      </c>
      <c r="S777" s="12" t="n">
        <v>9845.82</v>
      </c>
      <c r="T777" s="12" t="inlineStr">
        <is>
          <t>Paid</t>
        </is>
      </c>
      <c r="U777" s="12" t="inlineStr">
        <is>
          <t>Completed</t>
        </is>
      </c>
      <c r="V777">
        <f>IF(OR(P777="",P777&lt;0,P777&gt;0.5),0,P777)</f>
        <v/>
      </c>
      <c r="W777">
        <f>N777*O777*(1-V777)</f>
        <v/>
      </c>
      <c r="X777">
        <f>W777-R777</f>
        <v/>
      </c>
      <c r="Y777">
        <f>IF(W777=0,0,X777/W777)</f>
        <v/>
      </c>
      <c r="Z777">
        <f>C777-B777</f>
        <v/>
      </c>
      <c r="AA777">
        <f>TEXT(B777,"mmmm")</f>
        <v/>
      </c>
      <c r="AB777">
        <f>YEAR(B777)</f>
        <v/>
      </c>
      <c r="AC777">
        <f>IF(OR(P777&lt;0,P777&gt;0.5,C777&lt;B777),"INVALID","CLEAN")</f>
        <v/>
      </c>
    </row>
    <row r="778">
      <c r="A778" s="12" t="inlineStr">
        <is>
          <t>ORD-2025-10777</t>
        </is>
      </c>
      <c r="B778" s="12" t="inlineStr">
        <is>
          <t>08-06-2025</t>
        </is>
      </c>
      <c r="C778" s="12" t="inlineStr">
        <is>
          <t>06/13/2025</t>
        </is>
      </c>
      <c r="D778" s="12" t="inlineStr">
        <is>
          <t>CUST-9690</t>
        </is>
      </c>
      <c r="E778" s="12" t="inlineStr">
        <is>
          <t>Aditi Sen</t>
        </is>
      </c>
      <c r="F778" s="12" t="inlineStr">
        <is>
          <t>Small Business</t>
        </is>
      </c>
      <c r="G778" s="12" t="inlineStr">
        <is>
          <t>North</t>
        </is>
      </c>
      <c r="H778" s="12" t="inlineStr">
        <is>
          <t>Rajasthan</t>
        </is>
      </c>
      <c r="I778" s="12" t="inlineStr">
        <is>
          <t>Jaipur</t>
        </is>
      </c>
      <c r="J778" s="12" t="inlineStr">
        <is>
          <t>Technology</t>
        </is>
      </c>
      <c r="K778" s="12" t="inlineStr">
        <is>
          <t>Copiers</t>
        </is>
      </c>
      <c r="L778" s="12" t="inlineStr">
        <is>
          <t>Eco Copiers 528</t>
        </is>
      </c>
      <c r="M778" s="12" t="inlineStr">
        <is>
          <t>Second Class</t>
        </is>
      </c>
      <c r="N778" s="12" t="n">
        <v>7</v>
      </c>
      <c r="O778" s="12" t="n">
        <v>3857.13</v>
      </c>
      <c r="P778" s="12" t="n">
        <v>0</v>
      </c>
      <c r="Q778" s="12" t="n">
        <v>26999.91</v>
      </c>
      <c r="R778" s="12" t="n">
        <v>17815.98</v>
      </c>
      <c r="S778" s="12" t="n">
        <v>9183.93</v>
      </c>
      <c r="T778" s="12" t="inlineStr">
        <is>
          <t>Paid</t>
        </is>
      </c>
      <c r="U778" s="12" t="inlineStr">
        <is>
          <t>Completed</t>
        </is>
      </c>
      <c r="V778">
        <f>IF(OR(P778="",P778&lt;0,P778&gt;0.5),0,P778)</f>
        <v/>
      </c>
      <c r="W778">
        <f>N778*O778*(1-V778)</f>
        <v/>
      </c>
      <c r="X778">
        <f>W778-R778</f>
        <v/>
      </c>
      <c r="Y778">
        <f>IF(W778=0,0,X778/W778)</f>
        <v/>
      </c>
      <c r="Z778">
        <f>C778-B778</f>
        <v/>
      </c>
      <c r="AA778">
        <f>TEXT(B778,"mmmm")</f>
        <v/>
      </c>
      <c r="AB778">
        <f>YEAR(B778)</f>
        <v/>
      </c>
      <c r="AC778">
        <f>IF(OR(P778&lt;0,P778&gt;0.5,C778&lt;B778),"INVALID","CLEAN")</f>
        <v/>
      </c>
    </row>
    <row r="779">
      <c r="A779" s="12" t="inlineStr">
        <is>
          <t>ORD-2024-10778</t>
        </is>
      </c>
      <c r="B779" s="12" t="inlineStr">
        <is>
          <t>04-02-2024</t>
        </is>
      </c>
      <c r="C779" s="12" t="inlineStr">
        <is>
          <t>2024-02-06</t>
        </is>
      </c>
      <c r="D779" s="12" t="inlineStr">
        <is>
          <t>CUST-6879</t>
        </is>
      </c>
      <c r="E779" s="12" t="inlineStr">
        <is>
          <t>Kabir Singh</t>
        </is>
      </c>
      <c r="F779" s="12" t="inlineStr">
        <is>
          <t>Small Business</t>
        </is>
      </c>
      <c r="G779" s="12" t="inlineStr">
        <is>
          <t>West</t>
        </is>
      </c>
      <c r="H779" s="12" t="inlineStr">
        <is>
          <t>Madhya Pradesh</t>
        </is>
      </c>
      <c r="I779" s="12" t="inlineStr">
        <is>
          <t>Indore</t>
        </is>
      </c>
      <c r="J779" s="12" t="inlineStr">
        <is>
          <t>Technology</t>
        </is>
      </c>
      <c r="K779" s="12" t="inlineStr">
        <is>
          <t>Accessories</t>
        </is>
      </c>
      <c r="L779" s="12" t="inlineStr">
        <is>
          <t>Elite Accessories 226</t>
        </is>
      </c>
      <c r="M779" s="12" t="inlineStr">
        <is>
          <t>Second Class</t>
        </is>
      </c>
      <c r="N779" s="12" t="n">
        <v>4</v>
      </c>
      <c r="O779" s="12" t="n">
        <v>1489.74</v>
      </c>
      <c r="P779" s="12" t="n">
        <v>0.15</v>
      </c>
      <c r="Q779" s="12" t="n">
        <v>5065.12</v>
      </c>
      <c r="R779" s="12" t="n">
        <v>3530.12</v>
      </c>
      <c r="S779" s="12" t="n">
        <v>1535</v>
      </c>
      <c r="T779" s="12" t="inlineStr">
        <is>
          <t>Failed</t>
        </is>
      </c>
      <c r="U779" s="12" t="inlineStr">
        <is>
          <t>Cancelled</t>
        </is>
      </c>
      <c r="V779">
        <f>IF(OR(P779="",P779&lt;0,P779&gt;0.5),0,P779)</f>
        <v/>
      </c>
      <c r="W779">
        <f>N779*O779*(1-V779)</f>
        <v/>
      </c>
      <c r="X779">
        <f>W779-R779</f>
        <v/>
      </c>
      <c r="Y779">
        <f>IF(W779=0,0,X779/W779)</f>
        <v/>
      </c>
      <c r="Z779">
        <f>C779-B779</f>
        <v/>
      </c>
      <c r="AA779">
        <f>TEXT(B779,"mmmm")</f>
        <v/>
      </c>
      <c r="AB779">
        <f>YEAR(B779)</f>
        <v/>
      </c>
      <c r="AC779">
        <f>IF(OR(P779&lt;0,P779&gt;0.5,C779&lt;B779),"INVALID","CLEAN")</f>
        <v/>
      </c>
    </row>
    <row r="780">
      <c r="A780" s="12" t="inlineStr">
        <is>
          <t>ORD-2024-10779</t>
        </is>
      </c>
      <c r="B780" s="12" t="inlineStr">
        <is>
          <t>07/24/2024</t>
        </is>
      </c>
      <c r="C780" s="12" t="inlineStr">
        <is>
          <t>24-07-2024</t>
        </is>
      </c>
      <c r="D780" s="12" t="inlineStr">
        <is>
          <t>CUST-4714</t>
        </is>
      </c>
      <c r="E780" s="12" t="inlineStr">
        <is>
          <t>Karan Malhotra</t>
        </is>
      </c>
      <c r="F780" s="12" t="inlineStr">
        <is>
          <t>Small Business</t>
        </is>
      </c>
      <c r="G780" s="12" t="inlineStr">
        <is>
          <t>North</t>
        </is>
      </c>
      <c r="H780" s="12" t="inlineStr">
        <is>
          <t>Haryana</t>
        </is>
      </c>
      <c r="I780" s="12" t="inlineStr">
        <is>
          <t>Gurugram</t>
        </is>
      </c>
      <c r="J780" s="12" t="inlineStr">
        <is>
          <t>Technology</t>
        </is>
      </c>
      <c r="K780" s="12" t="inlineStr">
        <is>
          <t>Copiers</t>
        </is>
      </c>
      <c r="L780" s="12" t="inlineStr">
        <is>
          <t>Pro Copiers 298</t>
        </is>
      </c>
      <c r="M780" s="12" t="inlineStr">
        <is>
          <t>Second Class</t>
        </is>
      </c>
      <c r="N780" s="12" t="n">
        <v>4</v>
      </c>
      <c r="O780" s="12" t="n">
        <v>1676.88</v>
      </c>
      <c r="P780" s="12" t="n">
        <v>0</v>
      </c>
      <c r="Q780" s="12" t="n">
        <v>6707.52</v>
      </c>
      <c r="R780" s="12" t="n">
        <v>5672.57</v>
      </c>
      <c r="S780" s="12" t="n">
        <v>1034.95</v>
      </c>
      <c r="T780" s="12" t="inlineStr">
        <is>
          <t>Paid</t>
        </is>
      </c>
      <c r="U780" s="12" t="inlineStr">
        <is>
          <t>Completed</t>
        </is>
      </c>
      <c r="V780">
        <f>IF(OR(P780="",P780&lt;0,P780&gt;0.5),0,P780)</f>
        <v/>
      </c>
      <c r="W780">
        <f>N780*O780*(1-V780)</f>
        <v/>
      </c>
      <c r="X780">
        <f>W780-R780</f>
        <v/>
      </c>
      <c r="Y780">
        <f>IF(W780=0,0,X780/W780)</f>
        <v/>
      </c>
      <c r="Z780">
        <f>C780-B780</f>
        <v/>
      </c>
      <c r="AA780">
        <f>TEXT(B780,"mmmm")</f>
        <v/>
      </c>
      <c r="AB780">
        <f>YEAR(B780)</f>
        <v/>
      </c>
      <c r="AC780">
        <f>IF(OR(P780&lt;0,P780&gt;0.5,C780&lt;B780),"INVALID","CLEAN")</f>
        <v/>
      </c>
    </row>
    <row r="781">
      <c r="A781" s="12" t="inlineStr">
        <is>
          <t>ORD-2024-10780</t>
        </is>
      </c>
      <c r="B781" s="12" t="inlineStr">
        <is>
          <t>01/15/2024</t>
        </is>
      </c>
      <c r="C781" s="12" t="inlineStr">
        <is>
          <t>20-01-2024</t>
        </is>
      </c>
      <c r="D781" s="12" t="inlineStr">
        <is>
          <t>CUST-7547</t>
        </is>
      </c>
      <c r="E781" s="12" t="inlineStr">
        <is>
          <t>Priya Menon</t>
        </is>
      </c>
      <c r="F781" s="12" t="inlineStr">
        <is>
          <t>Small Business</t>
        </is>
      </c>
      <c r="G781" s="12" t="inlineStr">
        <is>
          <t>South</t>
        </is>
      </c>
      <c r="H781" s="12" t="inlineStr">
        <is>
          <t>Andhra Pradesh</t>
        </is>
      </c>
      <c r="I781" s="12" t="inlineStr">
        <is>
          <t>Vijayawada</t>
        </is>
      </c>
      <c r="J781" s="12" t="inlineStr">
        <is>
          <t>Furniture</t>
        </is>
      </c>
      <c r="K781" s="12" t="inlineStr">
        <is>
          <t>Chairs</t>
        </is>
      </c>
      <c r="L781" s="12" t="inlineStr">
        <is>
          <t>Prime Chairs 331</t>
        </is>
      </c>
      <c r="M781" s="12" t="inlineStr">
        <is>
          <t>Standard Class</t>
        </is>
      </c>
      <c r="N781" s="12" t="n">
        <v>4</v>
      </c>
      <c r="O781" s="12" t="n">
        <v>3153.54</v>
      </c>
      <c r="P781" s="12" t="n">
        <v>0.05</v>
      </c>
      <c r="Q781" s="12" t="n">
        <v>11983.45</v>
      </c>
      <c r="R781" s="12" t="n">
        <v>8572.9</v>
      </c>
      <c r="S781" s="12" t="n">
        <v>3410.55</v>
      </c>
      <c r="T781" s="12" t="inlineStr">
        <is>
          <t>Paid</t>
        </is>
      </c>
      <c r="U781" s="12" t="inlineStr">
        <is>
          <t>Completed</t>
        </is>
      </c>
      <c r="V781">
        <f>IF(OR(P781="",P781&lt;0,P781&gt;0.5),0,P781)</f>
        <v/>
      </c>
      <c r="W781">
        <f>N781*O781*(1-V781)</f>
        <v/>
      </c>
      <c r="X781">
        <f>W781-R781</f>
        <v/>
      </c>
      <c r="Y781">
        <f>IF(W781=0,0,X781/W781)</f>
        <v/>
      </c>
      <c r="Z781">
        <f>C781-B781</f>
        <v/>
      </c>
      <c r="AA781">
        <f>TEXT(B781,"mmmm")</f>
        <v/>
      </c>
      <c r="AB781">
        <f>YEAR(B781)</f>
        <v/>
      </c>
      <c r="AC781">
        <f>IF(OR(P781&lt;0,P781&gt;0.5,C781&lt;B781),"INVALID","CLEAN")</f>
        <v/>
      </c>
    </row>
    <row r="782">
      <c r="A782" s="12" t="inlineStr">
        <is>
          <t>ORD-2024-10781</t>
        </is>
      </c>
      <c r="B782" s="12" t="inlineStr">
        <is>
          <t>04 Aug 2024</t>
        </is>
      </c>
      <c r="C782" s="12" t="inlineStr">
        <is>
          <t>08/10/2024</t>
        </is>
      </c>
      <c r="D782" s="12" t="inlineStr">
        <is>
          <t>CUST-3288</t>
        </is>
      </c>
      <c r="E782" s="12" t="inlineStr">
        <is>
          <t>Diya Patel</t>
        </is>
      </c>
      <c r="F782" s="12" t="inlineStr">
        <is>
          <t>Small Business</t>
        </is>
      </c>
      <c r="G782" s="12" t="inlineStr">
        <is>
          <t>West</t>
        </is>
      </c>
      <c r="H782" s="12" t="inlineStr">
        <is>
          <t>Rajasthan</t>
        </is>
      </c>
      <c r="I782" s="12" t="inlineStr">
        <is>
          <t>Udaipur</t>
        </is>
      </c>
      <c r="J782" s="12" t="inlineStr">
        <is>
          <t>Furniture</t>
        </is>
      </c>
      <c r="K782" s="12" t="inlineStr">
        <is>
          <t>Chairs</t>
        </is>
      </c>
      <c r="L782" s="12" t="inlineStr">
        <is>
          <t>Classic Chairs 798</t>
        </is>
      </c>
      <c r="M782" s="12" t="inlineStr">
        <is>
          <t>Same Day</t>
        </is>
      </c>
      <c r="N782" s="12" t="n">
        <v>4</v>
      </c>
      <c r="O782" s="12" t="n">
        <v>426.43</v>
      </c>
      <c r="P782" s="12" t="n">
        <v>0.2</v>
      </c>
      <c r="Q782" s="12" t="n">
        <v>1364.58</v>
      </c>
      <c r="R782" s="12" t="n">
        <v>978.16</v>
      </c>
      <c r="S782" s="12" t="n">
        <v>386.42</v>
      </c>
      <c r="T782" s="12" t="inlineStr">
        <is>
          <t>Paid</t>
        </is>
      </c>
      <c r="U782" s="12" t="inlineStr">
        <is>
          <t>Completed</t>
        </is>
      </c>
      <c r="V782">
        <f>IF(OR(P782="",P782&lt;0,P782&gt;0.5),0,P782)</f>
        <v/>
      </c>
      <c r="W782">
        <f>N782*O782*(1-V782)</f>
        <v/>
      </c>
      <c r="X782">
        <f>W782-R782</f>
        <v/>
      </c>
      <c r="Y782">
        <f>IF(W782=0,0,X782/W782)</f>
        <v/>
      </c>
      <c r="Z782">
        <f>C782-B782</f>
        <v/>
      </c>
      <c r="AA782">
        <f>TEXT(B782,"mmmm")</f>
        <v/>
      </c>
      <c r="AB782">
        <f>YEAR(B782)</f>
        <v/>
      </c>
      <c r="AC782">
        <f>IF(OR(P782&lt;0,P782&gt;0.5,C782&lt;B782),"INVALID","CLEAN")</f>
        <v/>
      </c>
    </row>
    <row r="783">
      <c r="A783" s="12" t="inlineStr">
        <is>
          <t>ORD-2024-10782</t>
        </is>
      </c>
      <c r="B783" s="12" t="inlineStr">
        <is>
          <t>2024-02-02</t>
        </is>
      </c>
      <c r="C783" s="12" t="inlineStr">
        <is>
          <t>10 Feb 2024</t>
        </is>
      </c>
      <c r="D783" s="12" t="inlineStr">
        <is>
          <t>CUST-8597</t>
        </is>
      </c>
      <c r="E783" s="12" t="inlineStr">
        <is>
          <t>Karan Malhotra</t>
        </is>
      </c>
      <c r="F783" s="12" t="inlineStr">
        <is>
          <t>Home Office</t>
        </is>
      </c>
      <c r="G783" s="12" t="inlineStr">
        <is>
          <t>West</t>
        </is>
      </c>
      <c r="H783" s="12" t="inlineStr">
        <is>
          <t>Rajasthan</t>
        </is>
      </c>
      <c r="I783" s="12" t="inlineStr">
        <is>
          <t>Udaipur</t>
        </is>
      </c>
      <c r="J783" s="12" t="inlineStr">
        <is>
          <t>Office Supplies</t>
        </is>
      </c>
      <c r="K783" s="12" t="inlineStr">
        <is>
          <t>Labels</t>
        </is>
      </c>
      <c r="L783" s="12" t="inlineStr">
        <is>
          <t>Classic Labels 204</t>
        </is>
      </c>
      <c r="M783" s="12" t="inlineStr">
        <is>
          <t>First Class</t>
        </is>
      </c>
      <c r="N783" s="12" t="n">
        <v>3</v>
      </c>
      <c r="O783" s="12" t="n">
        <v>383.4</v>
      </c>
      <c r="P783" s="12" t="n">
        <v>0.25</v>
      </c>
      <c r="Q783" s="12" t="n">
        <v>862.65</v>
      </c>
      <c r="R783" s="12" t="n">
        <v>603.73</v>
      </c>
      <c r="S783" s="12" t="n">
        <v>258.92</v>
      </c>
      <c r="T783" s="12" t="inlineStr">
        <is>
          <t>Pending</t>
        </is>
      </c>
      <c r="U783" s="12" t="inlineStr">
        <is>
          <t>Returned</t>
        </is>
      </c>
      <c r="V783">
        <f>IF(OR(P783="",P783&lt;0,P783&gt;0.5),0,P783)</f>
        <v/>
      </c>
      <c r="W783">
        <f>N783*O783*(1-V783)</f>
        <v/>
      </c>
      <c r="X783">
        <f>W783-R783</f>
        <v/>
      </c>
      <c r="Y783">
        <f>IF(W783=0,0,X783/W783)</f>
        <v/>
      </c>
      <c r="Z783">
        <f>C783-B783</f>
        <v/>
      </c>
      <c r="AA783">
        <f>TEXT(B783,"mmmm")</f>
        <v/>
      </c>
      <c r="AB783">
        <f>YEAR(B783)</f>
        <v/>
      </c>
      <c r="AC783">
        <f>IF(OR(P783&lt;0,P783&gt;0.5,C783&lt;B783),"INVALID","CLEAN")</f>
        <v/>
      </c>
    </row>
    <row r="784">
      <c r="A784" s="12" t="inlineStr">
        <is>
          <t>ORD-2025-10783</t>
        </is>
      </c>
      <c r="B784" s="12" t="inlineStr">
        <is>
          <t>2025-03-14</t>
        </is>
      </c>
      <c r="C784" s="12" t="inlineStr">
        <is>
          <t>03/22/2025</t>
        </is>
      </c>
      <c r="D784" s="12" t="inlineStr">
        <is>
          <t>CUST-9085</t>
        </is>
      </c>
      <c r="E784" s="12" t="inlineStr">
        <is>
          <t>Mira Das</t>
        </is>
      </c>
      <c r="F784" s="12" t="inlineStr">
        <is>
          <t>Corporate</t>
        </is>
      </c>
      <c r="G784" s="12" t="inlineStr">
        <is>
          <t>East</t>
        </is>
      </c>
      <c r="H784" s="12" t="inlineStr">
        <is>
          <t>West Bengal</t>
        </is>
      </c>
      <c r="I784" s="12" t="inlineStr">
        <is>
          <t>Kolkata</t>
        </is>
      </c>
      <c r="J784" s="12" t="inlineStr">
        <is>
          <t>Technology</t>
        </is>
      </c>
      <c r="K784" s="12" t="inlineStr">
        <is>
          <t>Copiers</t>
        </is>
      </c>
      <c r="L784" s="12" t="inlineStr">
        <is>
          <t>Basic Copiers 254</t>
        </is>
      </c>
      <c r="M784" s="12" t="inlineStr">
        <is>
          <t>Standard Class</t>
        </is>
      </c>
      <c r="N784" s="12" t="n">
        <v>2</v>
      </c>
      <c r="O784" s="12" t="n">
        <v>669.63</v>
      </c>
      <c r="P784" s="12" t="n">
        <v>0.15</v>
      </c>
      <c r="Q784" s="12" t="n">
        <v>1138.37</v>
      </c>
      <c r="R784" s="12" t="n">
        <v>797.34</v>
      </c>
      <c r="S784" s="12" t="n">
        <v>341.03</v>
      </c>
      <c r="T784" s="12" t="inlineStr">
        <is>
          <t>Paid</t>
        </is>
      </c>
      <c r="U784" s="12" t="inlineStr">
        <is>
          <t>Completed</t>
        </is>
      </c>
      <c r="V784">
        <f>IF(OR(P784="",P784&lt;0,P784&gt;0.5),0,P784)</f>
        <v/>
      </c>
      <c r="W784">
        <f>N784*O784*(1-V784)</f>
        <v/>
      </c>
      <c r="X784">
        <f>W784-R784</f>
        <v/>
      </c>
      <c r="Y784">
        <f>IF(W784=0,0,X784/W784)</f>
        <v/>
      </c>
      <c r="Z784">
        <f>C784-B784</f>
        <v/>
      </c>
      <c r="AA784">
        <f>TEXT(B784,"mmmm")</f>
        <v/>
      </c>
      <c r="AB784">
        <f>YEAR(B784)</f>
        <v/>
      </c>
      <c r="AC784">
        <f>IF(OR(P784&lt;0,P784&gt;0.5,C784&lt;B784),"INVALID","CLEAN")</f>
        <v/>
      </c>
    </row>
    <row r="785">
      <c r="A785" s="12" t="inlineStr">
        <is>
          <t>ORD-2024-10784</t>
        </is>
      </c>
      <c r="B785" s="12" t="inlineStr">
        <is>
          <t>07 Jun 2024</t>
        </is>
      </c>
      <c r="C785" s="12" t="inlineStr">
        <is>
          <t>2024-06-07</t>
        </is>
      </c>
      <c r="D785" s="12" t="inlineStr">
        <is>
          <t>CUST-7746</t>
        </is>
      </c>
      <c r="E785" s="12" t="inlineStr">
        <is>
          <t>Aarav Sharma</t>
        </is>
      </c>
      <c r="F785" s="12" t="inlineStr">
        <is>
          <t>Small Business</t>
        </is>
      </c>
      <c r="G785" s="12" t="inlineStr">
        <is>
          <t>East</t>
        </is>
      </c>
      <c r="H785" s="12" t="inlineStr">
        <is>
          <t>Bihar</t>
        </is>
      </c>
      <c r="I785" s="12" t="inlineStr">
        <is>
          <t>Patna</t>
        </is>
      </c>
      <c r="J785" s="12" t="inlineStr">
        <is>
          <t>Office Supplies</t>
        </is>
      </c>
      <c r="K785" s="12" t="inlineStr">
        <is>
          <t>Art</t>
        </is>
      </c>
      <c r="L785" s="12" t="inlineStr">
        <is>
          <t>Basic Art 709</t>
        </is>
      </c>
      <c r="M785" s="12" t="inlineStr">
        <is>
          <t>Second Class</t>
        </is>
      </c>
      <c r="N785" s="12" t="n">
        <v>1</v>
      </c>
      <c r="O785" s="12" t="n">
        <v>2581.93</v>
      </c>
      <c r="P785" s="12" t="n">
        <v>0.05</v>
      </c>
      <c r="Q785" s="12" t="n">
        <v>2452.83</v>
      </c>
      <c r="R785" s="12" t="n">
        <v>1906.7</v>
      </c>
      <c r="S785" s="12" t="n">
        <v>546.13</v>
      </c>
      <c r="T785" s="12" t="inlineStr">
        <is>
          <t>Paid</t>
        </is>
      </c>
      <c r="U785" s="12" t="inlineStr">
        <is>
          <t>Completed</t>
        </is>
      </c>
      <c r="V785">
        <f>IF(OR(P785="",P785&lt;0,P785&gt;0.5),0,P785)</f>
        <v/>
      </c>
      <c r="W785">
        <f>N785*O785*(1-V785)</f>
        <v/>
      </c>
      <c r="X785">
        <f>W785-R785</f>
        <v/>
      </c>
      <c r="Y785">
        <f>IF(W785=0,0,X785/W785)</f>
        <v/>
      </c>
      <c r="Z785">
        <f>C785-B785</f>
        <v/>
      </c>
      <c r="AA785">
        <f>TEXT(B785,"mmmm")</f>
        <v/>
      </c>
      <c r="AB785">
        <f>YEAR(B785)</f>
        <v/>
      </c>
      <c r="AC785">
        <f>IF(OR(P785&lt;0,P785&gt;0.5,C785&lt;B785),"INVALID","CLEAN")</f>
        <v/>
      </c>
    </row>
    <row r="786">
      <c r="A786" s="12" t="inlineStr">
        <is>
          <t>ORD-2025-10785</t>
        </is>
      </c>
      <c r="B786" s="12" t="inlineStr">
        <is>
          <t>10/04/2025</t>
        </is>
      </c>
      <c r="C786" s="12" t="inlineStr">
        <is>
          <t>2025-10-05</t>
        </is>
      </c>
      <c r="D786" s="12" t="inlineStr">
        <is>
          <t>CUST-3119</t>
        </is>
      </c>
      <c r="E786" s="12" t="inlineStr">
        <is>
          <t>Priya Menon</t>
        </is>
      </c>
      <c r="F786" s="12" t="inlineStr">
        <is>
          <t>Corporate</t>
        </is>
      </c>
      <c r="G786" s="12" t="inlineStr">
        <is>
          <t>north</t>
        </is>
      </c>
      <c r="H786" s="12" t="inlineStr">
        <is>
          <t>Punjab</t>
        </is>
      </c>
      <c r="I786" s="12" t="inlineStr">
        <is>
          <t>Ludhiana</t>
        </is>
      </c>
      <c r="J786" s="12" t="inlineStr">
        <is>
          <t>Technology</t>
        </is>
      </c>
      <c r="K786" s="12" t="inlineStr">
        <is>
          <t>Copiers</t>
        </is>
      </c>
      <c r="L786" s="12" t="inlineStr">
        <is>
          <t>Max Copiers 551</t>
        </is>
      </c>
      <c r="M786" s="12" t="inlineStr">
        <is>
          <t>First Class</t>
        </is>
      </c>
      <c r="N786" s="12" t="n">
        <v>4</v>
      </c>
      <c r="O786" s="12" t="n">
        <v>418.18</v>
      </c>
      <c r="P786" s="12" t="n">
        <v>0.05</v>
      </c>
      <c r="Q786" s="12" t="n">
        <v>1589.08</v>
      </c>
      <c r="R786" s="12" t="n">
        <v>1084.66</v>
      </c>
      <c r="S786" s="12" t="n">
        <v>504.42</v>
      </c>
      <c r="T786" s="12" t="inlineStr">
        <is>
          <t>Paid</t>
        </is>
      </c>
      <c r="U786" s="12" t="inlineStr">
        <is>
          <t>Completed</t>
        </is>
      </c>
      <c r="V786">
        <f>IF(OR(P786="",P786&lt;0,P786&gt;0.5),0,P786)</f>
        <v/>
      </c>
      <c r="W786">
        <f>N786*O786*(1-V786)</f>
        <v/>
      </c>
      <c r="X786">
        <f>W786-R786</f>
        <v/>
      </c>
      <c r="Y786">
        <f>IF(W786=0,0,X786/W786)</f>
        <v/>
      </c>
      <c r="Z786">
        <f>C786-B786</f>
        <v/>
      </c>
      <c r="AA786">
        <f>TEXT(B786,"mmmm")</f>
        <v/>
      </c>
      <c r="AB786">
        <f>YEAR(B786)</f>
        <v/>
      </c>
      <c r="AC786">
        <f>IF(OR(P786&lt;0,P786&gt;0.5,C786&lt;B786),"INVALID","CLEAN")</f>
        <v/>
      </c>
    </row>
    <row r="787">
      <c r="A787" s="12" t="inlineStr">
        <is>
          <t>ORD-2024-10786</t>
        </is>
      </c>
      <c r="B787" s="12" t="inlineStr">
        <is>
          <t>23-05-2024</t>
        </is>
      </c>
      <c r="C787" s="12" t="inlineStr">
        <is>
          <t>29-05-2024</t>
        </is>
      </c>
      <c r="D787" s="12" t="inlineStr">
        <is>
          <t>CUST-7518</t>
        </is>
      </c>
      <c r="E787" s="12" t="inlineStr">
        <is>
          <t>Diya Patel</t>
        </is>
      </c>
      <c r="F787" s="12" t="inlineStr">
        <is>
          <t>Small Business</t>
        </is>
      </c>
      <c r="G787" s="12" t="inlineStr">
        <is>
          <t>North</t>
        </is>
      </c>
      <c r="H787" s="12" t="inlineStr">
        <is>
          <t>Haryana</t>
        </is>
      </c>
      <c r="I787" s="12" t="inlineStr">
        <is>
          <t>Gurugram</t>
        </is>
      </c>
      <c r="J787" s="12" t="inlineStr">
        <is>
          <t>Office Supplies</t>
        </is>
      </c>
      <c r="K787" s="12" t="inlineStr">
        <is>
          <t>Storage</t>
        </is>
      </c>
      <c r="L787" s="12" t="inlineStr">
        <is>
          <t>Eco Storage 183</t>
        </is>
      </c>
      <c r="M787" s="12" t="inlineStr">
        <is>
          <t>Same Day</t>
        </is>
      </c>
      <c r="N787" s="12" t="n">
        <v>2</v>
      </c>
      <c r="O787" s="12" t="n">
        <v>3012.94</v>
      </c>
      <c r="P787" s="12" t="n">
        <v>0.25</v>
      </c>
      <c r="Q787" s="12" t="n">
        <v>4519.41</v>
      </c>
      <c r="R787" s="12" t="n">
        <v>3504.16</v>
      </c>
      <c r="S787" s="12" t="n">
        <v>1275.55</v>
      </c>
      <c r="T787" s="12" t="inlineStr">
        <is>
          <t>Failed</t>
        </is>
      </c>
      <c r="U787" s="12" t="inlineStr">
        <is>
          <t>Cancelled</t>
        </is>
      </c>
      <c r="V787">
        <f>IF(OR(P787="",P787&lt;0,P787&gt;0.5),0,P787)</f>
        <v/>
      </c>
      <c r="W787">
        <f>N787*O787*(1-V787)</f>
        <v/>
      </c>
      <c r="X787">
        <f>W787-R787</f>
        <v/>
      </c>
      <c r="Y787">
        <f>IF(W787=0,0,X787/W787)</f>
        <v/>
      </c>
      <c r="Z787">
        <f>C787-B787</f>
        <v/>
      </c>
      <c r="AA787">
        <f>TEXT(B787,"mmmm")</f>
        <v/>
      </c>
      <c r="AB787">
        <f>YEAR(B787)</f>
        <v/>
      </c>
      <c r="AC787">
        <f>IF(OR(P787&lt;0,P787&gt;0.5,C787&lt;B787),"INVALID","CLEAN")</f>
        <v/>
      </c>
    </row>
    <row r="788">
      <c r="A788" s="12" t="inlineStr">
        <is>
          <t>ORD-2025-10787</t>
        </is>
      </c>
      <c r="B788" s="12" t="inlineStr">
        <is>
          <t>07/06/2025</t>
        </is>
      </c>
      <c r="C788" s="12" t="inlineStr">
        <is>
          <t>08 Jul 2025</t>
        </is>
      </c>
      <c r="D788" s="12" t="inlineStr">
        <is>
          <t>CUST-1343</t>
        </is>
      </c>
      <c r="E788" s="12" t="inlineStr">
        <is>
          <t>Ananya Rao</t>
        </is>
      </c>
      <c r="F788" s="12" t="inlineStr">
        <is>
          <t>Corporate</t>
        </is>
      </c>
      <c r="G788" s="12" t="inlineStr">
        <is>
          <t>North</t>
        </is>
      </c>
      <c r="H788" s="12" t="inlineStr">
        <is>
          <t>Rajasthan</t>
        </is>
      </c>
      <c r="I788" s="12" t="inlineStr">
        <is>
          <t>Jaipur</t>
        </is>
      </c>
      <c r="J788" s="12" t="inlineStr">
        <is>
          <t>Furniture</t>
        </is>
      </c>
      <c r="K788" s="12" t="inlineStr">
        <is>
          <t>Furnishings</t>
        </is>
      </c>
      <c r="L788" s="12" t="inlineStr">
        <is>
          <t>Pro Furnishings 233</t>
        </is>
      </c>
      <c r="M788" s="12" t="n"/>
      <c r="N788" s="12" t="n">
        <v>4</v>
      </c>
      <c r="O788" s="12" t="n">
        <v>715.45</v>
      </c>
      <c r="P788" s="12" t="n">
        <v>0.05</v>
      </c>
      <c r="Q788" s="12" t="n">
        <v>2718.71</v>
      </c>
      <c r="R788" s="12" t="n">
        <v>2065.05</v>
      </c>
      <c r="S788" s="12" t="n">
        <v>653.66</v>
      </c>
      <c r="T788" s="12" t="inlineStr">
        <is>
          <t>Refunded</t>
        </is>
      </c>
      <c r="U788" s="12" t="inlineStr">
        <is>
          <t>Returned</t>
        </is>
      </c>
      <c r="V788">
        <f>IF(OR(P788="",P788&lt;0,P788&gt;0.5),0,P788)</f>
        <v/>
      </c>
      <c r="W788">
        <f>N788*O788*(1-V788)</f>
        <v/>
      </c>
      <c r="X788">
        <f>W788-R788</f>
        <v/>
      </c>
      <c r="Y788">
        <f>IF(W788=0,0,X788/W788)</f>
        <v/>
      </c>
      <c r="Z788">
        <f>C788-B788</f>
        <v/>
      </c>
      <c r="AA788">
        <f>TEXT(B788,"mmmm")</f>
        <v/>
      </c>
      <c r="AB788">
        <f>YEAR(B788)</f>
        <v/>
      </c>
      <c r="AC788">
        <f>IF(OR(P788&lt;0,P788&gt;0.5,C788&lt;B788),"INVALID","CLEAN")</f>
        <v/>
      </c>
    </row>
    <row r="789">
      <c r="A789" s="12" t="inlineStr">
        <is>
          <t>ORD-2024-10788</t>
        </is>
      </c>
      <c r="B789" s="12" t="inlineStr">
        <is>
          <t>2024-09-12</t>
        </is>
      </c>
      <c r="C789" s="12" t="inlineStr">
        <is>
          <t>2024-09-18</t>
        </is>
      </c>
      <c r="D789" s="12" t="inlineStr">
        <is>
          <t>CUST-7548</t>
        </is>
      </c>
      <c r="E789" s="12" t="inlineStr">
        <is>
          <t>Ananya Rao</t>
        </is>
      </c>
      <c r="F789" s="12" t="inlineStr">
        <is>
          <t>Home Office</t>
        </is>
      </c>
      <c r="G789" s="12" t="inlineStr">
        <is>
          <t>East</t>
        </is>
      </c>
      <c r="H789" s="12" t="inlineStr">
        <is>
          <t>Bihar</t>
        </is>
      </c>
      <c r="I789" s="12" t="inlineStr">
        <is>
          <t>Patna</t>
        </is>
      </c>
      <c r="J789" s="12" t="inlineStr">
        <is>
          <t>Office Supplies</t>
        </is>
      </c>
      <c r="K789" s="12" t="inlineStr">
        <is>
          <t>Paper</t>
        </is>
      </c>
      <c r="L789" s="12" t="inlineStr">
        <is>
          <t>Prime Paper 878</t>
        </is>
      </c>
      <c r="M789" s="12" t="inlineStr">
        <is>
          <t>Second Class</t>
        </is>
      </c>
      <c r="N789" s="12" t="n">
        <v>2</v>
      </c>
      <c r="O789" s="12" t="n">
        <v>3718.77</v>
      </c>
      <c r="P789" s="12" t="n">
        <v>0.05</v>
      </c>
      <c r="Q789" s="12" t="n">
        <v>7065.66</v>
      </c>
      <c r="R789" s="12" t="n">
        <v>4915.27</v>
      </c>
      <c r="S789" s="12" t="n">
        <v>2150.39</v>
      </c>
      <c r="T789" s="12" t="inlineStr">
        <is>
          <t xml:space="preserve">Paid </t>
        </is>
      </c>
      <c r="U789" s="12" t="inlineStr">
        <is>
          <t>Completed</t>
        </is>
      </c>
      <c r="V789">
        <f>IF(OR(P789="",P789&lt;0,P789&gt;0.5),0,P789)</f>
        <v/>
      </c>
      <c r="W789">
        <f>N789*O789*(1-V789)</f>
        <v/>
      </c>
      <c r="X789">
        <f>W789-R789</f>
        <v/>
      </c>
      <c r="Y789">
        <f>IF(W789=0,0,X789/W789)</f>
        <v/>
      </c>
      <c r="Z789">
        <f>C789-B789</f>
        <v/>
      </c>
      <c r="AA789">
        <f>TEXT(B789,"mmmm")</f>
        <v/>
      </c>
      <c r="AB789">
        <f>YEAR(B789)</f>
        <v/>
      </c>
      <c r="AC789">
        <f>IF(OR(P789&lt;0,P789&gt;0.5,C789&lt;B789),"INVALID","CLEAN")</f>
        <v/>
      </c>
    </row>
    <row r="790">
      <c r="A790" s="12" t="inlineStr">
        <is>
          <t>ORD-2024-10789</t>
        </is>
      </c>
      <c r="B790" s="12" t="inlineStr">
        <is>
          <t>01 Aug 2024</t>
        </is>
      </c>
      <c r="C790" s="12" t="inlineStr">
        <is>
          <t>02-08-2024</t>
        </is>
      </c>
      <c r="D790" s="12" t="inlineStr">
        <is>
          <t>CUST-3631</t>
        </is>
      </c>
      <c r="E790" s="12" t="inlineStr">
        <is>
          <t>Isha Nair</t>
        </is>
      </c>
      <c r="F790" s="12" t="inlineStr">
        <is>
          <t>Corporate</t>
        </is>
      </c>
      <c r="G790" s="12" t="inlineStr">
        <is>
          <t>North</t>
        </is>
      </c>
      <c r="H790" s="12" t="inlineStr">
        <is>
          <t>Uttar Pradesh</t>
        </is>
      </c>
      <c r="I790" s="12" t="inlineStr">
        <is>
          <t>Noida</t>
        </is>
      </c>
      <c r="J790" s="12" t="inlineStr">
        <is>
          <t>Furniture</t>
        </is>
      </c>
      <c r="K790" s="12" t="inlineStr">
        <is>
          <t>Chairs</t>
        </is>
      </c>
      <c r="L790" s="12" t="inlineStr">
        <is>
          <t>Smart Chairs 353</t>
        </is>
      </c>
      <c r="M790" s="12" t="inlineStr">
        <is>
          <t>Standard Class</t>
        </is>
      </c>
      <c r="N790" s="12" t="n">
        <v>8</v>
      </c>
      <c r="O790" s="12" t="n">
        <v>2487.64</v>
      </c>
      <c r="P790" s="12" t="n">
        <v>0.1</v>
      </c>
      <c r="Q790" s="12" t="n">
        <v>17911.01</v>
      </c>
      <c r="R790" s="12" t="n">
        <v>11546.05</v>
      </c>
      <c r="S790" s="12" t="n">
        <v>6364.96</v>
      </c>
      <c r="T790" s="12" t="inlineStr">
        <is>
          <t>Failed</t>
        </is>
      </c>
      <c r="U790" s="12" t="inlineStr">
        <is>
          <t>Returned</t>
        </is>
      </c>
      <c r="V790">
        <f>IF(OR(P790="",P790&lt;0,P790&gt;0.5),0,P790)</f>
        <v/>
      </c>
      <c r="W790">
        <f>N790*O790*(1-V790)</f>
        <v/>
      </c>
      <c r="X790">
        <f>W790-R790</f>
        <v/>
      </c>
      <c r="Y790">
        <f>IF(W790=0,0,X790/W790)</f>
        <v/>
      </c>
      <c r="Z790">
        <f>C790-B790</f>
        <v/>
      </c>
      <c r="AA790">
        <f>TEXT(B790,"mmmm")</f>
        <v/>
      </c>
      <c r="AB790">
        <f>YEAR(B790)</f>
        <v/>
      </c>
      <c r="AC790">
        <f>IF(OR(P790&lt;0,P790&gt;0.5,C790&lt;B790),"INVALID","CLEAN")</f>
        <v/>
      </c>
    </row>
    <row r="791">
      <c r="A791" s="12" t="inlineStr">
        <is>
          <t>ORD-2025-10790</t>
        </is>
      </c>
      <c r="B791" s="12" t="inlineStr">
        <is>
          <t>07 Mar 2025</t>
        </is>
      </c>
      <c r="C791" s="12" t="inlineStr">
        <is>
          <t>08 Mar 2025</t>
        </is>
      </c>
      <c r="D791" s="12" t="inlineStr">
        <is>
          <t>CUST-1453</t>
        </is>
      </c>
      <c r="E791" s="12" t="inlineStr">
        <is>
          <t>Priya Menon</t>
        </is>
      </c>
      <c r="F791" s="12" t="inlineStr">
        <is>
          <t>Home Office</t>
        </is>
      </c>
      <c r="G791" s="12" t="n"/>
      <c r="H791" s="12" t="inlineStr">
        <is>
          <t>Rajasthan</t>
        </is>
      </c>
      <c r="I791" s="12" t="inlineStr">
        <is>
          <t>Udaipur</t>
        </is>
      </c>
      <c r="J791" s="12" t="inlineStr">
        <is>
          <t>Technology</t>
        </is>
      </c>
      <c r="K791" s="12" t="inlineStr">
        <is>
          <t>Copiers</t>
        </is>
      </c>
      <c r="L791" s="12" t="inlineStr">
        <is>
          <t>Smart Copiers 408</t>
        </is>
      </c>
      <c r="M791" s="12" t="inlineStr">
        <is>
          <t>Same Day</t>
        </is>
      </c>
      <c r="N791" s="12" t="n">
        <v>4</v>
      </c>
      <c r="O791" s="12" t="n">
        <v>3537.48</v>
      </c>
      <c r="P791" s="12" t="n">
        <v>0</v>
      </c>
      <c r="Q791" s="12" t="n">
        <v>14149.92</v>
      </c>
      <c r="R791" s="12" t="n">
        <v>9466.51</v>
      </c>
      <c r="S791" s="12" t="n">
        <v>4683.41</v>
      </c>
      <c r="T791" s="12" t="inlineStr">
        <is>
          <t>Paid</t>
        </is>
      </c>
      <c r="U791" s="12" t="inlineStr">
        <is>
          <t>Completed</t>
        </is>
      </c>
      <c r="V791">
        <f>IF(OR(P791="",P791&lt;0,P791&gt;0.5),0,P791)</f>
        <v/>
      </c>
      <c r="W791">
        <f>N791*O791*(1-V791)</f>
        <v/>
      </c>
      <c r="X791">
        <f>W791-R791</f>
        <v/>
      </c>
      <c r="Y791">
        <f>IF(W791=0,0,X791/W791)</f>
        <v/>
      </c>
      <c r="Z791">
        <f>C791-B791</f>
        <v/>
      </c>
      <c r="AA791">
        <f>TEXT(B791,"mmmm")</f>
        <v/>
      </c>
      <c r="AB791">
        <f>YEAR(B791)</f>
        <v/>
      </c>
      <c r="AC791">
        <f>IF(OR(P791&lt;0,P791&gt;0.5,C791&lt;B791),"INVALID","CLEAN")</f>
        <v/>
      </c>
    </row>
    <row r="792">
      <c r="A792" s="12" t="inlineStr">
        <is>
          <t>ORD-2024-10791</t>
        </is>
      </c>
      <c r="B792" s="12" t="inlineStr">
        <is>
          <t>31 May 2024</t>
        </is>
      </c>
      <c r="C792" s="12" t="inlineStr">
        <is>
          <t>2024-06-02</t>
        </is>
      </c>
      <c r="D792" s="12" t="inlineStr">
        <is>
          <t>CUST-1951</t>
        </is>
      </c>
      <c r="E792" s="12" t="inlineStr">
        <is>
          <t>Rahul Verma</t>
        </is>
      </c>
      <c r="F792" s="12" t="inlineStr">
        <is>
          <t>Corporate</t>
        </is>
      </c>
      <c r="G792" s="12" t="inlineStr">
        <is>
          <t>South</t>
        </is>
      </c>
      <c r="H792" s="12" t="inlineStr">
        <is>
          <t>Andhra Pradesh</t>
        </is>
      </c>
      <c r="I792" s="12" t="inlineStr">
        <is>
          <t>Vijayawada</t>
        </is>
      </c>
      <c r="J792" s="12" t="inlineStr">
        <is>
          <t>Office Supplies</t>
        </is>
      </c>
      <c r="K792" s="12" t="inlineStr">
        <is>
          <t>Art</t>
        </is>
      </c>
      <c r="L792" s="12" t="inlineStr">
        <is>
          <t>Classic Art 781</t>
        </is>
      </c>
      <c r="M792" s="12" t="inlineStr">
        <is>
          <t>Standard Class</t>
        </is>
      </c>
      <c r="N792" s="12" t="n">
        <v>8</v>
      </c>
      <c r="O792" s="12" t="n">
        <v>667.59</v>
      </c>
      <c r="P792" s="12" t="n">
        <v>0.2</v>
      </c>
      <c r="Q792" s="12" t="n">
        <v>4272.58</v>
      </c>
      <c r="R792" s="12" t="n">
        <v>3328.92</v>
      </c>
      <c r="S792" s="12" t="n">
        <v>943.66</v>
      </c>
      <c r="T792" s="12" t="inlineStr">
        <is>
          <t>Paid</t>
        </is>
      </c>
      <c r="U792" s="12" t="inlineStr">
        <is>
          <t>Completed</t>
        </is>
      </c>
      <c r="V792">
        <f>IF(OR(P792="",P792&lt;0,P792&gt;0.5),0,P792)</f>
        <v/>
      </c>
      <c r="W792">
        <f>N792*O792*(1-V792)</f>
        <v/>
      </c>
      <c r="X792">
        <f>W792-R792</f>
        <v/>
      </c>
      <c r="Y792">
        <f>IF(W792=0,0,X792/W792)</f>
        <v/>
      </c>
      <c r="Z792">
        <f>C792-B792</f>
        <v/>
      </c>
      <c r="AA792">
        <f>TEXT(B792,"mmmm")</f>
        <v/>
      </c>
      <c r="AB792">
        <f>YEAR(B792)</f>
        <v/>
      </c>
      <c r="AC792">
        <f>IF(OR(P792&lt;0,P792&gt;0.5,C792&lt;B792),"INVALID","CLEAN")</f>
        <v/>
      </c>
    </row>
    <row r="793">
      <c r="A793" s="12" t="inlineStr">
        <is>
          <t>ORD-2024-10792</t>
        </is>
      </c>
      <c r="B793" s="12" t="inlineStr">
        <is>
          <t>02 Oct 2024</t>
        </is>
      </c>
      <c r="C793" s="12" t="inlineStr">
        <is>
          <t>2024-10-06</t>
        </is>
      </c>
      <c r="D793" s="12" t="inlineStr">
        <is>
          <t>CUST-6300</t>
        </is>
      </c>
      <c r="E793" s="12" t="inlineStr">
        <is>
          <t>Rahul Verma</t>
        </is>
      </c>
      <c r="F793" s="12" t="inlineStr">
        <is>
          <t>Home Office</t>
        </is>
      </c>
      <c r="G793" s="12" t="inlineStr">
        <is>
          <t>South</t>
        </is>
      </c>
      <c r="H793" s="12" t="inlineStr">
        <is>
          <t>Karnataka</t>
        </is>
      </c>
      <c r="I793" s="12" t="inlineStr">
        <is>
          <t>Bengaluru</t>
        </is>
      </c>
      <c r="J793" s="12" t="inlineStr">
        <is>
          <t>Furniture</t>
        </is>
      </c>
      <c r="K793" s="12" t="inlineStr">
        <is>
          <t>Bookcases</t>
        </is>
      </c>
      <c r="L793" s="12" t="inlineStr">
        <is>
          <t>Eco Bookcases 144</t>
        </is>
      </c>
      <c r="M793" s="12" t="inlineStr">
        <is>
          <t>Same Day</t>
        </is>
      </c>
      <c r="N793" s="12" t="n">
        <v>8</v>
      </c>
      <c r="O793" s="12" t="n">
        <v>1558.77</v>
      </c>
      <c r="P793" s="12" t="n">
        <v>0.25</v>
      </c>
      <c r="Q793" s="12" t="n">
        <v>9352.620000000001</v>
      </c>
      <c r="R793" s="12" t="n">
        <v>5269.41</v>
      </c>
      <c r="S793" s="12" t="n">
        <v>4083.21</v>
      </c>
      <c r="T793" s="12" t="inlineStr">
        <is>
          <t>Paid</t>
        </is>
      </c>
      <c r="U793" s="12" t="inlineStr">
        <is>
          <t>Completed</t>
        </is>
      </c>
      <c r="V793">
        <f>IF(OR(P793="",P793&lt;0,P793&gt;0.5),0,P793)</f>
        <v/>
      </c>
      <c r="W793">
        <f>N793*O793*(1-V793)</f>
        <v/>
      </c>
      <c r="X793">
        <f>W793-R793</f>
        <v/>
      </c>
      <c r="Y793">
        <f>IF(W793=0,0,X793/W793)</f>
        <v/>
      </c>
      <c r="Z793">
        <f>C793-B793</f>
        <v/>
      </c>
      <c r="AA793">
        <f>TEXT(B793,"mmmm")</f>
        <v/>
      </c>
      <c r="AB793">
        <f>YEAR(B793)</f>
        <v/>
      </c>
      <c r="AC793">
        <f>IF(OR(P793&lt;0,P793&gt;0.5,C793&lt;B793),"INVALID","CLEAN")</f>
        <v/>
      </c>
    </row>
    <row r="794">
      <c r="A794" s="12" t="inlineStr">
        <is>
          <t>ORD-2025-10793</t>
        </is>
      </c>
      <c r="B794" s="12" t="inlineStr">
        <is>
          <t>2025-06-04</t>
        </is>
      </c>
      <c r="C794" s="12" t="inlineStr">
        <is>
          <t>08 Jun 2025</t>
        </is>
      </c>
      <c r="D794" s="12" t="inlineStr">
        <is>
          <t>CUST-1417</t>
        </is>
      </c>
      <c r="E794" s="12" t="inlineStr">
        <is>
          <t>Arjun Bose</t>
        </is>
      </c>
      <c r="F794" s="12" t="inlineStr">
        <is>
          <t>Small Business</t>
        </is>
      </c>
      <c r="G794" s="12" t="inlineStr">
        <is>
          <t>East</t>
        </is>
      </c>
      <c r="H794" s="12" t="inlineStr">
        <is>
          <t>Assam</t>
        </is>
      </c>
      <c r="I794" s="12" t="inlineStr">
        <is>
          <t>Guwahati</t>
        </is>
      </c>
      <c r="J794" s="12" t="inlineStr">
        <is>
          <t>Furniture</t>
        </is>
      </c>
      <c r="K794" s="12" t="inlineStr">
        <is>
          <t>Furnishings</t>
        </is>
      </c>
      <c r="L794" s="12" t="inlineStr">
        <is>
          <t>Elite Furnishings 852</t>
        </is>
      </c>
      <c r="M794" s="12" t="inlineStr">
        <is>
          <t>Second Class</t>
        </is>
      </c>
      <c r="N794" s="12" t="n">
        <v>1</v>
      </c>
      <c r="O794" s="12" t="n">
        <v>3501.12</v>
      </c>
      <c r="P794" s="12" t="n">
        <v>0.2</v>
      </c>
      <c r="Q794" s="12" t="n">
        <v>2800.9</v>
      </c>
      <c r="R794" s="12" t="n">
        <v>1735.98</v>
      </c>
      <c r="S794" s="12" t="n">
        <v>1064.92</v>
      </c>
      <c r="T794" s="12" t="inlineStr">
        <is>
          <t>Paid</t>
        </is>
      </c>
      <c r="U794" s="12" t="inlineStr">
        <is>
          <t>Returned</t>
        </is>
      </c>
      <c r="V794">
        <f>IF(OR(P794="",P794&lt;0,P794&gt;0.5),0,P794)</f>
        <v/>
      </c>
      <c r="W794">
        <f>N794*O794*(1-V794)</f>
        <v/>
      </c>
      <c r="X794">
        <f>W794-R794</f>
        <v/>
      </c>
      <c r="Y794">
        <f>IF(W794=0,0,X794/W794)</f>
        <v/>
      </c>
      <c r="Z794">
        <f>C794-B794</f>
        <v/>
      </c>
      <c r="AA794">
        <f>TEXT(B794,"mmmm")</f>
        <v/>
      </c>
      <c r="AB794">
        <f>YEAR(B794)</f>
        <v/>
      </c>
      <c r="AC794">
        <f>IF(OR(P794&lt;0,P794&gt;0.5,C794&lt;B794),"INVALID","CLEAN")</f>
        <v/>
      </c>
    </row>
    <row r="795">
      <c r="A795" s="12" t="inlineStr">
        <is>
          <t>ORD-2024-10794</t>
        </is>
      </c>
      <c r="B795" s="12" t="inlineStr">
        <is>
          <t>28-05-2024</t>
        </is>
      </c>
      <c r="C795" s="12" t="inlineStr">
        <is>
          <t>03 Jun 2024</t>
        </is>
      </c>
      <c r="D795" s="12" t="inlineStr">
        <is>
          <t>CUST-5421</t>
        </is>
      </c>
      <c r="E795" s="12" t="inlineStr">
        <is>
          <t>Vikram Iyer</t>
        </is>
      </c>
      <c r="F795" s="12" t="inlineStr">
        <is>
          <t>Corporate</t>
        </is>
      </c>
      <c r="G795" s="12" t="inlineStr">
        <is>
          <t>North</t>
        </is>
      </c>
      <c r="H795" s="12" t="inlineStr">
        <is>
          <t>Rajasthan</t>
        </is>
      </c>
      <c r="I795" s="12" t="inlineStr">
        <is>
          <t>Jaipur</t>
        </is>
      </c>
      <c r="J795" s="12" t="inlineStr">
        <is>
          <t>Technology</t>
        </is>
      </c>
      <c r="K795" s="12" t="inlineStr">
        <is>
          <t>Copiers</t>
        </is>
      </c>
      <c r="L795" s="12" t="inlineStr">
        <is>
          <t>Basic Copiers 238</t>
        </is>
      </c>
      <c r="M795" s="12" t="inlineStr">
        <is>
          <t>Second Class</t>
        </is>
      </c>
      <c r="N795" s="12" t="n">
        <v>5</v>
      </c>
      <c r="O795" s="12" t="n">
        <v>4302.32</v>
      </c>
      <c r="P795" s="12" t="n">
        <v>0</v>
      </c>
      <c r="Q795" s="12" t="n">
        <v>21511.6</v>
      </c>
      <c r="R795" s="12" t="n">
        <v>15408.47</v>
      </c>
      <c r="S795" s="12" t="n">
        <v>6103.13</v>
      </c>
      <c r="T795" s="12" t="inlineStr">
        <is>
          <t>Paid</t>
        </is>
      </c>
      <c r="U795" s="12" t="inlineStr">
        <is>
          <t>Completed</t>
        </is>
      </c>
      <c r="V795">
        <f>IF(OR(P795="",P795&lt;0,P795&gt;0.5),0,P795)</f>
        <v/>
      </c>
      <c r="W795">
        <f>N795*O795*(1-V795)</f>
        <v/>
      </c>
      <c r="X795">
        <f>W795-R795</f>
        <v/>
      </c>
      <c r="Y795">
        <f>IF(W795=0,0,X795/W795)</f>
        <v/>
      </c>
      <c r="Z795">
        <f>C795-B795</f>
        <v/>
      </c>
      <c r="AA795">
        <f>TEXT(B795,"mmmm")</f>
        <v/>
      </c>
      <c r="AB795">
        <f>YEAR(B795)</f>
        <v/>
      </c>
      <c r="AC795">
        <f>IF(OR(P795&lt;0,P795&gt;0.5,C795&lt;B795),"INVALID","CLEAN")</f>
        <v/>
      </c>
    </row>
    <row r="796">
      <c r="A796" s="12" t="inlineStr">
        <is>
          <t>ORD-2025-10795</t>
        </is>
      </c>
      <c r="B796" s="12" t="inlineStr">
        <is>
          <t>2025-06-22</t>
        </is>
      </c>
      <c r="C796" s="12" t="inlineStr">
        <is>
          <t>2025-06-24</t>
        </is>
      </c>
      <c r="D796" s="12" t="inlineStr">
        <is>
          <t>CUST-2829</t>
        </is>
      </c>
      <c r="E796" s="12" t="inlineStr">
        <is>
          <t>Sneha Kapoor</t>
        </is>
      </c>
      <c r="F796" s="12" t="inlineStr">
        <is>
          <t>Corporate</t>
        </is>
      </c>
      <c r="G796" s="12" t="inlineStr">
        <is>
          <t>East</t>
        </is>
      </c>
      <c r="H796" s="12" t="inlineStr">
        <is>
          <t>Assam</t>
        </is>
      </c>
      <c r="I796" s="12" t="inlineStr">
        <is>
          <t>Guwahati</t>
        </is>
      </c>
      <c r="J796" s="12" t="inlineStr">
        <is>
          <t>Office Supplies</t>
        </is>
      </c>
      <c r="K796" s="12" t="inlineStr">
        <is>
          <t>Paper</t>
        </is>
      </c>
      <c r="L796" s="12" t="inlineStr">
        <is>
          <t>Elite Paper 847</t>
        </is>
      </c>
      <c r="M796" s="12" t="inlineStr">
        <is>
          <t>Standard Class</t>
        </is>
      </c>
      <c r="N796" s="12" t="n">
        <v>9</v>
      </c>
      <c r="O796" s="12" t="n">
        <v>951.55</v>
      </c>
      <c r="P796" s="12" t="n">
        <v>0.15</v>
      </c>
      <c r="Q796" s="12" t="n">
        <v>7279.36</v>
      </c>
      <c r="R796" s="12" t="n">
        <v>4870.39</v>
      </c>
      <c r="S796" s="12" t="n">
        <v>2408.97</v>
      </c>
      <c r="T796" s="12" t="inlineStr">
        <is>
          <t>Paid</t>
        </is>
      </c>
      <c r="U796" s="12" t="inlineStr">
        <is>
          <t>Completed</t>
        </is>
      </c>
      <c r="V796">
        <f>IF(OR(P796="",P796&lt;0,P796&gt;0.5),0,P796)</f>
        <v/>
      </c>
      <c r="W796">
        <f>N796*O796*(1-V796)</f>
        <v/>
      </c>
      <c r="X796">
        <f>W796-R796</f>
        <v/>
      </c>
      <c r="Y796">
        <f>IF(W796=0,0,X796/W796)</f>
        <v/>
      </c>
      <c r="Z796">
        <f>C796-B796</f>
        <v/>
      </c>
      <c r="AA796">
        <f>TEXT(B796,"mmmm")</f>
        <v/>
      </c>
      <c r="AB796">
        <f>YEAR(B796)</f>
        <v/>
      </c>
      <c r="AC796">
        <f>IF(OR(P796&lt;0,P796&gt;0.5,C796&lt;B796),"INVALID","CLEAN")</f>
        <v/>
      </c>
    </row>
    <row r="797">
      <c r="A797" s="12" t="inlineStr">
        <is>
          <t>ORD-2024-10796</t>
        </is>
      </c>
      <c r="B797" s="12" t="inlineStr">
        <is>
          <t>30-07-2024</t>
        </is>
      </c>
      <c r="C797" s="12" t="inlineStr">
        <is>
          <t>2024-07-30</t>
        </is>
      </c>
      <c r="D797" s="12" t="inlineStr">
        <is>
          <t>CUST-6529</t>
        </is>
      </c>
      <c r="E797" s="12" t="inlineStr">
        <is>
          <t>Diya Patel</t>
        </is>
      </c>
      <c r="F797" s="12" t="inlineStr">
        <is>
          <t>Home Office</t>
        </is>
      </c>
      <c r="G797" s="12" t="inlineStr">
        <is>
          <t>East</t>
        </is>
      </c>
      <c r="H797" s="12" t="inlineStr">
        <is>
          <t>Odisha</t>
        </is>
      </c>
      <c r="I797" s="12" t="inlineStr">
        <is>
          <t>Bhubaneswar</t>
        </is>
      </c>
      <c r="J797" s="12" t="inlineStr">
        <is>
          <t>Technology</t>
        </is>
      </c>
      <c r="K797" s="12" t="inlineStr">
        <is>
          <t>Copiers</t>
        </is>
      </c>
      <c r="L797" s="12" t="inlineStr">
        <is>
          <t>Pro Copiers 653</t>
        </is>
      </c>
      <c r="M797" s="12" t="inlineStr">
        <is>
          <t>Same Day</t>
        </is>
      </c>
      <c r="N797" s="12" t="n">
        <v>9</v>
      </c>
      <c r="O797" s="12" t="n">
        <v>2894.66</v>
      </c>
      <c r="P797" s="12" t="n">
        <v>0</v>
      </c>
      <c r="Q797" s="12" t="n">
        <v>26051.94</v>
      </c>
      <c r="R797" s="12" t="n">
        <v>16883.59</v>
      </c>
      <c r="S797" s="12" t="n">
        <v>9168.35</v>
      </c>
      <c r="T797" s="12" t="inlineStr">
        <is>
          <t>Refunded</t>
        </is>
      </c>
      <c r="U797" s="12" t="inlineStr">
        <is>
          <t>Cancelled</t>
        </is>
      </c>
      <c r="V797">
        <f>IF(OR(P797="",P797&lt;0,P797&gt;0.5),0,P797)</f>
        <v/>
      </c>
      <c r="W797">
        <f>N797*O797*(1-V797)</f>
        <v/>
      </c>
      <c r="X797">
        <f>W797-R797</f>
        <v/>
      </c>
      <c r="Y797">
        <f>IF(W797=0,0,X797/W797)</f>
        <v/>
      </c>
      <c r="Z797">
        <f>C797-B797</f>
        <v/>
      </c>
      <c r="AA797">
        <f>TEXT(B797,"mmmm")</f>
        <v/>
      </c>
      <c r="AB797">
        <f>YEAR(B797)</f>
        <v/>
      </c>
      <c r="AC797">
        <f>IF(OR(P797&lt;0,P797&gt;0.5,C797&lt;B797),"INVALID","CLEAN")</f>
        <v/>
      </c>
    </row>
    <row r="798">
      <c r="A798" s="12" t="inlineStr">
        <is>
          <t>ORD-2024-10797</t>
        </is>
      </c>
      <c r="B798" s="12" t="inlineStr">
        <is>
          <t>03/23/2024</t>
        </is>
      </c>
      <c r="C798" s="12" t="inlineStr">
        <is>
          <t>30-03-2024</t>
        </is>
      </c>
      <c r="D798" s="12" t="inlineStr">
        <is>
          <t>CUST-3126</t>
        </is>
      </c>
      <c r="E798" s="12" t="inlineStr">
        <is>
          <t>Rohan Mehta</t>
        </is>
      </c>
      <c r="F798" s="12" t="inlineStr">
        <is>
          <t>Small Business</t>
        </is>
      </c>
      <c r="G798" s="12" t="inlineStr">
        <is>
          <t>South</t>
        </is>
      </c>
      <c r="H798" s="12" t="inlineStr">
        <is>
          <t>Andhra Pradesh</t>
        </is>
      </c>
      <c r="I798" s="12" t="inlineStr">
        <is>
          <t>Vijayawada</t>
        </is>
      </c>
      <c r="J798" s="12" t="inlineStr">
        <is>
          <t>Technology</t>
        </is>
      </c>
      <c r="K798" s="12" t="inlineStr">
        <is>
          <t>Machines</t>
        </is>
      </c>
      <c r="L798" s="12" t="inlineStr">
        <is>
          <t>Elite Machines 459</t>
        </is>
      </c>
      <c r="M798" s="12" t="inlineStr">
        <is>
          <t>First Class</t>
        </is>
      </c>
      <c r="N798" s="12" t="n">
        <v>6</v>
      </c>
      <c r="O798" s="12" t="n">
        <v>1894.44</v>
      </c>
      <c r="P798" s="12" t="n">
        <v>0.15</v>
      </c>
      <c r="Q798" s="12" t="n">
        <v>9661.639999999999</v>
      </c>
      <c r="R798" s="12" t="n">
        <v>6303.77</v>
      </c>
      <c r="S798" s="12" t="n">
        <v>3357.87</v>
      </c>
      <c r="T798" s="12" t="inlineStr">
        <is>
          <t>Paid</t>
        </is>
      </c>
      <c r="U798" s="12" t="inlineStr">
        <is>
          <t>Completed</t>
        </is>
      </c>
      <c r="V798">
        <f>IF(OR(P798="",P798&lt;0,P798&gt;0.5),0,P798)</f>
        <v/>
      </c>
      <c r="W798">
        <f>N798*O798*(1-V798)</f>
        <v/>
      </c>
      <c r="X798">
        <f>W798-R798</f>
        <v/>
      </c>
      <c r="Y798">
        <f>IF(W798=0,0,X798/W798)</f>
        <v/>
      </c>
      <c r="Z798">
        <f>C798-B798</f>
        <v/>
      </c>
      <c r="AA798">
        <f>TEXT(B798,"mmmm")</f>
        <v/>
      </c>
      <c r="AB798">
        <f>YEAR(B798)</f>
        <v/>
      </c>
      <c r="AC798">
        <f>IF(OR(P798&lt;0,P798&gt;0.5,C798&lt;B798),"INVALID","CLEAN")</f>
        <v/>
      </c>
    </row>
    <row r="799">
      <c r="A799" s="12" t="inlineStr">
        <is>
          <t>ORD-2024-10798</t>
        </is>
      </c>
      <c r="B799" s="12" t="inlineStr">
        <is>
          <t>18 Apr 2024</t>
        </is>
      </c>
      <c r="C799" s="12" t="inlineStr">
        <is>
          <t>22-04-2024</t>
        </is>
      </c>
      <c r="D799" s="12" t="inlineStr">
        <is>
          <t>CUST-3991</t>
        </is>
      </c>
      <c r="E799" s="12" t="inlineStr">
        <is>
          <t>Aarav Sharma</t>
        </is>
      </c>
      <c r="F799" s="12" t="inlineStr">
        <is>
          <t>Consumer</t>
        </is>
      </c>
      <c r="G799" s="12" t="inlineStr">
        <is>
          <t>East</t>
        </is>
      </c>
      <c r="H799" s="12" t="inlineStr">
        <is>
          <t>Odisha</t>
        </is>
      </c>
      <c r="I799" s="12" t="inlineStr">
        <is>
          <t>Bhubaneswar</t>
        </is>
      </c>
      <c r="J799" s="12" t="inlineStr">
        <is>
          <t>Office Supplies</t>
        </is>
      </c>
      <c r="K799" s="12" t="inlineStr">
        <is>
          <t>Binders</t>
        </is>
      </c>
      <c r="L799" s="12" t="inlineStr">
        <is>
          <t>Elite Binders 764</t>
        </is>
      </c>
      <c r="M799" s="12" t="inlineStr">
        <is>
          <t>First Class</t>
        </is>
      </c>
      <c r="N799" s="12" t="n">
        <v>8</v>
      </c>
      <c r="O799" s="12" t="n">
        <v>1714.37</v>
      </c>
      <c r="P799" s="12" t="n">
        <v>0</v>
      </c>
      <c r="Q799" s="12" t="n">
        <v>13714.96</v>
      </c>
      <c r="R799" s="12" t="n">
        <v>10550.47</v>
      </c>
      <c r="S799" s="12" t="n">
        <v>3164.49</v>
      </c>
      <c r="T799" s="12" t="inlineStr">
        <is>
          <t>Failed</t>
        </is>
      </c>
      <c r="U799" s="12" t="inlineStr">
        <is>
          <t>Cancelled</t>
        </is>
      </c>
      <c r="V799">
        <f>IF(OR(P799="",P799&lt;0,P799&gt;0.5),0,P799)</f>
        <v/>
      </c>
      <c r="W799">
        <f>N799*O799*(1-V799)</f>
        <v/>
      </c>
      <c r="X799">
        <f>W799-R799</f>
        <v/>
      </c>
      <c r="Y799">
        <f>IF(W799=0,0,X799/W799)</f>
        <v/>
      </c>
      <c r="Z799">
        <f>C799-B799</f>
        <v/>
      </c>
      <c r="AA799">
        <f>TEXT(B799,"mmmm")</f>
        <v/>
      </c>
      <c r="AB799">
        <f>YEAR(B799)</f>
        <v/>
      </c>
      <c r="AC799">
        <f>IF(OR(P799&lt;0,P799&gt;0.5,C799&lt;B799),"INVALID","CLEAN")</f>
        <v/>
      </c>
    </row>
    <row r="800">
      <c r="A800" s="12" t="inlineStr">
        <is>
          <t>ORD-2025-10799</t>
        </is>
      </c>
      <c r="B800" s="12" t="inlineStr">
        <is>
          <t>2025-07-11</t>
        </is>
      </c>
      <c r="C800" s="12" t="inlineStr">
        <is>
          <t>09-07-2025</t>
        </is>
      </c>
      <c r="D800" s="12" t="inlineStr">
        <is>
          <t>CUST-7553</t>
        </is>
      </c>
      <c r="E800" s="12" t="inlineStr">
        <is>
          <t>Aditi Sen</t>
        </is>
      </c>
      <c r="F800" s="12" t="inlineStr">
        <is>
          <t>Corporate</t>
        </is>
      </c>
      <c r="G800" s="12" t="inlineStr">
        <is>
          <t>North</t>
        </is>
      </c>
      <c r="H800" s="12" t="inlineStr">
        <is>
          <t>Delhi</t>
        </is>
      </c>
      <c r="I800" s="12" t="inlineStr">
        <is>
          <t>New Delhi</t>
        </is>
      </c>
      <c r="J800" s="12" t="inlineStr">
        <is>
          <t>Furniture</t>
        </is>
      </c>
      <c r="K800" s="12" t="inlineStr">
        <is>
          <t>Furnishings</t>
        </is>
      </c>
      <c r="L800" s="12" t="inlineStr">
        <is>
          <t>Classic Furnishings 348</t>
        </is>
      </c>
      <c r="M800" s="12" t="inlineStr">
        <is>
          <t>Standard Class</t>
        </is>
      </c>
      <c r="N800" s="12" t="n">
        <v>9</v>
      </c>
      <c r="O800" s="12" t="n">
        <v>1706.05</v>
      </c>
      <c r="P800" s="12" t="n">
        <v>0</v>
      </c>
      <c r="Q800" s="12" t="n">
        <v>15354.45</v>
      </c>
      <c r="R800" s="12" t="n">
        <v>9656.5</v>
      </c>
      <c r="S800" s="12" t="n">
        <v>5697.95</v>
      </c>
      <c r="T800" s="12" t="inlineStr">
        <is>
          <t>Paid</t>
        </is>
      </c>
      <c r="U800" s="12" t="inlineStr">
        <is>
          <t>Completed</t>
        </is>
      </c>
      <c r="V800">
        <f>IF(OR(P800="",P800&lt;0,P800&gt;0.5),0,P800)</f>
        <v/>
      </c>
      <c r="W800">
        <f>N800*O800*(1-V800)</f>
        <v/>
      </c>
      <c r="X800">
        <f>W800-R800</f>
        <v/>
      </c>
      <c r="Y800">
        <f>IF(W800=0,0,X800/W800)</f>
        <v/>
      </c>
      <c r="Z800">
        <f>C800-B800</f>
        <v/>
      </c>
      <c r="AA800">
        <f>TEXT(B800,"mmmm")</f>
        <v/>
      </c>
      <c r="AB800">
        <f>YEAR(B800)</f>
        <v/>
      </c>
      <c r="AC800">
        <f>IF(OR(P800&lt;0,P800&gt;0.5,C800&lt;B800),"INVALID","CLEAN")</f>
        <v/>
      </c>
    </row>
    <row r="801">
      <c r="A801" s="12" t="inlineStr">
        <is>
          <t>ORD-2024-10800</t>
        </is>
      </c>
      <c r="B801" s="12" t="inlineStr">
        <is>
          <t>10 Oct 2024</t>
        </is>
      </c>
      <c r="C801" s="12" t="inlineStr">
        <is>
          <t>2024-10-17</t>
        </is>
      </c>
      <c r="D801" s="12" t="inlineStr">
        <is>
          <t>CUST-8527</t>
        </is>
      </c>
      <c r="E801" s="12" t="inlineStr">
        <is>
          <t>Isha Nair</t>
        </is>
      </c>
      <c r="F801" s="12" t="inlineStr">
        <is>
          <t>Home Office</t>
        </is>
      </c>
      <c r="G801" s="12" t="inlineStr">
        <is>
          <t>North</t>
        </is>
      </c>
      <c r="H801" s="12" t="inlineStr">
        <is>
          <t>Haryana</t>
        </is>
      </c>
      <c r="I801" s="12" t="inlineStr">
        <is>
          <t>Gurugram</t>
        </is>
      </c>
      <c r="J801" s="12" t="inlineStr">
        <is>
          <t>Technology</t>
        </is>
      </c>
      <c r="K801" s="12" t="inlineStr">
        <is>
          <t>Accessories</t>
        </is>
      </c>
      <c r="L801" s="12" t="inlineStr">
        <is>
          <t>Smart Accessories 487</t>
        </is>
      </c>
      <c r="M801" s="12" t="n"/>
      <c r="N801" s="12" t="n">
        <v>5</v>
      </c>
      <c r="O801" s="12" t="n">
        <v>967.41</v>
      </c>
      <c r="P801" s="12" t="n">
        <v>0.05</v>
      </c>
      <c r="Q801" s="12" t="n">
        <v>4595.2</v>
      </c>
      <c r="R801" s="12" t="n">
        <v>3887.41</v>
      </c>
      <c r="S801" s="12" t="n">
        <v>707.79</v>
      </c>
      <c r="T801" s="12" t="inlineStr">
        <is>
          <t>Paid</t>
        </is>
      </c>
      <c r="U801" s="12" t="inlineStr">
        <is>
          <t>Returned</t>
        </is>
      </c>
      <c r="V801">
        <f>IF(OR(P801="",P801&lt;0,P801&gt;0.5),0,P801)</f>
        <v/>
      </c>
      <c r="W801">
        <f>N801*O801*(1-V801)</f>
        <v/>
      </c>
      <c r="X801">
        <f>W801-R801</f>
        <v/>
      </c>
      <c r="Y801">
        <f>IF(W801=0,0,X801/W801)</f>
        <v/>
      </c>
      <c r="Z801">
        <f>C801-B801</f>
        <v/>
      </c>
      <c r="AA801">
        <f>TEXT(B801,"mmmm")</f>
        <v/>
      </c>
      <c r="AB801">
        <f>YEAR(B801)</f>
        <v/>
      </c>
      <c r="AC801">
        <f>IF(OR(P801&lt;0,P801&gt;0.5,C801&lt;B801),"INVALID","CLEAN")</f>
        <v/>
      </c>
    </row>
    <row r="802">
      <c r="A802" s="12" t="inlineStr">
        <is>
          <t>ORD-2024-10801</t>
        </is>
      </c>
      <c r="B802" s="12" t="inlineStr">
        <is>
          <t>01 Mar 2024</t>
        </is>
      </c>
      <c r="C802" s="12" t="inlineStr">
        <is>
          <t>2024-03-07</t>
        </is>
      </c>
      <c r="D802" s="12" t="inlineStr">
        <is>
          <t>CUST-5015</t>
        </is>
      </c>
      <c r="E802" s="12" t="inlineStr">
        <is>
          <t>Vikram Iyer</t>
        </is>
      </c>
      <c r="F802" s="12" t="inlineStr">
        <is>
          <t>Small Business</t>
        </is>
      </c>
      <c r="G802" s="12" t="inlineStr">
        <is>
          <t>West</t>
        </is>
      </c>
      <c r="H802" s="12" t="inlineStr">
        <is>
          <t>Maharashtra</t>
        </is>
      </c>
      <c r="I802" s="12" t="inlineStr">
        <is>
          <t>Mumbai</t>
        </is>
      </c>
      <c r="J802" s="12" t="inlineStr">
        <is>
          <t>Office Supplies</t>
        </is>
      </c>
      <c r="K802" s="12" t="inlineStr">
        <is>
          <t>Storage</t>
        </is>
      </c>
      <c r="L802" s="12" t="inlineStr">
        <is>
          <t>Elite Storage 825</t>
        </is>
      </c>
      <c r="M802" s="12" t="inlineStr">
        <is>
          <t>Second Class</t>
        </is>
      </c>
      <c r="N802" s="12" t="n">
        <v>6</v>
      </c>
      <c r="O802" s="12" t="n">
        <v>4163.72</v>
      </c>
      <c r="P802" s="12" t="n">
        <v>0.15</v>
      </c>
      <c r="Q802" s="12" t="n">
        <v>21234.97</v>
      </c>
      <c r="R802" s="12" t="n">
        <v>16736.09</v>
      </c>
      <c r="S802" s="12" t="n">
        <v>4498.88</v>
      </c>
      <c r="T802" s="12" t="inlineStr">
        <is>
          <t>Paid</t>
        </is>
      </c>
      <c r="U802" s="12" t="inlineStr">
        <is>
          <t>Completed</t>
        </is>
      </c>
      <c r="V802">
        <f>IF(OR(P802="",P802&lt;0,P802&gt;0.5),0,P802)</f>
        <v/>
      </c>
      <c r="W802">
        <f>N802*O802*(1-V802)</f>
        <v/>
      </c>
      <c r="X802">
        <f>W802-R802</f>
        <v/>
      </c>
      <c r="Y802">
        <f>IF(W802=0,0,X802/W802)</f>
        <v/>
      </c>
      <c r="Z802">
        <f>C802-B802</f>
        <v/>
      </c>
      <c r="AA802">
        <f>TEXT(B802,"mmmm")</f>
        <v/>
      </c>
      <c r="AB802">
        <f>YEAR(B802)</f>
        <v/>
      </c>
      <c r="AC802">
        <f>IF(OR(P802&lt;0,P802&gt;0.5,C802&lt;B802),"INVALID","CLEAN")</f>
        <v/>
      </c>
    </row>
    <row r="803">
      <c r="A803" s="12" t="inlineStr">
        <is>
          <t>ORD-2025-10802</t>
        </is>
      </c>
      <c r="B803" s="12" t="inlineStr">
        <is>
          <t>2025-10-08</t>
        </is>
      </c>
      <c r="C803" s="12" t="inlineStr">
        <is>
          <t>15 Oct 2025</t>
        </is>
      </c>
      <c r="D803" s="12" t="inlineStr">
        <is>
          <t>CUST-3344</t>
        </is>
      </c>
      <c r="E803" s="12" t="inlineStr">
        <is>
          <t>Aarav Sharma</t>
        </is>
      </c>
      <c r="F803" s="12" t="inlineStr">
        <is>
          <t>Home Office</t>
        </is>
      </c>
      <c r="G803" s="12" t="inlineStr">
        <is>
          <t>East</t>
        </is>
      </c>
      <c r="H803" s="12" t="inlineStr">
        <is>
          <t>Odisha</t>
        </is>
      </c>
      <c r="I803" s="12" t="inlineStr">
        <is>
          <t>Bhubaneswar</t>
        </is>
      </c>
      <c r="J803" s="12" t="inlineStr">
        <is>
          <t>Technology</t>
        </is>
      </c>
      <c r="K803" s="12" t="inlineStr">
        <is>
          <t>Accessories</t>
        </is>
      </c>
      <c r="L803" s="12" t="inlineStr">
        <is>
          <t>Pro Accessories 500</t>
        </is>
      </c>
      <c r="M803" s="12" t="inlineStr">
        <is>
          <t>Second Class</t>
        </is>
      </c>
      <c r="N803" s="12" t="n">
        <v>3</v>
      </c>
      <c r="O803" s="12" t="n">
        <v>3372.21</v>
      </c>
      <c r="P803" s="12" t="n">
        <v>0.2</v>
      </c>
      <c r="Q803" s="12" t="n">
        <v>8093.3</v>
      </c>
      <c r="R803" s="12" t="n">
        <v>6052.43</v>
      </c>
      <c r="S803" s="12" t="n">
        <v>2040.87</v>
      </c>
      <c r="T803" s="12" t="inlineStr">
        <is>
          <t>Pending</t>
        </is>
      </c>
      <c r="U803" s="12" t="inlineStr">
        <is>
          <t>Cancelled</t>
        </is>
      </c>
      <c r="V803">
        <f>IF(OR(P803="",P803&lt;0,P803&gt;0.5),0,P803)</f>
        <v/>
      </c>
      <c r="W803">
        <f>N803*O803*(1-V803)</f>
        <v/>
      </c>
      <c r="X803">
        <f>W803-R803</f>
        <v/>
      </c>
      <c r="Y803">
        <f>IF(W803=0,0,X803/W803)</f>
        <v/>
      </c>
      <c r="Z803">
        <f>C803-B803</f>
        <v/>
      </c>
      <c r="AA803">
        <f>TEXT(B803,"mmmm")</f>
        <v/>
      </c>
      <c r="AB803">
        <f>YEAR(B803)</f>
        <v/>
      </c>
      <c r="AC803">
        <f>IF(OR(P803&lt;0,P803&gt;0.5,C803&lt;B803),"INVALID","CLEAN")</f>
        <v/>
      </c>
    </row>
    <row r="804">
      <c r="A804" s="12" t="inlineStr">
        <is>
          <t>ORD-2025-10803</t>
        </is>
      </c>
      <c r="B804" s="12" t="inlineStr">
        <is>
          <t>16 Feb 2025</t>
        </is>
      </c>
      <c r="C804" s="12" t="inlineStr">
        <is>
          <t>2025-02-16</t>
        </is>
      </c>
      <c r="D804" s="12" t="inlineStr">
        <is>
          <t>CUST-5866</t>
        </is>
      </c>
      <c r="E804" s="12" t="inlineStr">
        <is>
          <t>Rohan Mehta</t>
        </is>
      </c>
      <c r="F804" s="12" t="inlineStr">
        <is>
          <t>Small Business</t>
        </is>
      </c>
      <c r="G804" s="12" t="inlineStr">
        <is>
          <t>East</t>
        </is>
      </c>
      <c r="H804" s="12" t="inlineStr">
        <is>
          <t>Assam</t>
        </is>
      </c>
      <c r="I804" s="12" t="inlineStr">
        <is>
          <t>Guwahati</t>
        </is>
      </c>
      <c r="J804" s="12" t="inlineStr">
        <is>
          <t>Furniture</t>
        </is>
      </c>
      <c r="K804" s="12" t="inlineStr">
        <is>
          <t>Furnishings</t>
        </is>
      </c>
      <c r="L804" s="12" t="inlineStr">
        <is>
          <t>Pro Furnishings 909</t>
        </is>
      </c>
      <c r="M804" s="12" t="inlineStr">
        <is>
          <t>Second Class</t>
        </is>
      </c>
      <c r="N804" s="12" t="n">
        <v>6</v>
      </c>
      <c r="O804" s="12" t="n">
        <v>1441.91</v>
      </c>
      <c r="P804" s="12" t="n">
        <v>0</v>
      </c>
      <c r="Q804" s="12" t="n">
        <v>8651.459999999999</v>
      </c>
      <c r="R804" s="12" t="n">
        <v>5254.62</v>
      </c>
      <c r="S804" s="12" t="n">
        <v>3396.84</v>
      </c>
      <c r="T804" s="12" t="inlineStr">
        <is>
          <t>failed</t>
        </is>
      </c>
      <c r="U804" s="12" t="inlineStr">
        <is>
          <t>Returned</t>
        </is>
      </c>
      <c r="V804">
        <f>IF(OR(P804="",P804&lt;0,P804&gt;0.5),0,P804)</f>
        <v/>
      </c>
      <c r="W804">
        <f>N804*O804*(1-V804)</f>
        <v/>
      </c>
      <c r="X804">
        <f>W804-R804</f>
        <v/>
      </c>
      <c r="Y804">
        <f>IF(W804=0,0,X804/W804)</f>
        <v/>
      </c>
      <c r="Z804">
        <f>C804-B804</f>
        <v/>
      </c>
      <c r="AA804">
        <f>TEXT(B804,"mmmm")</f>
        <v/>
      </c>
      <c r="AB804">
        <f>YEAR(B804)</f>
        <v/>
      </c>
      <c r="AC804">
        <f>IF(OR(P804&lt;0,P804&gt;0.5,C804&lt;B804),"INVALID","CLEAN")</f>
        <v/>
      </c>
    </row>
    <row r="805">
      <c r="A805" s="12" t="inlineStr">
        <is>
          <t>ORD-2024-10804</t>
        </is>
      </c>
      <c r="B805" s="12" t="inlineStr">
        <is>
          <t>09 Dec 2024</t>
        </is>
      </c>
      <c r="C805" s="12" t="inlineStr">
        <is>
          <t>13 Dec 2024</t>
        </is>
      </c>
      <c r="D805" s="12" t="inlineStr">
        <is>
          <t>CUST-7180</t>
        </is>
      </c>
      <c r="E805" s="12" t="inlineStr">
        <is>
          <t>Rohan Mehta</t>
        </is>
      </c>
      <c r="F805" s="12" t="inlineStr">
        <is>
          <t>Consumer</t>
        </is>
      </c>
      <c r="G805" s="12" t="n"/>
      <c r="H805" s="12" t="inlineStr">
        <is>
          <t>Jharkhand</t>
        </is>
      </c>
      <c r="I805" s="12" t="inlineStr">
        <is>
          <t>Ranchi</t>
        </is>
      </c>
      <c r="J805" s="12" t="inlineStr">
        <is>
          <t>Office Supplies</t>
        </is>
      </c>
      <c r="K805" s="12" t="inlineStr">
        <is>
          <t>Labels</t>
        </is>
      </c>
      <c r="L805" s="12" t="inlineStr">
        <is>
          <t>Basic Labels 359</t>
        </is>
      </c>
      <c r="M805" s="12" t="inlineStr">
        <is>
          <t>First Class</t>
        </is>
      </c>
      <c r="N805" s="12" t="n">
        <v>1</v>
      </c>
      <c r="O805" s="12" t="n">
        <v>4306.65</v>
      </c>
      <c r="P805" s="12" t="n">
        <v>0</v>
      </c>
      <c r="Q805" s="12" t="n">
        <v>4306.65</v>
      </c>
      <c r="R805" s="12" t="n">
        <v>2568.82</v>
      </c>
      <c r="S805" s="12" t="n">
        <v>1737.83</v>
      </c>
      <c r="T805" s="12" t="inlineStr">
        <is>
          <t>Paid</t>
        </is>
      </c>
      <c r="U805" s="12" t="inlineStr">
        <is>
          <t>Completed</t>
        </is>
      </c>
      <c r="V805">
        <f>IF(OR(P805="",P805&lt;0,P805&gt;0.5),0,P805)</f>
        <v/>
      </c>
      <c r="W805">
        <f>N805*O805*(1-V805)</f>
        <v/>
      </c>
      <c r="X805">
        <f>W805-R805</f>
        <v/>
      </c>
      <c r="Y805">
        <f>IF(W805=0,0,X805/W805)</f>
        <v/>
      </c>
      <c r="Z805">
        <f>C805-B805</f>
        <v/>
      </c>
      <c r="AA805">
        <f>TEXT(B805,"mmmm")</f>
        <v/>
      </c>
      <c r="AB805">
        <f>YEAR(B805)</f>
        <v/>
      </c>
      <c r="AC805">
        <f>IF(OR(P805&lt;0,P805&gt;0.5,C805&lt;B805),"INVALID","CLEAN")</f>
        <v/>
      </c>
    </row>
    <row r="806">
      <c r="A806" s="12" t="inlineStr">
        <is>
          <t>ORD-2025-10805</t>
        </is>
      </c>
      <c r="B806" s="12" t="inlineStr">
        <is>
          <t>10-09-2025</t>
        </is>
      </c>
      <c r="C806" s="12" t="inlineStr">
        <is>
          <t>18-09-2025</t>
        </is>
      </c>
      <c r="D806" s="12" t="inlineStr">
        <is>
          <t>CUST-8745</t>
        </is>
      </c>
      <c r="E806" s="12" t="inlineStr">
        <is>
          <t>Rahul Verma</t>
        </is>
      </c>
      <c r="F806" s="12" t="inlineStr">
        <is>
          <t>Home Office</t>
        </is>
      </c>
      <c r="G806" s="12" t="inlineStr">
        <is>
          <t>South</t>
        </is>
      </c>
      <c r="H806" s="12" t="inlineStr">
        <is>
          <t>Telangana</t>
        </is>
      </c>
      <c r="I806" s="12" t="inlineStr">
        <is>
          <t>Hyderabad</t>
        </is>
      </c>
      <c r="J806" s="12" t="inlineStr">
        <is>
          <t>Furniture</t>
        </is>
      </c>
      <c r="K806" s="12" t="inlineStr">
        <is>
          <t>Furnishings</t>
        </is>
      </c>
      <c r="L806" s="12" t="inlineStr">
        <is>
          <t>Eco Furnishings 541</t>
        </is>
      </c>
      <c r="M806" s="12" t="inlineStr">
        <is>
          <t>Standard Class</t>
        </is>
      </c>
      <c r="N806" s="12" t="n">
        <v>1</v>
      </c>
      <c r="O806" s="12" t="n">
        <v>2050.62</v>
      </c>
      <c r="P806" s="12" t="n">
        <v>0.05</v>
      </c>
      <c r="Q806" s="12" t="n">
        <v>1948.09</v>
      </c>
      <c r="R806" s="12" t="n">
        <v>1507.08</v>
      </c>
      <c r="S806" s="12" t="n">
        <v>441.01</v>
      </c>
      <c r="T806" s="12" t="inlineStr">
        <is>
          <t>Paid</t>
        </is>
      </c>
      <c r="U806" s="12" t="inlineStr">
        <is>
          <t>Completed</t>
        </is>
      </c>
      <c r="V806">
        <f>IF(OR(P806="",P806&lt;0,P806&gt;0.5),0,P806)</f>
        <v/>
      </c>
      <c r="W806">
        <f>N806*O806*(1-V806)</f>
        <v/>
      </c>
      <c r="X806">
        <f>W806-R806</f>
        <v/>
      </c>
      <c r="Y806">
        <f>IF(W806=0,0,X806/W806)</f>
        <v/>
      </c>
      <c r="Z806">
        <f>C806-B806</f>
        <v/>
      </c>
      <c r="AA806">
        <f>TEXT(B806,"mmmm")</f>
        <v/>
      </c>
      <c r="AB806">
        <f>YEAR(B806)</f>
        <v/>
      </c>
      <c r="AC806">
        <f>IF(OR(P806&lt;0,P806&gt;0.5,C806&lt;B806),"INVALID","CLEAN")</f>
        <v/>
      </c>
    </row>
    <row r="807">
      <c r="A807" s="12" t="inlineStr">
        <is>
          <t>ORD-2025-10806</t>
        </is>
      </c>
      <c r="B807" s="12" t="inlineStr">
        <is>
          <t>2025-04-06</t>
        </is>
      </c>
      <c r="C807" s="12" t="inlineStr">
        <is>
          <t>07-04-2025</t>
        </is>
      </c>
      <c r="D807" s="12" t="inlineStr">
        <is>
          <t>CUST-2098</t>
        </is>
      </c>
      <c r="E807" s="12" t="inlineStr">
        <is>
          <t>Priya Menon</t>
        </is>
      </c>
      <c r="F807" s="12" t="inlineStr">
        <is>
          <t>Home Office</t>
        </is>
      </c>
      <c r="G807" s="12" t="inlineStr">
        <is>
          <t>East</t>
        </is>
      </c>
      <c r="H807" s="12" t="inlineStr">
        <is>
          <t>Assam</t>
        </is>
      </c>
      <c r="I807" s="12" t="inlineStr">
        <is>
          <t>Guwahati</t>
        </is>
      </c>
      <c r="J807" s="12" t="inlineStr">
        <is>
          <t>Office Supplies</t>
        </is>
      </c>
      <c r="K807" s="12" t="inlineStr">
        <is>
          <t>Binders</t>
        </is>
      </c>
      <c r="L807" s="12" t="inlineStr">
        <is>
          <t>Classic Binders 103</t>
        </is>
      </c>
      <c r="M807" s="12" t="inlineStr">
        <is>
          <t>Second Class</t>
        </is>
      </c>
      <c r="N807" s="12" t="n">
        <v>2</v>
      </c>
      <c r="O807" s="12" t="n">
        <v>2030.06</v>
      </c>
      <c r="P807" s="12" t="n">
        <v>0.25</v>
      </c>
      <c r="Q807" s="12" t="n">
        <v>3045.09</v>
      </c>
      <c r="R807" s="12" t="n">
        <v>2601.09</v>
      </c>
      <c r="S807" s="12" t="n">
        <v>444</v>
      </c>
      <c r="T807" s="12" t="inlineStr">
        <is>
          <t>Paid</t>
        </is>
      </c>
      <c r="U807" s="12" t="inlineStr">
        <is>
          <t>Completed</t>
        </is>
      </c>
      <c r="V807">
        <f>IF(OR(P807="",P807&lt;0,P807&gt;0.5),0,P807)</f>
        <v/>
      </c>
      <c r="W807">
        <f>N807*O807*(1-V807)</f>
        <v/>
      </c>
      <c r="X807">
        <f>W807-R807</f>
        <v/>
      </c>
      <c r="Y807">
        <f>IF(W807=0,0,X807/W807)</f>
        <v/>
      </c>
      <c r="Z807">
        <f>C807-B807</f>
        <v/>
      </c>
      <c r="AA807">
        <f>TEXT(B807,"mmmm")</f>
        <v/>
      </c>
      <c r="AB807">
        <f>YEAR(B807)</f>
        <v/>
      </c>
      <c r="AC807">
        <f>IF(OR(P807&lt;0,P807&gt;0.5,C807&lt;B807),"INVALID","CLEAN")</f>
        <v/>
      </c>
    </row>
    <row r="808">
      <c r="A808" s="12" t="inlineStr">
        <is>
          <t>ORD-2024-10807</t>
        </is>
      </c>
      <c r="B808" s="12" t="inlineStr">
        <is>
          <t>09-11-2024</t>
        </is>
      </c>
      <c r="C808" s="12" t="inlineStr">
        <is>
          <t>15 Nov 2024</t>
        </is>
      </c>
      <c r="D808" s="12" t="inlineStr">
        <is>
          <t>CUST-3704</t>
        </is>
      </c>
      <c r="E808" s="12" t="inlineStr">
        <is>
          <t>Isha Nair</t>
        </is>
      </c>
      <c r="F808" s="12" t="inlineStr">
        <is>
          <t>Home Office</t>
        </is>
      </c>
      <c r="G808" s="12" t="inlineStr">
        <is>
          <t>North</t>
        </is>
      </c>
      <c r="H808" s="12" t="inlineStr">
        <is>
          <t>Rajasthan</t>
        </is>
      </c>
      <c r="I808" s="12" t="inlineStr">
        <is>
          <t>Jaipur</t>
        </is>
      </c>
      <c r="J808" s="12" t="inlineStr">
        <is>
          <t>Technology</t>
        </is>
      </c>
      <c r="K808" s="12" t="inlineStr">
        <is>
          <t>Copiers</t>
        </is>
      </c>
      <c r="L808" s="12" t="inlineStr">
        <is>
          <t>Max Copiers 560</t>
        </is>
      </c>
      <c r="M808" s="12" t="inlineStr">
        <is>
          <t>Standard Class</t>
        </is>
      </c>
      <c r="N808" s="12" t="n">
        <v>1</v>
      </c>
      <c r="O808" s="12" t="n">
        <v>3665.97</v>
      </c>
      <c r="P808" s="12" t="n">
        <v>0.2</v>
      </c>
      <c r="Q808" s="12" t="n">
        <v>2932.78</v>
      </c>
      <c r="R808" s="12" t="n">
        <v>1900.35</v>
      </c>
      <c r="S808" s="12" t="n">
        <v>1032.43</v>
      </c>
      <c r="T808" s="12" t="inlineStr">
        <is>
          <t>Failed</t>
        </is>
      </c>
      <c r="U808" s="12" t="inlineStr">
        <is>
          <t>Cancelled</t>
        </is>
      </c>
      <c r="V808">
        <f>IF(OR(P808="",P808&lt;0,P808&gt;0.5),0,P808)</f>
        <v/>
      </c>
      <c r="W808">
        <f>N808*O808*(1-V808)</f>
        <v/>
      </c>
      <c r="X808">
        <f>W808-R808</f>
        <v/>
      </c>
      <c r="Y808">
        <f>IF(W808=0,0,X808/W808)</f>
        <v/>
      </c>
      <c r="Z808">
        <f>C808-B808</f>
        <v/>
      </c>
      <c r="AA808">
        <f>TEXT(B808,"mmmm")</f>
        <v/>
      </c>
      <c r="AB808">
        <f>YEAR(B808)</f>
        <v/>
      </c>
      <c r="AC808">
        <f>IF(OR(P808&lt;0,P808&gt;0.5,C808&lt;B808),"INVALID","CLEAN")</f>
        <v/>
      </c>
    </row>
    <row r="809">
      <c r="A809" s="12" t="inlineStr">
        <is>
          <t>ORD-2025-10808</t>
        </is>
      </c>
      <c r="B809" s="12" t="inlineStr">
        <is>
          <t>07 Feb 2025</t>
        </is>
      </c>
      <c r="C809" s="12" t="inlineStr">
        <is>
          <t>2025-02-08</t>
        </is>
      </c>
      <c r="D809" s="12" t="inlineStr">
        <is>
          <t>CUST-5884</t>
        </is>
      </c>
      <c r="E809" s="12" t="inlineStr">
        <is>
          <t>Karan Malhotra</t>
        </is>
      </c>
      <c r="F809" s="12" t="inlineStr">
        <is>
          <t>Small Business</t>
        </is>
      </c>
      <c r="G809" s="12" t="inlineStr">
        <is>
          <t>South</t>
        </is>
      </c>
      <c r="H809" s="12" t="inlineStr">
        <is>
          <t>Telangana</t>
        </is>
      </c>
      <c r="I809" s="12" t="inlineStr">
        <is>
          <t>Hyderabad</t>
        </is>
      </c>
      <c r="J809" s="12" t="inlineStr">
        <is>
          <t>Office Supplies</t>
        </is>
      </c>
      <c r="K809" s="12" t="inlineStr">
        <is>
          <t>Labels</t>
        </is>
      </c>
      <c r="L809" s="12" t="inlineStr">
        <is>
          <t>Smart Labels 436</t>
        </is>
      </c>
      <c r="M809" s="12" t="inlineStr">
        <is>
          <t>standard class</t>
        </is>
      </c>
      <c r="N809" s="12" t="n">
        <v>2</v>
      </c>
      <c r="O809" s="12" t="n">
        <v>2432.98</v>
      </c>
      <c r="P809" s="12" t="n">
        <v>0.1</v>
      </c>
      <c r="Q809" s="12" t="n">
        <v>4379.36</v>
      </c>
      <c r="R809" s="12" t="n">
        <v>3723.93</v>
      </c>
      <c r="S809" s="12" t="n">
        <v>655.4299999999999</v>
      </c>
      <c r="T809" s="12" t="inlineStr">
        <is>
          <t>Paid</t>
        </is>
      </c>
      <c r="U809" s="12" t="inlineStr">
        <is>
          <t>Completed</t>
        </is>
      </c>
      <c r="V809">
        <f>IF(OR(P809="",P809&lt;0,P809&gt;0.5),0,P809)</f>
        <v/>
      </c>
      <c r="W809">
        <f>N809*O809*(1-V809)</f>
        <v/>
      </c>
      <c r="X809">
        <f>W809-R809</f>
        <v/>
      </c>
      <c r="Y809">
        <f>IF(W809=0,0,X809/W809)</f>
        <v/>
      </c>
      <c r="Z809">
        <f>C809-B809</f>
        <v/>
      </c>
      <c r="AA809">
        <f>TEXT(B809,"mmmm")</f>
        <v/>
      </c>
      <c r="AB809">
        <f>YEAR(B809)</f>
        <v/>
      </c>
      <c r="AC809">
        <f>IF(OR(P809&lt;0,P809&gt;0.5,C809&lt;B809),"INVALID","CLEAN")</f>
        <v/>
      </c>
    </row>
    <row r="810">
      <c r="A810" s="12" t="inlineStr">
        <is>
          <t>ORD-2025-10809</t>
        </is>
      </c>
      <c r="B810" s="12" t="inlineStr">
        <is>
          <t>2025-08-31</t>
        </is>
      </c>
      <c r="C810" s="12" t="inlineStr">
        <is>
          <t>2025-08-28</t>
        </is>
      </c>
      <c r="D810" s="12" t="inlineStr">
        <is>
          <t>CUST-7503</t>
        </is>
      </c>
      <c r="E810" s="12" t="inlineStr">
        <is>
          <t>Aarav Sharma</t>
        </is>
      </c>
      <c r="F810" s="12" t="inlineStr">
        <is>
          <t>Small Business</t>
        </is>
      </c>
      <c r="G810" s="12" t="inlineStr">
        <is>
          <t>South</t>
        </is>
      </c>
      <c r="H810" s="12" t="inlineStr">
        <is>
          <t>Tamil Nadu</t>
        </is>
      </c>
      <c r="I810" s="12" t="inlineStr">
        <is>
          <t>Chennai</t>
        </is>
      </c>
      <c r="J810" s="12" t="inlineStr">
        <is>
          <t>Furniture</t>
        </is>
      </c>
      <c r="K810" s="12" t="inlineStr">
        <is>
          <t>Furnishings</t>
        </is>
      </c>
      <c r="L810" s="12" t="inlineStr">
        <is>
          <t>Pro Furnishings 386</t>
        </is>
      </c>
      <c r="M810" s="12" t="inlineStr">
        <is>
          <t>First Class</t>
        </is>
      </c>
      <c r="N810" s="12" t="n">
        <v>7</v>
      </c>
      <c r="O810" s="12" t="n">
        <v>977.28</v>
      </c>
      <c r="P810" s="12" t="n">
        <v>0.2</v>
      </c>
      <c r="Q810" s="12" t="n">
        <v>5472.77</v>
      </c>
      <c r="R810" s="12" t="n">
        <v>4477.33</v>
      </c>
      <c r="S810" s="12" t="n">
        <v>995.4400000000001</v>
      </c>
      <c r="T810" s="12" t="inlineStr">
        <is>
          <t>Paid</t>
        </is>
      </c>
      <c r="U810" s="12" t="inlineStr">
        <is>
          <t>Completed</t>
        </is>
      </c>
      <c r="V810">
        <f>IF(OR(P810="",P810&lt;0,P810&gt;0.5),0,P810)</f>
        <v/>
      </c>
      <c r="W810">
        <f>N810*O810*(1-V810)</f>
        <v/>
      </c>
      <c r="X810">
        <f>W810-R810</f>
        <v/>
      </c>
      <c r="Y810">
        <f>IF(W810=0,0,X810/W810)</f>
        <v/>
      </c>
      <c r="Z810">
        <f>C810-B810</f>
        <v/>
      </c>
      <c r="AA810">
        <f>TEXT(B810,"mmmm")</f>
        <v/>
      </c>
      <c r="AB810">
        <f>YEAR(B810)</f>
        <v/>
      </c>
      <c r="AC810">
        <f>IF(OR(P810&lt;0,P810&gt;0.5,C810&lt;B810),"INVALID","CLEAN")</f>
        <v/>
      </c>
    </row>
    <row r="811">
      <c r="A811" s="12" t="inlineStr">
        <is>
          <t>ORD-2025-10810</t>
        </is>
      </c>
      <c r="B811" s="12" t="inlineStr">
        <is>
          <t>25 Jun 2025</t>
        </is>
      </c>
      <c r="C811" s="12" t="inlineStr">
        <is>
          <t>25 Jun 2025</t>
        </is>
      </c>
      <c r="D811" s="12" t="inlineStr">
        <is>
          <t>CUST-6973</t>
        </is>
      </c>
      <c r="E811" s="12" t="inlineStr">
        <is>
          <t>Arjun Bose</t>
        </is>
      </c>
      <c r="F811" s="12" t="inlineStr">
        <is>
          <t>Small Business</t>
        </is>
      </c>
      <c r="G811" s="12" t="n"/>
      <c r="H811" s="12" t="inlineStr">
        <is>
          <t>Punjab</t>
        </is>
      </c>
      <c r="I811" s="12" t="inlineStr">
        <is>
          <t>Ludhiana</t>
        </is>
      </c>
      <c r="J811" s="12" t="inlineStr">
        <is>
          <t>Office Supplies</t>
        </is>
      </c>
      <c r="K811" s="12" t="inlineStr">
        <is>
          <t>Binders</t>
        </is>
      </c>
      <c r="L811" s="12" t="inlineStr">
        <is>
          <t>Eco Binders 601</t>
        </is>
      </c>
      <c r="M811" s="12" t="inlineStr">
        <is>
          <t>Second Class</t>
        </is>
      </c>
      <c r="N811" s="12" t="n">
        <v>6</v>
      </c>
      <c r="O811" s="12" t="n">
        <v>1366.13</v>
      </c>
      <c r="P811" s="12" t="n">
        <v>0.1</v>
      </c>
      <c r="Q811" s="12" t="n">
        <v>7377.1</v>
      </c>
      <c r="R811" s="12" t="n">
        <v>5085.21</v>
      </c>
      <c r="S811" s="12" t="n">
        <v>2291.89</v>
      </c>
      <c r="T811" s="12" t="inlineStr">
        <is>
          <t>Paid</t>
        </is>
      </c>
      <c r="U811" s="12" t="inlineStr">
        <is>
          <t>Completed</t>
        </is>
      </c>
      <c r="V811">
        <f>IF(OR(P811="",P811&lt;0,P811&gt;0.5),0,P811)</f>
        <v/>
      </c>
      <c r="W811">
        <f>N811*O811*(1-V811)</f>
        <v/>
      </c>
      <c r="X811">
        <f>W811-R811</f>
        <v/>
      </c>
      <c r="Y811">
        <f>IF(W811=0,0,X811/W811)</f>
        <v/>
      </c>
      <c r="Z811">
        <f>C811-B811</f>
        <v/>
      </c>
      <c r="AA811">
        <f>TEXT(B811,"mmmm")</f>
        <v/>
      </c>
      <c r="AB811">
        <f>YEAR(B811)</f>
        <v/>
      </c>
      <c r="AC811">
        <f>IF(OR(P811&lt;0,P811&gt;0.5,C811&lt;B811),"INVALID","CLEAN")</f>
        <v/>
      </c>
    </row>
    <row r="812">
      <c r="A812" s="12" t="inlineStr">
        <is>
          <t>ORD-2024-10811</t>
        </is>
      </c>
      <c r="B812" s="12" t="inlineStr">
        <is>
          <t>04/03/2024</t>
        </is>
      </c>
      <c r="C812" s="12" t="inlineStr">
        <is>
          <t>08-04-2024</t>
        </is>
      </c>
      <c r="D812" s="12" t="inlineStr">
        <is>
          <t>CUST-4653</t>
        </is>
      </c>
      <c r="E812" s="12" t="inlineStr">
        <is>
          <t>Kabir Singh</t>
        </is>
      </c>
      <c r="F812" s="12" t="inlineStr">
        <is>
          <t xml:space="preserve">Home Office </t>
        </is>
      </c>
      <c r="G812" s="12" t="inlineStr">
        <is>
          <t>West</t>
        </is>
      </c>
      <c r="H812" s="12" t="inlineStr">
        <is>
          <t>Gujarat</t>
        </is>
      </c>
      <c r="I812" s="12" t="inlineStr">
        <is>
          <t>Ahmedabad</t>
        </is>
      </c>
      <c r="J812" s="12" t="inlineStr">
        <is>
          <t>Technology</t>
        </is>
      </c>
      <c r="K812" s="12" t="inlineStr">
        <is>
          <t>Copiers</t>
        </is>
      </c>
      <c r="L812" s="12" t="inlineStr">
        <is>
          <t>Pro Copiers 867</t>
        </is>
      </c>
      <c r="M812" s="12" t="inlineStr">
        <is>
          <t>First Class</t>
        </is>
      </c>
      <c r="N812" s="12" t="n">
        <v>1</v>
      </c>
      <c r="O812" s="12" t="n">
        <v>3151.85</v>
      </c>
      <c r="P812" s="12" t="n">
        <v>0.25</v>
      </c>
      <c r="Q812" s="12" t="n">
        <v>2363.89</v>
      </c>
      <c r="R812" s="12" t="n">
        <v>1471.51</v>
      </c>
      <c r="S812" s="12" t="n">
        <v>892.38</v>
      </c>
      <c r="T812" s="12" t="inlineStr">
        <is>
          <t>Paid</t>
        </is>
      </c>
      <c r="U812" s="12" t="inlineStr">
        <is>
          <t>Completed</t>
        </is>
      </c>
      <c r="V812">
        <f>IF(OR(P812="",P812&lt;0,P812&gt;0.5),0,P812)</f>
        <v/>
      </c>
      <c r="W812">
        <f>N812*O812*(1-V812)</f>
        <v/>
      </c>
      <c r="X812">
        <f>W812-R812</f>
        <v/>
      </c>
      <c r="Y812">
        <f>IF(W812=0,0,X812/W812)</f>
        <v/>
      </c>
      <c r="Z812">
        <f>C812-B812</f>
        <v/>
      </c>
      <c r="AA812">
        <f>TEXT(B812,"mmmm")</f>
        <v/>
      </c>
      <c r="AB812">
        <f>YEAR(B812)</f>
        <v/>
      </c>
      <c r="AC812">
        <f>IF(OR(P812&lt;0,P812&gt;0.5,C812&lt;B812),"INVALID","CLEAN")</f>
        <v/>
      </c>
    </row>
    <row r="813">
      <c r="A813" s="12" t="inlineStr">
        <is>
          <t>ORD-2024-10812</t>
        </is>
      </c>
      <c r="B813" s="12" t="inlineStr">
        <is>
          <t>12 Dec 2024</t>
        </is>
      </c>
      <c r="C813" s="12" t="inlineStr">
        <is>
          <t>19 Dec 2024</t>
        </is>
      </c>
      <c r="D813" s="12" t="inlineStr">
        <is>
          <t>CUST-3303</t>
        </is>
      </c>
      <c r="E813" s="12" t="inlineStr">
        <is>
          <t>Rohan Mehta</t>
        </is>
      </c>
      <c r="F813" s="12" t="inlineStr">
        <is>
          <t>Home Office</t>
        </is>
      </c>
      <c r="G813" s="12" t="inlineStr">
        <is>
          <t>North</t>
        </is>
      </c>
      <c r="H813" s="12" t="inlineStr">
        <is>
          <t>Haryana</t>
        </is>
      </c>
      <c r="I813" s="12" t="inlineStr">
        <is>
          <t>Gurugram</t>
        </is>
      </c>
      <c r="J813" s="12" t="inlineStr">
        <is>
          <t>Technology</t>
        </is>
      </c>
      <c r="K813" s="12" t="inlineStr">
        <is>
          <t>Accessories</t>
        </is>
      </c>
      <c r="L813" s="12" t="inlineStr">
        <is>
          <t>Eco Accessories 122</t>
        </is>
      </c>
      <c r="M813" s="12" t="inlineStr">
        <is>
          <t>First Class</t>
        </is>
      </c>
      <c r="N813" s="12" t="n">
        <v>2</v>
      </c>
      <c r="O813" s="12" t="n">
        <v>1610.75</v>
      </c>
      <c r="P813" s="12" t="n">
        <v>0.2</v>
      </c>
      <c r="Q813" s="12" t="n">
        <v>2577.2</v>
      </c>
      <c r="R813" s="12" t="n">
        <v>1475.87</v>
      </c>
      <c r="S813" s="12" t="n">
        <v>1101.33</v>
      </c>
      <c r="T813" s="12" t="inlineStr">
        <is>
          <t>Paid</t>
        </is>
      </c>
      <c r="U813" s="12" t="inlineStr">
        <is>
          <t>Completed</t>
        </is>
      </c>
      <c r="V813">
        <f>IF(OR(P813="",P813&lt;0,P813&gt;0.5),0,P813)</f>
        <v/>
      </c>
      <c r="W813">
        <f>N813*O813*(1-V813)</f>
        <v/>
      </c>
      <c r="X813">
        <f>W813-R813</f>
        <v/>
      </c>
      <c r="Y813">
        <f>IF(W813=0,0,X813/W813)</f>
        <v/>
      </c>
      <c r="Z813">
        <f>C813-B813</f>
        <v/>
      </c>
      <c r="AA813">
        <f>TEXT(B813,"mmmm")</f>
        <v/>
      </c>
      <c r="AB813">
        <f>YEAR(B813)</f>
        <v/>
      </c>
      <c r="AC813">
        <f>IF(OR(P813&lt;0,P813&gt;0.5,C813&lt;B813),"INVALID","CLEAN")</f>
        <v/>
      </c>
    </row>
    <row r="814">
      <c r="A814" s="12" t="inlineStr">
        <is>
          <t>ORD-2024-10813</t>
        </is>
      </c>
      <c r="B814" s="12" t="inlineStr">
        <is>
          <t>2024-06-15</t>
        </is>
      </c>
      <c r="C814" s="12" t="inlineStr">
        <is>
          <t>20-06-2024</t>
        </is>
      </c>
      <c r="D814" s="12" t="inlineStr">
        <is>
          <t>CUST-5754</t>
        </is>
      </c>
      <c r="E814" s="12" t="inlineStr">
        <is>
          <t>Sneha Kapoor</t>
        </is>
      </c>
      <c r="F814" s="12" t="inlineStr">
        <is>
          <t>Small Business</t>
        </is>
      </c>
      <c r="G814" s="12" t="inlineStr">
        <is>
          <t>East</t>
        </is>
      </c>
      <c r="H814" s="12" t="inlineStr">
        <is>
          <t>Jharkhand</t>
        </is>
      </c>
      <c r="I814" s="12" t="inlineStr">
        <is>
          <t>Ranchi</t>
        </is>
      </c>
      <c r="J814" s="12" t="inlineStr">
        <is>
          <t>Furniture</t>
        </is>
      </c>
      <c r="K814" s="12" t="inlineStr">
        <is>
          <t>Tables</t>
        </is>
      </c>
      <c r="L814" s="12" t="inlineStr">
        <is>
          <t>Basic Tables 127</t>
        </is>
      </c>
      <c r="M814" s="12" t="inlineStr">
        <is>
          <t>First Class</t>
        </is>
      </c>
      <c r="N814" s="12" t="n">
        <v>8</v>
      </c>
      <c r="O814" s="12" t="n">
        <v>2228.47</v>
      </c>
      <c r="P814" s="12" t="n">
        <v>0</v>
      </c>
      <c r="Q814" s="12" t="n">
        <v>17827.76</v>
      </c>
      <c r="R814" s="12" t="n">
        <v>14122.13</v>
      </c>
      <c r="S814" s="12" t="n">
        <v>3705.63</v>
      </c>
      <c r="T814" s="12" t="inlineStr">
        <is>
          <t>Paid</t>
        </is>
      </c>
      <c r="U814" s="12" t="inlineStr">
        <is>
          <t>Completed</t>
        </is>
      </c>
      <c r="V814">
        <f>IF(OR(P814="",P814&lt;0,P814&gt;0.5),0,P814)</f>
        <v/>
      </c>
      <c r="W814">
        <f>N814*O814*(1-V814)</f>
        <v/>
      </c>
      <c r="X814">
        <f>W814-R814</f>
        <v/>
      </c>
      <c r="Y814">
        <f>IF(W814=0,0,X814/W814)</f>
        <v/>
      </c>
      <c r="Z814">
        <f>C814-B814</f>
        <v/>
      </c>
      <c r="AA814">
        <f>TEXT(B814,"mmmm")</f>
        <v/>
      </c>
      <c r="AB814">
        <f>YEAR(B814)</f>
        <v/>
      </c>
      <c r="AC814">
        <f>IF(OR(P814&lt;0,P814&gt;0.5,C814&lt;B814),"INVALID","CLEAN")</f>
        <v/>
      </c>
    </row>
    <row r="815">
      <c r="A815" s="12" t="inlineStr">
        <is>
          <t>ORD-2025-10814</t>
        </is>
      </c>
      <c r="B815" s="12" t="inlineStr">
        <is>
          <t>04/06/2025</t>
        </is>
      </c>
      <c r="C815" s="12" t="inlineStr">
        <is>
          <t>10 Apr 2025</t>
        </is>
      </c>
      <c r="D815" s="12" t="inlineStr">
        <is>
          <t>CUST-7848</t>
        </is>
      </c>
      <c r="E815" s="12" t="inlineStr">
        <is>
          <t>Rohan Mehta</t>
        </is>
      </c>
      <c r="F815" s="12" t="inlineStr">
        <is>
          <t>Consumer</t>
        </is>
      </c>
      <c r="G815" s="12" t="inlineStr">
        <is>
          <t>East</t>
        </is>
      </c>
      <c r="H815" s="12" t="inlineStr">
        <is>
          <t>Odisha</t>
        </is>
      </c>
      <c r="I815" s="12" t="inlineStr">
        <is>
          <t>Bhubaneswar</t>
        </is>
      </c>
      <c r="J815" s="12" t="inlineStr">
        <is>
          <t>Furniture</t>
        </is>
      </c>
      <c r="K815" s="12" t="inlineStr">
        <is>
          <t>Bookcases</t>
        </is>
      </c>
      <c r="L815" s="12" t="inlineStr">
        <is>
          <t>Elite Bookcases 988</t>
        </is>
      </c>
      <c r="M815" s="12" t="inlineStr">
        <is>
          <t>Standard Class</t>
        </is>
      </c>
      <c r="N815" s="12" t="n">
        <v>2</v>
      </c>
      <c r="O815" s="12" t="n">
        <v>1337.67</v>
      </c>
      <c r="P815" s="12" t="n">
        <v>0</v>
      </c>
      <c r="Q815" s="12" t="n">
        <v>2675.34</v>
      </c>
      <c r="R815" s="12" t="n">
        <v>1595.87</v>
      </c>
      <c r="S815" s="12" t="n">
        <v>1079.47</v>
      </c>
      <c r="T815" s="12" t="inlineStr">
        <is>
          <t>Paid</t>
        </is>
      </c>
      <c r="U815" s="12" t="inlineStr">
        <is>
          <t>Completed</t>
        </is>
      </c>
      <c r="V815">
        <f>IF(OR(P815="",P815&lt;0,P815&gt;0.5),0,P815)</f>
        <v/>
      </c>
      <c r="W815">
        <f>N815*O815*(1-V815)</f>
        <v/>
      </c>
      <c r="X815">
        <f>W815-R815</f>
        <v/>
      </c>
      <c r="Y815">
        <f>IF(W815=0,0,X815/W815)</f>
        <v/>
      </c>
      <c r="Z815">
        <f>C815-B815</f>
        <v/>
      </c>
      <c r="AA815">
        <f>TEXT(B815,"mmmm")</f>
        <v/>
      </c>
      <c r="AB815">
        <f>YEAR(B815)</f>
        <v/>
      </c>
      <c r="AC815">
        <f>IF(OR(P815&lt;0,P815&gt;0.5,C815&lt;B815),"INVALID","CLEAN")</f>
        <v/>
      </c>
    </row>
    <row r="816">
      <c r="A816" s="12" t="inlineStr">
        <is>
          <t>ORD-2025-10815</t>
        </is>
      </c>
      <c r="B816" s="12" t="inlineStr">
        <is>
          <t>06 Aug 2025</t>
        </is>
      </c>
      <c r="C816" s="12" t="inlineStr">
        <is>
          <t>2025-08-11</t>
        </is>
      </c>
      <c r="D816" s="12" t="inlineStr">
        <is>
          <t>CUST-9048</t>
        </is>
      </c>
      <c r="E816" s="12" t="inlineStr">
        <is>
          <t>Arjun Bose</t>
        </is>
      </c>
      <c r="F816" s="12" t="inlineStr">
        <is>
          <t>Consumer</t>
        </is>
      </c>
      <c r="G816" s="12" t="inlineStr">
        <is>
          <t>West</t>
        </is>
      </c>
      <c r="H816" s="12" t="inlineStr">
        <is>
          <t>Madhya Pradesh</t>
        </is>
      </c>
      <c r="I816" s="12" t="inlineStr">
        <is>
          <t>Indore</t>
        </is>
      </c>
      <c r="J816" s="12" t="inlineStr">
        <is>
          <t>Office Supplies</t>
        </is>
      </c>
      <c r="K816" s="12" t="inlineStr">
        <is>
          <t>Labels</t>
        </is>
      </c>
      <c r="L816" s="12" t="inlineStr">
        <is>
          <t>Smart Labels 126</t>
        </is>
      </c>
      <c r="M816" s="12" t="inlineStr">
        <is>
          <t>First Class</t>
        </is>
      </c>
      <c r="N816" s="12" t="n">
        <v>2</v>
      </c>
      <c r="O816" s="12" t="n">
        <v>2375.94</v>
      </c>
      <c r="P816" s="12" t="n">
        <v>0.25</v>
      </c>
      <c r="Q816" s="12" t="n">
        <v>3563.91</v>
      </c>
      <c r="R816" s="12" t="n">
        <v>2639.7</v>
      </c>
      <c r="S816" s="12" t="n">
        <v>924.21</v>
      </c>
      <c r="T816" s="12" t="inlineStr">
        <is>
          <t>Paid</t>
        </is>
      </c>
      <c r="U816" s="12" t="inlineStr">
        <is>
          <t>Completed</t>
        </is>
      </c>
      <c r="V816">
        <f>IF(OR(P816="",P816&lt;0,P816&gt;0.5),0,P816)</f>
        <v/>
      </c>
      <c r="W816">
        <f>N816*O816*(1-V816)</f>
        <v/>
      </c>
      <c r="X816">
        <f>W816-R816</f>
        <v/>
      </c>
      <c r="Y816">
        <f>IF(W816=0,0,X816/W816)</f>
        <v/>
      </c>
      <c r="Z816">
        <f>C816-B816</f>
        <v/>
      </c>
      <c r="AA816">
        <f>TEXT(B816,"mmmm")</f>
        <v/>
      </c>
      <c r="AB816">
        <f>YEAR(B816)</f>
        <v/>
      </c>
      <c r="AC816">
        <f>IF(OR(P816&lt;0,P816&gt;0.5,C816&lt;B816),"INVALID","CLEAN")</f>
        <v/>
      </c>
    </row>
    <row r="817">
      <c r="A817" s="12" t="inlineStr">
        <is>
          <t>ORD-2024-10816</t>
        </is>
      </c>
      <c r="B817" s="12" t="inlineStr">
        <is>
          <t>04/01/2024</t>
        </is>
      </c>
      <c r="C817" s="12" t="inlineStr">
        <is>
          <t>2024-04-08</t>
        </is>
      </c>
      <c r="D817" s="12" t="inlineStr">
        <is>
          <t>CUST-2951</t>
        </is>
      </c>
      <c r="E817" s="12" t="inlineStr">
        <is>
          <t>Diya Patel</t>
        </is>
      </c>
      <c r="F817" s="12" t="inlineStr">
        <is>
          <t>Consumer</t>
        </is>
      </c>
      <c r="G817" s="12" t="inlineStr">
        <is>
          <t>East</t>
        </is>
      </c>
      <c r="H817" s="12" t="inlineStr">
        <is>
          <t>Odisha</t>
        </is>
      </c>
      <c r="I817" s="12" t="inlineStr">
        <is>
          <t>Bhubaneswar</t>
        </is>
      </c>
      <c r="J817" s="12" t="inlineStr">
        <is>
          <t>Technology</t>
        </is>
      </c>
      <c r="K817" s="12" t="inlineStr">
        <is>
          <t>Machines</t>
        </is>
      </c>
      <c r="L817" s="12" t="inlineStr">
        <is>
          <t>Max Machines 569</t>
        </is>
      </c>
      <c r="M817" s="12" t="inlineStr">
        <is>
          <t>Standard Class</t>
        </is>
      </c>
      <c r="N817" s="12" t="n">
        <v>7</v>
      </c>
      <c r="O817" s="12" t="n">
        <v>715.8099999999999</v>
      </c>
      <c r="P817" s="12" t="n">
        <v>0.15</v>
      </c>
      <c r="Q817" s="12" t="n">
        <v>4259.07</v>
      </c>
      <c r="R817" s="12" t="n">
        <v>3130.32</v>
      </c>
      <c r="S817" s="12" t="n">
        <v>1128.75</v>
      </c>
      <c r="T817" s="12" t="inlineStr">
        <is>
          <t>Pending</t>
        </is>
      </c>
      <c r="U817" s="12" t="inlineStr">
        <is>
          <t>Cancelled</t>
        </is>
      </c>
      <c r="V817">
        <f>IF(OR(P817="",P817&lt;0,P817&gt;0.5),0,P817)</f>
        <v/>
      </c>
      <c r="W817">
        <f>N817*O817*(1-V817)</f>
        <v/>
      </c>
      <c r="X817">
        <f>W817-R817</f>
        <v/>
      </c>
      <c r="Y817">
        <f>IF(W817=0,0,X817/W817)</f>
        <v/>
      </c>
      <c r="Z817">
        <f>C817-B817</f>
        <v/>
      </c>
      <c r="AA817">
        <f>TEXT(B817,"mmmm")</f>
        <v/>
      </c>
      <c r="AB817">
        <f>YEAR(B817)</f>
        <v/>
      </c>
      <c r="AC817">
        <f>IF(OR(P817&lt;0,P817&gt;0.5,C817&lt;B817),"INVALID","CLEAN")</f>
        <v/>
      </c>
    </row>
    <row r="818">
      <c r="A818" s="12" t="inlineStr">
        <is>
          <t>ORD-2024-10817</t>
        </is>
      </c>
      <c r="B818" s="12" t="inlineStr">
        <is>
          <t>11/27/2024</t>
        </is>
      </c>
      <c r="C818" s="12" t="inlineStr">
        <is>
          <t>2024-11-30</t>
        </is>
      </c>
      <c r="D818" s="12" t="inlineStr">
        <is>
          <t>CUST-3072</t>
        </is>
      </c>
      <c r="E818" s="12" t="inlineStr">
        <is>
          <t>Rahul Verma</t>
        </is>
      </c>
      <c r="F818" s="12" t="inlineStr">
        <is>
          <t>Small Business</t>
        </is>
      </c>
      <c r="G818" s="12" t="inlineStr">
        <is>
          <t>East</t>
        </is>
      </c>
      <c r="H818" s="12" t="inlineStr">
        <is>
          <t>Jharkhand</t>
        </is>
      </c>
      <c r="I818" s="12" t="inlineStr">
        <is>
          <t>Ranchi</t>
        </is>
      </c>
      <c r="J818" s="12" t="inlineStr">
        <is>
          <t>Furniture</t>
        </is>
      </c>
      <c r="K818" s="12" t="inlineStr">
        <is>
          <t>Furnishings</t>
        </is>
      </c>
      <c r="L818" s="12" t="inlineStr">
        <is>
          <t>Basic Furnishings 306</t>
        </is>
      </c>
      <c r="M818" s="12" t="inlineStr">
        <is>
          <t>First Class</t>
        </is>
      </c>
      <c r="N818" s="12" t="n">
        <v>1</v>
      </c>
      <c r="O818" s="12" t="n">
        <v>874.3</v>
      </c>
      <c r="P818" s="12" t="n">
        <v>0.1</v>
      </c>
      <c r="Q818" s="12" t="n">
        <v>786.87</v>
      </c>
      <c r="R818" s="12" t="n">
        <v>498.5</v>
      </c>
      <c r="S818" s="12" t="n">
        <v>288.37</v>
      </c>
      <c r="T818" s="12" t="inlineStr">
        <is>
          <t>Paid</t>
        </is>
      </c>
      <c r="U818" s="12" t="inlineStr">
        <is>
          <t>Completed</t>
        </is>
      </c>
      <c r="V818">
        <f>IF(OR(P818="",P818&lt;0,P818&gt;0.5),0,P818)</f>
        <v/>
      </c>
      <c r="W818">
        <f>N818*O818*(1-V818)</f>
        <v/>
      </c>
      <c r="X818">
        <f>W818-R818</f>
        <v/>
      </c>
      <c r="Y818">
        <f>IF(W818=0,0,X818/W818)</f>
        <v/>
      </c>
      <c r="Z818">
        <f>C818-B818</f>
        <v/>
      </c>
      <c r="AA818">
        <f>TEXT(B818,"mmmm")</f>
        <v/>
      </c>
      <c r="AB818">
        <f>YEAR(B818)</f>
        <v/>
      </c>
      <c r="AC818">
        <f>IF(OR(P818&lt;0,P818&gt;0.5,C818&lt;B818),"INVALID","CLEAN")</f>
        <v/>
      </c>
    </row>
    <row r="819">
      <c r="A819" s="12" t="inlineStr">
        <is>
          <t>ORD-2025-10818</t>
        </is>
      </c>
      <c r="B819" s="12" t="inlineStr">
        <is>
          <t>05 Apr 2025</t>
        </is>
      </c>
      <c r="C819" s="12" t="inlineStr">
        <is>
          <t>04/05/2025</t>
        </is>
      </c>
      <c r="D819" s="12" t="inlineStr">
        <is>
          <t>CUST-2221</t>
        </is>
      </c>
      <c r="E819" s="12" t="inlineStr">
        <is>
          <t>Sneha Kapoor</t>
        </is>
      </c>
      <c r="F819" s="12" t="inlineStr">
        <is>
          <t>Consumer</t>
        </is>
      </c>
      <c r="G819" s="12" t="inlineStr">
        <is>
          <t>East</t>
        </is>
      </c>
      <c r="H819" s="12" t="inlineStr">
        <is>
          <t>Bihar</t>
        </is>
      </c>
      <c r="I819" s="12" t="inlineStr">
        <is>
          <t>Patna</t>
        </is>
      </c>
      <c r="J819" s="12" t="inlineStr">
        <is>
          <t>Office Supplies</t>
        </is>
      </c>
      <c r="K819" s="12" t="inlineStr">
        <is>
          <t>Binders</t>
        </is>
      </c>
      <c r="L819" s="12" t="inlineStr">
        <is>
          <t>Classic Binders 873</t>
        </is>
      </c>
      <c r="M819" s="12" t="inlineStr">
        <is>
          <t>Standard Class</t>
        </is>
      </c>
      <c r="N819" s="12" t="n">
        <v>6</v>
      </c>
      <c r="O819" s="12" t="n">
        <v>1829.69</v>
      </c>
      <c r="P819" s="12" t="n">
        <v>0.25</v>
      </c>
      <c r="Q819" s="12" t="n">
        <v>8233.6</v>
      </c>
      <c r="R819" s="12" t="n">
        <v>4713.79</v>
      </c>
      <c r="S819" s="12" t="n">
        <v>3519.81</v>
      </c>
      <c r="T819" s="12" t="inlineStr">
        <is>
          <t>Paid</t>
        </is>
      </c>
      <c r="U819" s="12" t="inlineStr">
        <is>
          <t>Completed</t>
        </is>
      </c>
      <c r="V819">
        <f>IF(OR(P819="",P819&lt;0,P819&gt;0.5),0,P819)</f>
        <v/>
      </c>
      <c r="W819">
        <f>N819*O819*(1-V819)</f>
        <v/>
      </c>
      <c r="X819">
        <f>W819-R819</f>
        <v/>
      </c>
      <c r="Y819">
        <f>IF(W819=0,0,X819/W819)</f>
        <v/>
      </c>
      <c r="Z819">
        <f>C819-B819</f>
        <v/>
      </c>
      <c r="AA819">
        <f>TEXT(B819,"mmmm")</f>
        <v/>
      </c>
      <c r="AB819">
        <f>YEAR(B819)</f>
        <v/>
      </c>
      <c r="AC819">
        <f>IF(OR(P819&lt;0,P819&gt;0.5,C819&lt;B819),"INVALID","CLEAN")</f>
        <v/>
      </c>
    </row>
    <row r="820">
      <c r="A820" s="12" t="inlineStr">
        <is>
          <t>ORD-2024-10819</t>
        </is>
      </c>
      <c r="B820" s="12" t="inlineStr">
        <is>
          <t>29 Sep 2024</t>
        </is>
      </c>
      <c r="C820" s="12" t="inlineStr">
        <is>
          <t>05-10-2024</t>
        </is>
      </c>
      <c r="D820" s="12" t="inlineStr">
        <is>
          <t>CUST-3943</t>
        </is>
      </c>
      <c r="E820" s="12" t="inlineStr">
        <is>
          <t>Priya Menon</t>
        </is>
      </c>
      <c r="F820" s="12" t="inlineStr">
        <is>
          <t>Small Business</t>
        </is>
      </c>
      <c r="G820" s="12" t="inlineStr">
        <is>
          <t>West</t>
        </is>
      </c>
      <c r="H820" s="12" t="inlineStr">
        <is>
          <t>Maharashtra</t>
        </is>
      </c>
      <c r="I820" s="12" t="inlineStr">
        <is>
          <t>Mumbai</t>
        </is>
      </c>
      <c r="J820" s="12" t="inlineStr">
        <is>
          <t>Office Supplies</t>
        </is>
      </c>
      <c r="K820" s="12" t="inlineStr">
        <is>
          <t>Labels</t>
        </is>
      </c>
      <c r="L820" s="12" t="inlineStr">
        <is>
          <t>Pro Labels 611</t>
        </is>
      </c>
      <c r="M820" s="12" t="inlineStr">
        <is>
          <t>First Class</t>
        </is>
      </c>
      <c r="N820" s="12" t="n">
        <v>8</v>
      </c>
      <c r="O820" s="12" t="n">
        <v>1981.04</v>
      </c>
      <c r="P820" s="12" t="n">
        <v>-0.14</v>
      </c>
      <c r="Q820" s="12" t="n">
        <v>12678.66</v>
      </c>
      <c r="R820" s="12" t="n">
        <v>10088.65</v>
      </c>
      <c r="S820" s="12" t="n">
        <v>2590.01</v>
      </c>
      <c r="T820" s="12" t="inlineStr">
        <is>
          <t>Paid</t>
        </is>
      </c>
      <c r="U820" s="12" t="inlineStr">
        <is>
          <t>Completed</t>
        </is>
      </c>
      <c r="V820">
        <f>IF(OR(P820="",P820&lt;0,P820&gt;0.5),0,P820)</f>
        <v/>
      </c>
      <c r="W820">
        <f>N820*O820*(1-V820)</f>
        <v/>
      </c>
      <c r="X820">
        <f>W820-R820</f>
        <v/>
      </c>
      <c r="Y820">
        <f>IF(W820=0,0,X820/W820)</f>
        <v/>
      </c>
      <c r="Z820">
        <f>C820-B820</f>
        <v/>
      </c>
      <c r="AA820">
        <f>TEXT(B820,"mmmm")</f>
        <v/>
      </c>
      <c r="AB820">
        <f>YEAR(B820)</f>
        <v/>
      </c>
      <c r="AC820">
        <f>IF(OR(P820&lt;0,P820&gt;0.5,C820&lt;B820),"INVALID","CLEAN")</f>
        <v/>
      </c>
    </row>
    <row r="821">
      <c r="A821" s="12" t="inlineStr">
        <is>
          <t>ORD-2024-10820</t>
        </is>
      </c>
      <c r="B821" s="12" t="inlineStr">
        <is>
          <t>07/31/2024</t>
        </is>
      </c>
      <c r="C821" s="12" t="inlineStr">
        <is>
          <t>31-07-2024</t>
        </is>
      </c>
      <c r="D821" s="12" t="inlineStr">
        <is>
          <t>CUST-7510</t>
        </is>
      </c>
      <c r="E821" s="12" t="inlineStr">
        <is>
          <t>Karan Malhotra</t>
        </is>
      </c>
      <c r="F821" s="12" t="inlineStr">
        <is>
          <t>Home Office</t>
        </is>
      </c>
      <c r="G821" s="12" t="inlineStr">
        <is>
          <t>South</t>
        </is>
      </c>
      <c r="H821" s="12" t="inlineStr">
        <is>
          <t>Kerala</t>
        </is>
      </c>
      <c r="I821" s="12" t="inlineStr">
        <is>
          <t>Kochi</t>
        </is>
      </c>
      <c r="J821" s="12" t="inlineStr">
        <is>
          <t>Technology</t>
        </is>
      </c>
      <c r="K821" s="12" t="inlineStr">
        <is>
          <t>MACHINES</t>
        </is>
      </c>
      <c r="L821" s="12" t="inlineStr">
        <is>
          <t>Prime Machines 524</t>
        </is>
      </c>
      <c r="M821" s="12" t="inlineStr">
        <is>
          <t>Standard Class</t>
        </is>
      </c>
      <c r="N821" s="12" t="n">
        <v>8</v>
      </c>
      <c r="O821" s="12" t="n">
        <v>4246.01</v>
      </c>
      <c r="P821" s="12" t="n">
        <v>0</v>
      </c>
      <c r="Q821" s="12" t="n">
        <v>33968.08</v>
      </c>
      <c r="R821" s="12" t="n">
        <v>26902.44</v>
      </c>
      <c r="S821" s="12" t="n">
        <v>7065.64</v>
      </c>
      <c r="T821" s="12" t="inlineStr">
        <is>
          <t>Failed</t>
        </is>
      </c>
      <c r="U821" s="12" t="inlineStr">
        <is>
          <t>Cancelled</t>
        </is>
      </c>
      <c r="V821">
        <f>IF(OR(P821="",P821&lt;0,P821&gt;0.5),0,P821)</f>
        <v/>
      </c>
      <c r="W821">
        <f>N821*O821*(1-V821)</f>
        <v/>
      </c>
      <c r="X821">
        <f>W821-R821</f>
        <v/>
      </c>
      <c r="Y821">
        <f>IF(W821=0,0,X821/W821)</f>
        <v/>
      </c>
      <c r="Z821">
        <f>C821-B821</f>
        <v/>
      </c>
      <c r="AA821">
        <f>TEXT(B821,"mmmm")</f>
        <v/>
      </c>
      <c r="AB821">
        <f>YEAR(B821)</f>
        <v/>
      </c>
      <c r="AC821">
        <f>IF(OR(P821&lt;0,P821&gt;0.5,C821&lt;B821),"INVALID","CLEAN")</f>
        <v/>
      </c>
    </row>
    <row r="822">
      <c r="A822" s="12" t="inlineStr">
        <is>
          <t>ORD-2025-10821</t>
        </is>
      </c>
      <c r="B822" s="12" t="inlineStr">
        <is>
          <t>06-02-2025</t>
        </is>
      </c>
      <c r="C822" s="12" t="inlineStr">
        <is>
          <t>10-02-2025</t>
        </is>
      </c>
      <c r="D822" s="12" t="inlineStr">
        <is>
          <t>CUST-2041</t>
        </is>
      </c>
      <c r="E822" s="12" t="inlineStr">
        <is>
          <t>Ananya Rao</t>
        </is>
      </c>
      <c r="F822" s="12" t="inlineStr">
        <is>
          <t>Home Office</t>
        </is>
      </c>
      <c r="G822" s="12" t="inlineStr">
        <is>
          <t>North</t>
        </is>
      </c>
      <c r="H822" s="12" t="inlineStr">
        <is>
          <t>Uttar Pradesh</t>
        </is>
      </c>
      <c r="I822" s="12" t="inlineStr">
        <is>
          <t>Noida</t>
        </is>
      </c>
      <c r="J822" s="12" t="inlineStr">
        <is>
          <t>Furniture</t>
        </is>
      </c>
      <c r="K822" s="12" t="inlineStr">
        <is>
          <t>Bookcases</t>
        </is>
      </c>
      <c r="L822" s="12" t="inlineStr">
        <is>
          <t>Classic Bookcases 882</t>
        </is>
      </c>
      <c r="M822" s="12" t="inlineStr">
        <is>
          <t>Standard Class</t>
        </is>
      </c>
      <c r="N822" s="12" t="n">
        <v>2</v>
      </c>
      <c r="O822" s="12" t="n">
        <v>319.57</v>
      </c>
      <c r="P822" s="12" t="n">
        <v>0.2</v>
      </c>
      <c r="Q822" s="12" t="n">
        <v>511.31</v>
      </c>
      <c r="R822" s="12" t="n">
        <v>436.43</v>
      </c>
      <c r="S822" s="12" t="n">
        <v>74.88</v>
      </c>
      <c r="T822" s="12" t="inlineStr">
        <is>
          <t>Paid</t>
        </is>
      </c>
      <c r="U822" s="12" t="inlineStr">
        <is>
          <t>Completed</t>
        </is>
      </c>
      <c r="V822">
        <f>IF(OR(P822="",P822&lt;0,P822&gt;0.5),0,P822)</f>
        <v/>
      </c>
      <c r="W822">
        <f>N822*O822*(1-V822)</f>
        <v/>
      </c>
      <c r="X822">
        <f>W822-R822</f>
        <v/>
      </c>
      <c r="Y822">
        <f>IF(W822=0,0,X822/W822)</f>
        <v/>
      </c>
      <c r="Z822">
        <f>C822-B822</f>
        <v/>
      </c>
      <c r="AA822">
        <f>TEXT(B822,"mmmm")</f>
        <v/>
      </c>
      <c r="AB822">
        <f>YEAR(B822)</f>
        <v/>
      </c>
      <c r="AC822">
        <f>IF(OR(P822&lt;0,P822&gt;0.5,C822&lt;B822),"INVALID","CLEAN")</f>
        <v/>
      </c>
    </row>
    <row r="823">
      <c r="A823" s="12" t="inlineStr">
        <is>
          <t>ORD-2024-10822</t>
        </is>
      </c>
      <c r="B823" s="12" t="inlineStr">
        <is>
          <t>2024-07-03</t>
        </is>
      </c>
      <c r="C823" s="12" t="inlineStr">
        <is>
          <t>06-07-2024</t>
        </is>
      </c>
      <c r="D823" s="12" t="inlineStr">
        <is>
          <t>CUST-4466</t>
        </is>
      </c>
      <c r="E823" s="12" t="inlineStr">
        <is>
          <t>Aarav Sharma</t>
        </is>
      </c>
      <c r="F823" s="12" t="inlineStr">
        <is>
          <t>Corporate</t>
        </is>
      </c>
      <c r="G823" s="12" t="inlineStr">
        <is>
          <t>South</t>
        </is>
      </c>
      <c r="H823" s="12" t="inlineStr">
        <is>
          <t>Karnataka</t>
        </is>
      </c>
      <c r="I823" s="12" t="inlineStr">
        <is>
          <t>Bengaluru</t>
        </is>
      </c>
      <c r="J823" s="12" t="inlineStr">
        <is>
          <t>Technology</t>
        </is>
      </c>
      <c r="K823" s="12" t="inlineStr">
        <is>
          <t>Accessories</t>
        </is>
      </c>
      <c r="L823" s="12" t="inlineStr">
        <is>
          <t>Classic Accessories 471</t>
        </is>
      </c>
      <c r="M823" s="12" t="inlineStr">
        <is>
          <t>First Class</t>
        </is>
      </c>
      <c r="N823" s="12" t="n">
        <v>7</v>
      </c>
      <c r="O823" s="12" t="n">
        <v>1942.49</v>
      </c>
      <c r="P823" s="12" t="n">
        <v>0.2</v>
      </c>
      <c r="Q823" s="12" t="n">
        <v>10877.94</v>
      </c>
      <c r="R823" s="12" t="n">
        <v>9110.139999999999</v>
      </c>
      <c r="S823" s="12" t="n">
        <v>1767.8</v>
      </c>
      <c r="T823" s="12" t="inlineStr">
        <is>
          <t>Paid</t>
        </is>
      </c>
      <c r="U823" s="12" t="inlineStr">
        <is>
          <t>Completed</t>
        </is>
      </c>
      <c r="V823">
        <f>IF(OR(P823="",P823&lt;0,P823&gt;0.5),0,P823)</f>
        <v/>
      </c>
      <c r="W823">
        <f>N823*O823*(1-V823)</f>
        <v/>
      </c>
      <c r="X823">
        <f>W823-R823</f>
        <v/>
      </c>
      <c r="Y823">
        <f>IF(W823=0,0,X823/W823)</f>
        <v/>
      </c>
      <c r="Z823">
        <f>C823-B823</f>
        <v/>
      </c>
      <c r="AA823">
        <f>TEXT(B823,"mmmm")</f>
        <v/>
      </c>
      <c r="AB823">
        <f>YEAR(B823)</f>
        <v/>
      </c>
      <c r="AC823">
        <f>IF(OR(P823&lt;0,P823&gt;0.5,C823&lt;B823),"INVALID","CLEAN")</f>
        <v/>
      </c>
    </row>
    <row r="824">
      <c r="A824" s="12" t="inlineStr">
        <is>
          <t>ORD-2024-10823</t>
        </is>
      </c>
      <c r="B824" s="12" t="inlineStr">
        <is>
          <t>10/12/2024</t>
        </is>
      </c>
      <c r="C824" s="12" t="inlineStr">
        <is>
          <t>08 Oct 2024</t>
        </is>
      </c>
      <c r="D824" s="12" t="inlineStr">
        <is>
          <t>CUST-3188</t>
        </is>
      </c>
      <c r="E824" s="12" t="inlineStr">
        <is>
          <t>Mira Das</t>
        </is>
      </c>
      <c r="F824" s="12" t="inlineStr">
        <is>
          <t>Corporate</t>
        </is>
      </c>
      <c r="G824" s="12" t="inlineStr">
        <is>
          <t>East</t>
        </is>
      </c>
      <c r="H824" s="12" t="inlineStr">
        <is>
          <t>Assam</t>
        </is>
      </c>
      <c r="I824" s="12" t="inlineStr">
        <is>
          <t>Guwahati</t>
        </is>
      </c>
      <c r="J824" s="12" t="inlineStr">
        <is>
          <t>Furniture</t>
        </is>
      </c>
      <c r="K824" s="12" t="inlineStr">
        <is>
          <t>Furnishings</t>
        </is>
      </c>
      <c r="L824" s="12" t="inlineStr">
        <is>
          <t>Smart Furnishings 175</t>
        </is>
      </c>
      <c r="M824" s="12" t="inlineStr">
        <is>
          <t>Second Class</t>
        </is>
      </c>
      <c r="N824" s="12" t="n">
        <v>4</v>
      </c>
      <c r="O824" s="12" t="n">
        <v>3202.04</v>
      </c>
      <c r="P824" s="12" t="n">
        <v>0.2</v>
      </c>
      <c r="Q824" s="12" t="n">
        <v>10246.53</v>
      </c>
      <c r="R824" s="12" t="n">
        <v>8634.42</v>
      </c>
      <c r="S824" s="12" t="n">
        <v>1612.11</v>
      </c>
      <c r="T824" s="12" t="inlineStr">
        <is>
          <t>Pending</t>
        </is>
      </c>
      <c r="U824" s="12" t="inlineStr">
        <is>
          <t>Returned</t>
        </is>
      </c>
      <c r="V824">
        <f>IF(OR(P824="",P824&lt;0,P824&gt;0.5),0,P824)</f>
        <v/>
      </c>
      <c r="W824">
        <f>N824*O824*(1-V824)</f>
        <v/>
      </c>
      <c r="X824">
        <f>W824-R824</f>
        <v/>
      </c>
      <c r="Y824">
        <f>IF(W824=0,0,X824/W824)</f>
        <v/>
      </c>
      <c r="Z824">
        <f>C824-B824</f>
        <v/>
      </c>
      <c r="AA824">
        <f>TEXT(B824,"mmmm")</f>
        <v/>
      </c>
      <c r="AB824">
        <f>YEAR(B824)</f>
        <v/>
      </c>
      <c r="AC824">
        <f>IF(OR(P824&lt;0,P824&gt;0.5,C824&lt;B824),"INVALID","CLEAN")</f>
        <v/>
      </c>
    </row>
    <row r="825">
      <c r="A825" s="12" t="inlineStr">
        <is>
          <t>ORD-2025-10824</t>
        </is>
      </c>
      <c r="B825" s="12" t="inlineStr">
        <is>
          <t>2025-01-06</t>
        </is>
      </c>
      <c r="C825" s="12" t="inlineStr">
        <is>
          <t>12 Jan 2025</t>
        </is>
      </c>
      <c r="D825" s="12" t="inlineStr">
        <is>
          <t>CUST-6638</t>
        </is>
      </c>
      <c r="E825" s="12" t="inlineStr">
        <is>
          <t>Mira Das</t>
        </is>
      </c>
      <c r="F825" s="12" t="inlineStr">
        <is>
          <t>Home Office</t>
        </is>
      </c>
      <c r="G825" s="12" t="inlineStr">
        <is>
          <t>West</t>
        </is>
      </c>
      <c r="H825" s="12" t="inlineStr">
        <is>
          <t>Goa</t>
        </is>
      </c>
      <c r="I825" s="12" t="inlineStr">
        <is>
          <t>Panaji</t>
        </is>
      </c>
      <c r="J825" s="12" t="inlineStr">
        <is>
          <t>Office Supplies</t>
        </is>
      </c>
      <c r="K825" s="12" t="inlineStr">
        <is>
          <t>Paper</t>
        </is>
      </c>
      <c r="L825" s="12" t="inlineStr">
        <is>
          <t>Basic Paper 899</t>
        </is>
      </c>
      <c r="M825" s="12" t="inlineStr">
        <is>
          <t>Same Day</t>
        </is>
      </c>
      <c r="N825" s="12" t="n">
        <v>3</v>
      </c>
      <c r="O825" s="12" t="n">
        <v>668.33</v>
      </c>
      <c r="P825" s="12" t="n">
        <v>0.15</v>
      </c>
      <c r="Q825" s="12" t="n">
        <v>1704.24</v>
      </c>
      <c r="R825" s="12" t="n">
        <v>957.55</v>
      </c>
      <c r="S825" s="12" t="n">
        <v>746.6900000000001</v>
      </c>
      <c r="T825" s="12" t="inlineStr">
        <is>
          <t>Paid</t>
        </is>
      </c>
      <c r="U825" s="12" t="inlineStr">
        <is>
          <t>Completed</t>
        </is>
      </c>
      <c r="V825">
        <f>IF(OR(P825="",P825&lt;0,P825&gt;0.5),0,P825)</f>
        <v/>
      </c>
      <c r="W825">
        <f>N825*O825*(1-V825)</f>
        <v/>
      </c>
      <c r="X825">
        <f>W825-R825</f>
        <v/>
      </c>
      <c r="Y825">
        <f>IF(W825=0,0,X825/W825)</f>
        <v/>
      </c>
      <c r="Z825">
        <f>C825-B825</f>
        <v/>
      </c>
      <c r="AA825">
        <f>TEXT(B825,"mmmm")</f>
        <v/>
      </c>
      <c r="AB825">
        <f>YEAR(B825)</f>
        <v/>
      </c>
      <c r="AC825">
        <f>IF(OR(P825&lt;0,P825&gt;0.5,C825&lt;B825),"INVALID","CLEAN")</f>
        <v/>
      </c>
    </row>
    <row r="826">
      <c r="A826" s="12" t="inlineStr">
        <is>
          <t>ORD-2025-10825</t>
        </is>
      </c>
      <c r="B826" s="12" t="inlineStr">
        <is>
          <t>21-03-2025</t>
        </is>
      </c>
      <c r="C826" s="12" t="inlineStr">
        <is>
          <t>22 Mar 2025</t>
        </is>
      </c>
      <c r="D826" s="12" t="inlineStr">
        <is>
          <t>CUST-3540</t>
        </is>
      </c>
      <c r="E826" s="12" t="inlineStr">
        <is>
          <t>Priya Menon</t>
        </is>
      </c>
      <c r="F826" s="12" t="inlineStr">
        <is>
          <t>Consumer</t>
        </is>
      </c>
      <c r="G826" s="12" t="inlineStr">
        <is>
          <t>West</t>
        </is>
      </c>
      <c r="H826" s="12" t="inlineStr">
        <is>
          <t>Goa</t>
        </is>
      </c>
      <c r="I826" s="12" t="inlineStr">
        <is>
          <t>Panaji</t>
        </is>
      </c>
      <c r="J826" s="12" t="inlineStr">
        <is>
          <t>Office Supplies</t>
        </is>
      </c>
      <c r="K826" s="12" t="inlineStr">
        <is>
          <t>Paper</t>
        </is>
      </c>
      <c r="L826" s="12" t="inlineStr">
        <is>
          <t>Pro Paper 267</t>
        </is>
      </c>
      <c r="M826" s="12" t="inlineStr">
        <is>
          <t>First Class</t>
        </is>
      </c>
      <c r="N826" s="12" t="n">
        <v>8</v>
      </c>
      <c r="O826" s="12" t="n">
        <v>4436.74</v>
      </c>
      <c r="P826" s="12" t="n">
        <v>0.05</v>
      </c>
      <c r="Q826" s="12" t="n">
        <v>33719.22</v>
      </c>
      <c r="R826" s="12" t="n">
        <v>28924.43</v>
      </c>
      <c r="S826" s="12" t="n">
        <v>4794.79</v>
      </c>
      <c r="T826" s="12" t="inlineStr">
        <is>
          <t>Paid</t>
        </is>
      </c>
      <c r="U826" s="12" t="inlineStr">
        <is>
          <t>Completed</t>
        </is>
      </c>
      <c r="V826">
        <f>IF(OR(P826="",P826&lt;0,P826&gt;0.5),0,P826)</f>
        <v/>
      </c>
      <c r="W826">
        <f>N826*O826*(1-V826)</f>
        <v/>
      </c>
      <c r="X826">
        <f>W826-R826</f>
        <v/>
      </c>
      <c r="Y826">
        <f>IF(W826=0,0,X826/W826)</f>
        <v/>
      </c>
      <c r="Z826">
        <f>C826-B826</f>
        <v/>
      </c>
      <c r="AA826">
        <f>TEXT(B826,"mmmm")</f>
        <v/>
      </c>
      <c r="AB826">
        <f>YEAR(B826)</f>
        <v/>
      </c>
      <c r="AC826">
        <f>IF(OR(P826&lt;0,P826&gt;0.5,C826&lt;B826),"INVALID","CLEAN")</f>
        <v/>
      </c>
    </row>
    <row r="827">
      <c r="A827" s="12" t="inlineStr">
        <is>
          <t>ORD-2025-10826</t>
        </is>
      </c>
      <c r="B827" s="12" t="inlineStr">
        <is>
          <t>16 Apr 2025</t>
        </is>
      </c>
      <c r="C827" s="12" t="inlineStr">
        <is>
          <t>17-04-2025</t>
        </is>
      </c>
      <c r="D827" s="12" t="inlineStr">
        <is>
          <t>CUST-3351</t>
        </is>
      </c>
      <c r="E827" s="12" t="inlineStr">
        <is>
          <t>Vikram Iyer</t>
        </is>
      </c>
      <c r="F827" s="12" t="inlineStr">
        <is>
          <t>Small Business</t>
        </is>
      </c>
      <c r="G827" s="12" t="inlineStr">
        <is>
          <t>North</t>
        </is>
      </c>
      <c r="H827" s="12" t="inlineStr">
        <is>
          <t>Uttar Pradesh</t>
        </is>
      </c>
      <c r="I827" s="12" t="inlineStr">
        <is>
          <t>Noida</t>
        </is>
      </c>
      <c r="J827" s="12" t="inlineStr">
        <is>
          <t>Technology</t>
        </is>
      </c>
      <c r="K827" s="12" t="inlineStr">
        <is>
          <t>Machines</t>
        </is>
      </c>
      <c r="L827" s="12" t="inlineStr">
        <is>
          <t>Basic Machines 832</t>
        </is>
      </c>
      <c r="M827" s="12" t="inlineStr">
        <is>
          <t>First Class</t>
        </is>
      </c>
      <c r="N827" s="12" t="n">
        <v>1</v>
      </c>
      <c r="O827" s="12" t="n">
        <v>2720.17</v>
      </c>
      <c r="P827" s="12" t="n">
        <v>0</v>
      </c>
      <c r="Q827" s="12" t="n">
        <v>2720.17</v>
      </c>
      <c r="R827" s="12" t="n">
        <v>1834.23</v>
      </c>
      <c r="S827" s="12" t="n">
        <v>885.9400000000001</v>
      </c>
      <c r="T827" s="12" t="inlineStr">
        <is>
          <t>Paid</t>
        </is>
      </c>
      <c r="U827" s="12" t="inlineStr">
        <is>
          <t>Completed</t>
        </is>
      </c>
      <c r="V827">
        <f>IF(OR(P827="",P827&lt;0,P827&gt;0.5),0,P827)</f>
        <v/>
      </c>
      <c r="W827">
        <f>N827*O827*(1-V827)</f>
        <v/>
      </c>
      <c r="X827">
        <f>W827-R827</f>
        <v/>
      </c>
      <c r="Y827">
        <f>IF(W827=0,0,X827/W827)</f>
        <v/>
      </c>
      <c r="Z827">
        <f>C827-B827</f>
        <v/>
      </c>
      <c r="AA827">
        <f>TEXT(B827,"mmmm")</f>
        <v/>
      </c>
      <c r="AB827">
        <f>YEAR(B827)</f>
        <v/>
      </c>
      <c r="AC827">
        <f>IF(OR(P827&lt;0,P827&gt;0.5,C827&lt;B827),"INVALID","CLEAN")</f>
        <v/>
      </c>
    </row>
    <row r="828">
      <c r="A828" s="12" t="inlineStr">
        <is>
          <t>ORD-2025-10827</t>
        </is>
      </c>
      <c r="B828" s="12" t="inlineStr">
        <is>
          <t>2025-08-10</t>
        </is>
      </c>
      <c r="C828" s="12" t="inlineStr">
        <is>
          <t>14 Aug 2025</t>
        </is>
      </c>
      <c r="D828" s="12" t="inlineStr">
        <is>
          <t>CUST-4375</t>
        </is>
      </c>
      <c r="E828" s="12" t="inlineStr">
        <is>
          <t>Aditi Sen</t>
        </is>
      </c>
      <c r="F828" s="12" t="inlineStr">
        <is>
          <t>Consumer</t>
        </is>
      </c>
      <c r="G828" s="12" t="inlineStr">
        <is>
          <t>West</t>
        </is>
      </c>
      <c r="H828" s="12" t="inlineStr">
        <is>
          <t>Rajasthan</t>
        </is>
      </c>
      <c r="I828" s="12" t="inlineStr">
        <is>
          <t>Udaipur</t>
        </is>
      </c>
      <c r="J828" s="12" t="inlineStr">
        <is>
          <t>Technology</t>
        </is>
      </c>
      <c r="K828" s="12" t="inlineStr">
        <is>
          <t>Accessories</t>
        </is>
      </c>
      <c r="L828" s="12" t="inlineStr">
        <is>
          <t>Elite Accessories 790</t>
        </is>
      </c>
      <c r="M828" s="12" t="inlineStr">
        <is>
          <t>Standard Class</t>
        </is>
      </c>
      <c r="N828" s="12" t="n">
        <v>5</v>
      </c>
      <c r="O828" s="12" t="n">
        <v>2190.14</v>
      </c>
      <c r="P828" s="12" t="n">
        <v>0.25</v>
      </c>
      <c r="Q828" s="12" t="n">
        <v>8213.02</v>
      </c>
      <c r="R828" s="12" t="n">
        <v>5569.3</v>
      </c>
      <c r="S828" s="12" t="n">
        <v>2643.72</v>
      </c>
      <c r="T828" s="12" t="inlineStr">
        <is>
          <t>Paid</t>
        </is>
      </c>
      <c r="U828" s="12" t="inlineStr">
        <is>
          <t>Completed</t>
        </is>
      </c>
      <c r="V828">
        <f>IF(OR(P828="",P828&lt;0,P828&gt;0.5),0,P828)</f>
        <v/>
      </c>
      <c r="W828">
        <f>N828*O828*(1-V828)</f>
        <v/>
      </c>
      <c r="X828">
        <f>W828-R828</f>
        <v/>
      </c>
      <c r="Y828">
        <f>IF(W828=0,0,X828/W828)</f>
        <v/>
      </c>
      <c r="Z828">
        <f>C828-B828</f>
        <v/>
      </c>
      <c r="AA828">
        <f>TEXT(B828,"mmmm")</f>
        <v/>
      </c>
      <c r="AB828">
        <f>YEAR(B828)</f>
        <v/>
      </c>
      <c r="AC828">
        <f>IF(OR(P828&lt;0,P828&gt;0.5,C828&lt;B828),"INVALID","CLEAN")</f>
        <v/>
      </c>
    </row>
    <row r="829">
      <c r="A829" s="12" t="inlineStr">
        <is>
          <t>ORD-2024-10828</t>
        </is>
      </c>
      <c r="B829" s="12" t="inlineStr">
        <is>
          <t>24 Nov 2024</t>
        </is>
      </c>
      <c r="C829" s="12" t="inlineStr">
        <is>
          <t>01-12-2024</t>
        </is>
      </c>
      <c r="D829" s="12" t="inlineStr">
        <is>
          <t>CUST-5125</t>
        </is>
      </c>
      <c r="E829" s="12" t="inlineStr">
        <is>
          <t>Priya Menon</t>
        </is>
      </c>
      <c r="F829" s="12" t="inlineStr">
        <is>
          <t>Home Office</t>
        </is>
      </c>
      <c r="G829" s="12" t="inlineStr">
        <is>
          <t>South</t>
        </is>
      </c>
      <c r="H829" s="12" t="inlineStr">
        <is>
          <t>Tamil Nadu</t>
        </is>
      </c>
      <c r="I829" s="12" t="inlineStr">
        <is>
          <t>Chennai</t>
        </is>
      </c>
      <c r="J829" s="12" t="inlineStr">
        <is>
          <t>Office Supplies</t>
        </is>
      </c>
      <c r="K829" s="12" t="inlineStr">
        <is>
          <t>Paper</t>
        </is>
      </c>
      <c r="L829" s="12" t="inlineStr">
        <is>
          <t>Basic Paper 707</t>
        </is>
      </c>
      <c r="M829" s="12" t="inlineStr">
        <is>
          <t>Same Day</t>
        </is>
      </c>
      <c r="N829" s="12" t="n">
        <v>1</v>
      </c>
      <c r="O829" s="12" t="n">
        <v>844.89</v>
      </c>
      <c r="P829" s="12" t="n">
        <v>0.25</v>
      </c>
      <c r="Q829" s="12" t="n">
        <v>633.67</v>
      </c>
      <c r="R829" s="12" t="n">
        <v>520.47</v>
      </c>
      <c r="S829" s="12" t="n">
        <v>113.2</v>
      </c>
      <c r="T829" s="12" t="inlineStr">
        <is>
          <t>Paid</t>
        </is>
      </c>
      <c r="U829" s="12" t="inlineStr">
        <is>
          <t>Cancelled</t>
        </is>
      </c>
      <c r="V829">
        <f>IF(OR(P829="",P829&lt;0,P829&gt;0.5),0,P829)</f>
        <v/>
      </c>
      <c r="W829">
        <f>N829*O829*(1-V829)</f>
        <v/>
      </c>
      <c r="X829">
        <f>W829-R829</f>
        <v/>
      </c>
      <c r="Y829">
        <f>IF(W829=0,0,X829/W829)</f>
        <v/>
      </c>
      <c r="Z829">
        <f>C829-B829</f>
        <v/>
      </c>
      <c r="AA829">
        <f>TEXT(B829,"mmmm")</f>
        <v/>
      </c>
      <c r="AB829">
        <f>YEAR(B829)</f>
        <v/>
      </c>
      <c r="AC829">
        <f>IF(OR(P829&lt;0,P829&gt;0.5,C829&lt;B829),"INVALID","CLEAN")</f>
        <v/>
      </c>
    </row>
    <row r="830">
      <c r="A830" s="12" t="inlineStr">
        <is>
          <t>ORD-2025-10829</t>
        </is>
      </c>
      <c r="B830" s="12" t="inlineStr">
        <is>
          <t>10/10/2025</t>
        </is>
      </c>
      <c r="C830" s="12" t="inlineStr">
        <is>
          <t>11-10-2025</t>
        </is>
      </c>
      <c r="D830" s="12" t="inlineStr">
        <is>
          <t>CUST-6010</t>
        </is>
      </c>
      <c r="E830" s="12" t="inlineStr">
        <is>
          <t xml:space="preserve">Karan Malhotra </t>
        </is>
      </c>
      <c r="F830" s="12" t="inlineStr">
        <is>
          <t>Corporate</t>
        </is>
      </c>
      <c r="G830" s="12" t="inlineStr">
        <is>
          <t>East</t>
        </is>
      </c>
      <c r="H830" s="12" t="inlineStr">
        <is>
          <t>Odisha</t>
        </is>
      </c>
      <c r="I830" s="12" t="inlineStr">
        <is>
          <t>Bhubaneswar</t>
        </is>
      </c>
      <c r="J830" s="12" t="inlineStr">
        <is>
          <t>Furniture</t>
        </is>
      </c>
      <c r="K830" s="12" t="inlineStr">
        <is>
          <t>Chairs</t>
        </is>
      </c>
      <c r="L830" s="12" t="inlineStr">
        <is>
          <t>Elite Chairs 979</t>
        </is>
      </c>
      <c r="M830" s="12" t="inlineStr">
        <is>
          <t>Second Class</t>
        </is>
      </c>
      <c r="N830" s="12" t="n">
        <v>7</v>
      </c>
      <c r="O830" s="12" t="n">
        <v>3791.96</v>
      </c>
      <c r="P830" s="12" t="n">
        <v>0.05</v>
      </c>
      <c r="Q830" s="12" t="n">
        <v>25216.53</v>
      </c>
      <c r="R830" s="12" t="n">
        <v>14216.94</v>
      </c>
      <c r="S830" s="12" t="n">
        <v>10999.59</v>
      </c>
      <c r="T830" s="12" t="inlineStr">
        <is>
          <t>Failed</t>
        </is>
      </c>
      <c r="U830" s="12" t="inlineStr">
        <is>
          <t>Cancelled</t>
        </is>
      </c>
      <c r="V830">
        <f>IF(OR(P830="",P830&lt;0,P830&gt;0.5),0,P830)</f>
        <v/>
      </c>
      <c r="W830">
        <f>N830*O830*(1-V830)</f>
        <v/>
      </c>
      <c r="X830">
        <f>W830-R830</f>
        <v/>
      </c>
      <c r="Y830">
        <f>IF(W830=0,0,X830/W830)</f>
        <v/>
      </c>
      <c r="Z830">
        <f>C830-B830</f>
        <v/>
      </c>
      <c r="AA830">
        <f>TEXT(B830,"mmmm")</f>
        <v/>
      </c>
      <c r="AB830">
        <f>YEAR(B830)</f>
        <v/>
      </c>
      <c r="AC830">
        <f>IF(OR(P830&lt;0,P830&gt;0.5,C830&lt;B830),"INVALID","CLEAN")</f>
        <v/>
      </c>
    </row>
    <row r="831">
      <c r="A831" s="12" t="inlineStr">
        <is>
          <t>ORD-2024-10830</t>
        </is>
      </c>
      <c r="B831" s="12" t="inlineStr">
        <is>
          <t>02/26/2024</t>
        </is>
      </c>
      <c r="C831" s="12" t="inlineStr">
        <is>
          <t>28-02-2024</t>
        </is>
      </c>
      <c r="D831" s="12" t="inlineStr">
        <is>
          <t>CUST-9036</t>
        </is>
      </c>
      <c r="E831" s="12" t="inlineStr">
        <is>
          <t>Aditi Sen</t>
        </is>
      </c>
      <c r="F831" s="12" t="inlineStr">
        <is>
          <t>Small Business</t>
        </is>
      </c>
      <c r="G831" s="12" t="inlineStr">
        <is>
          <t>West</t>
        </is>
      </c>
      <c r="H831" s="12" t="inlineStr">
        <is>
          <t>Goa</t>
        </is>
      </c>
      <c r="I831" s="12" t="inlineStr">
        <is>
          <t>Panaji</t>
        </is>
      </c>
      <c r="J831" s="12" t="inlineStr">
        <is>
          <t>Furniture</t>
        </is>
      </c>
      <c r="K831" s="12" t="inlineStr">
        <is>
          <t>Furnishings</t>
        </is>
      </c>
      <c r="L831" s="12" t="inlineStr">
        <is>
          <t>Pro Furnishings 192</t>
        </is>
      </c>
      <c r="M831" s="12" t="inlineStr">
        <is>
          <t>Second Class</t>
        </is>
      </c>
      <c r="N831" s="12" t="n">
        <v>7</v>
      </c>
      <c r="O831" s="12" t="n">
        <v>1035.14</v>
      </c>
      <c r="P831" s="12" t="n">
        <v>0.1</v>
      </c>
      <c r="Q831" s="12" t="n">
        <v>6521.38</v>
      </c>
      <c r="R831" s="12" t="n">
        <v>4511.1</v>
      </c>
      <c r="S831" s="12" t="n">
        <v>2010.28</v>
      </c>
      <c r="T831" s="12" t="inlineStr">
        <is>
          <t>Paid</t>
        </is>
      </c>
      <c r="U831" s="12" t="inlineStr">
        <is>
          <t>Completed</t>
        </is>
      </c>
      <c r="V831">
        <f>IF(OR(P831="",P831&lt;0,P831&gt;0.5),0,P831)</f>
        <v/>
      </c>
      <c r="W831">
        <f>N831*O831*(1-V831)</f>
        <v/>
      </c>
      <c r="X831">
        <f>W831-R831</f>
        <v/>
      </c>
      <c r="Y831">
        <f>IF(W831=0,0,X831/W831)</f>
        <v/>
      </c>
      <c r="Z831">
        <f>C831-B831</f>
        <v/>
      </c>
      <c r="AA831">
        <f>TEXT(B831,"mmmm")</f>
        <v/>
      </c>
      <c r="AB831">
        <f>YEAR(B831)</f>
        <v/>
      </c>
      <c r="AC831">
        <f>IF(OR(P831&lt;0,P831&gt;0.5,C831&lt;B831),"INVALID","CLEAN")</f>
        <v/>
      </c>
    </row>
    <row r="832">
      <c r="A832" s="12" t="inlineStr">
        <is>
          <t>ORD-2025-10831</t>
        </is>
      </c>
      <c r="B832" s="12" t="inlineStr">
        <is>
          <t>15 Jul 2025</t>
        </is>
      </c>
      <c r="C832" s="12" t="inlineStr">
        <is>
          <t>18-07-2025</t>
        </is>
      </c>
      <c r="D832" s="12" t="inlineStr">
        <is>
          <t>CUST-7929</t>
        </is>
      </c>
      <c r="E832" s="12" t="inlineStr">
        <is>
          <t>Aditi Sen</t>
        </is>
      </c>
      <c r="F832" s="12" t="inlineStr">
        <is>
          <t>Small Business</t>
        </is>
      </c>
      <c r="G832" s="12" t="n"/>
      <c r="H832" s="12" t="inlineStr">
        <is>
          <t>Tamil Nadu</t>
        </is>
      </c>
      <c r="I832" s="12" t="inlineStr">
        <is>
          <t>Chennai</t>
        </is>
      </c>
      <c r="J832" s="12" t="inlineStr">
        <is>
          <t>Technology</t>
        </is>
      </c>
      <c r="K832" s="12" t="inlineStr">
        <is>
          <t>Machines</t>
        </is>
      </c>
      <c r="L832" s="12" t="inlineStr">
        <is>
          <t>Smart Machines 951</t>
        </is>
      </c>
      <c r="M832" s="12" t="inlineStr">
        <is>
          <t>First Class</t>
        </is>
      </c>
      <c r="N832" s="12" t="n">
        <v>6</v>
      </c>
      <c r="O832" s="12" t="n">
        <v>2382.88</v>
      </c>
      <c r="P832" s="12" t="n">
        <v>0.1</v>
      </c>
      <c r="Q832" s="12" t="n">
        <v>12867.55</v>
      </c>
      <c r="R832" s="12" t="n">
        <v>10068.94</v>
      </c>
      <c r="S832" s="12" t="n">
        <v>2798.61</v>
      </c>
      <c r="T832" s="12" t="inlineStr">
        <is>
          <t>Paid</t>
        </is>
      </c>
      <c r="U832" s="12" t="inlineStr">
        <is>
          <t>Completed</t>
        </is>
      </c>
      <c r="V832">
        <f>IF(OR(P832="",P832&lt;0,P832&gt;0.5),0,P832)</f>
        <v/>
      </c>
      <c r="W832">
        <f>N832*O832*(1-V832)</f>
        <v/>
      </c>
      <c r="X832">
        <f>W832-R832</f>
        <v/>
      </c>
      <c r="Y832">
        <f>IF(W832=0,0,X832/W832)</f>
        <v/>
      </c>
      <c r="Z832">
        <f>C832-B832</f>
        <v/>
      </c>
      <c r="AA832">
        <f>TEXT(B832,"mmmm")</f>
        <v/>
      </c>
      <c r="AB832">
        <f>YEAR(B832)</f>
        <v/>
      </c>
      <c r="AC832">
        <f>IF(OR(P832&lt;0,P832&gt;0.5,C832&lt;B832),"INVALID","CLEAN")</f>
        <v/>
      </c>
    </row>
    <row r="833">
      <c r="A833" s="12" t="inlineStr">
        <is>
          <t>ORD-2025-10832</t>
        </is>
      </c>
      <c r="B833" s="12" t="inlineStr">
        <is>
          <t>04/03/2025</t>
        </is>
      </c>
      <c r="C833" s="12" t="inlineStr">
        <is>
          <t>03-04-2025</t>
        </is>
      </c>
      <c r="D833" s="12" t="inlineStr">
        <is>
          <t>CUST-1106</t>
        </is>
      </c>
      <c r="E833" s="12" t="inlineStr">
        <is>
          <t>Diya Patel</t>
        </is>
      </c>
      <c r="F833" s="12" t="inlineStr">
        <is>
          <t>Home Office</t>
        </is>
      </c>
      <c r="G833" s="12" t="n"/>
      <c r="H833" s="12" t="inlineStr">
        <is>
          <t>Haryana</t>
        </is>
      </c>
      <c r="I833" s="12" t="inlineStr">
        <is>
          <t>Gurugram</t>
        </is>
      </c>
      <c r="J833" s="12" t="inlineStr">
        <is>
          <t>Furniture</t>
        </is>
      </c>
      <c r="K833" s="12" t="inlineStr">
        <is>
          <t>Chairs</t>
        </is>
      </c>
      <c r="L833" s="12" t="inlineStr">
        <is>
          <t>Smart Chairs 794</t>
        </is>
      </c>
      <c r="M833" s="12" t="inlineStr">
        <is>
          <t>First Class</t>
        </is>
      </c>
      <c r="N833" s="12" t="n">
        <v>9</v>
      </c>
      <c r="O833" s="12" t="n">
        <v>3462.7</v>
      </c>
      <c r="P833" s="12" t="n">
        <v>0.15</v>
      </c>
      <c r="Q833" s="12" t="n">
        <v>26489.65</v>
      </c>
      <c r="R833" s="12" t="n">
        <v>15818.46</v>
      </c>
      <c r="S833" s="12" t="n">
        <v>10671.19</v>
      </c>
      <c r="T833" s="12" t="inlineStr">
        <is>
          <t>Failed</t>
        </is>
      </c>
      <c r="U833" s="12" t="inlineStr">
        <is>
          <t>Returned</t>
        </is>
      </c>
      <c r="V833">
        <f>IF(OR(P833="",P833&lt;0,P833&gt;0.5),0,P833)</f>
        <v/>
      </c>
      <c r="W833">
        <f>N833*O833*(1-V833)</f>
        <v/>
      </c>
      <c r="X833">
        <f>W833-R833</f>
        <v/>
      </c>
      <c r="Y833">
        <f>IF(W833=0,0,X833/W833)</f>
        <v/>
      </c>
      <c r="Z833">
        <f>C833-B833</f>
        <v/>
      </c>
      <c r="AA833">
        <f>TEXT(B833,"mmmm")</f>
        <v/>
      </c>
      <c r="AB833">
        <f>YEAR(B833)</f>
        <v/>
      </c>
      <c r="AC833">
        <f>IF(OR(P833&lt;0,P833&gt;0.5,C833&lt;B833),"INVALID","CLEAN")</f>
        <v/>
      </c>
    </row>
    <row r="834">
      <c r="A834" s="12" t="inlineStr">
        <is>
          <t>ORD-2025-10833</t>
        </is>
      </c>
      <c r="B834" s="12" t="inlineStr">
        <is>
          <t>26 May 2025</t>
        </is>
      </c>
      <c r="C834" s="12" t="inlineStr">
        <is>
          <t>28-05-2025</t>
        </is>
      </c>
      <c r="D834" s="12" t="inlineStr">
        <is>
          <t>CUST-9557</t>
        </is>
      </c>
      <c r="E834" s="12" t="inlineStr">
        <is>
          <t>Kabir Singh</t>
        </is>
      </c>
      <c r="F834" s="12" t="inlineStr">
        <is>
          <t>Small Business</t>
        </is>
      </c>
      <c r="G834" s="12" t="inlineStr">
        <is>
          <t>South</t>
        </is>
      </c>
      <c r="H834" s="12" t="inlineStr">
        <is>
          <t>Andhra Pradesh</t>
        </is>
      </c>
      <c r="I834" s="12" t="inlineStr">
        <is>
          <t>Vijayawada</t>
        </is>
      </c>
      <c r="J834" s="12" t="inlineStr">
        <is>
          <t>Technology</t>
        </is>
      </c>
      <c r="K834" s="12" t="inlineStr">
        <is>
          <t>Phones</t>
        </is>
      </c>
      <c r="L834" s="12" t="inlineStr">
        <is>
          <t>Max Phones 919</t>
        </is>
      </c>
      <c r="M834" s="12" t="inlineStr">
        <is>
          <t>Second Class</t>
        </is>
      </c>
      <c r="N834" s="12" t="n">
        <v>9</v>
      </c>
      <c r="O834" s="12" t="n">
        <v>4302.02</v>
      </c>
      <c r="P834" s="12" t="n">
        <v>0.05</v>
      </c>
      <c r="Q834" s="12" t="n">
        <v>36782.27</v>
      </c>
      <c r="R834" s="12" t="n">
        <v>25902.81</v>
      </c>
      <c r="S834" s="12" t="n">
        <v>10879.46</v>
      </c>
      <c r="T834" s="12" t="inlineStr">
        <is>
          <t>Paid</t>
        </is>
      </c>
      <c r="U834" s="12" t="inlineStr">
        <is>
          <t>Completed</t>
        </is>
      </c>
      <c r="V834">
        <f>IF(OR(P834="",P834&lt;0,P834&gt;0.5),0,P834)</f>
        <v/>
      </c>
      <c r="W834">
        <f>N834*O834*(1-V834)</f>
        <v/>
      </c>
      <c r="X834">
        <f>W834-R834</f>
        <v/>
      </c>
      <c r="Y834">
        <f>IF(W834=0,0,X834/W834)</f>
        <v/>
      </c>
      <c r="Z834">
        <f>C834-B834</f>
        <v/>
      </c>
      <c r="AA834">
        <f>TEXT(B834,"mmmm")</f>
        <v/>
      </c>
      <c r="AB834">
        <f>YEAR(B834)</f>
        <v/>
      </c>
      <c r="AC834">
        <f>IF(OR(P834&lt;0,P834&gt;0.5,C834&lt;B834),"INVALID","CLEAN")</f>
        <v/>
      </c>
    </row>
    <row r="835">
      <c r="A835" s="12" t="inlineStr">
        <is>
          <t>ORD-2024-10834</t>
        </is>
      </c>
      <c r="B835" s="12" t="inlineStr">
        <is>
          <t>2024-06-04</t>
        </is>
      </c>
      <c r="C835" s="12" t="inlineStr">
        <is>
          <t>06/04/2024</t>
        </is>
      </c>
      <c r="D835" s="12" t="inlineStr">
        <is>
          <t>CUST-2689</t>
        </is>
      </c>
      <c r="E835" s="12" t="inlineStr">
        <is>
          <t>Rahul Verma</t>
        </is>
      </c>
      <c r="F835" s="12" t="inlineStr">
        <is>
          <t>Home Office</t>
        </is>
      </c>
      <c r="G835" s="12" t="inlineStr">
        <is>
          <t>East</t>
        </is>
      </c>
      <c r="H835" s="12" t="inlineStr">
        <is>
          <t>West Bengal</t>
        </is>
      </c>
      <c r="I835" s="12" t="inlineStr">
        <is>
          <t>Kolkata</t>
        </is>
      </c>
      <c r="J835" s="12" t="inlineStr">
        <is>
          <t>Furniture</t>
        </is>
      </c>
      <c r="K835" s="12" t="inlineStr">
        <is>
          <t>Bookcases</t>
        </is>
      </c>
      <c r="L835" s="12" t="inlineStr">
        <is>
          <t>Basic Bookcases 499</t>
        </is>
      </c>
      <c r="M835" s="12" t="inlineStr">
        <is>
          <t>First Class</t>
        </is>
      </c>
      <c r="N835" s="12" t="n">
        <v>6</v>
      </c>
      <c r="O835" s="12" t="n">
        <v>3949.4</v>
      </c>
      <c r="P835" s="12" t="n">
        <v>0</v>
      </c>
      <c r="Q835" s="12" t="n">
        <v>23696.4</v>
      </c>
      <c r="R835" s="12" t="n">
        <v>18109.77</v>
      </c>
      <c r="S835" s="12" t="n">
        <v>5586.63</v>
      </c>
      <c r="T835" s="12" t="inlineStr">
        <is>
          <t>Paid</t>
        </is>
      </c>
      <c r="U835" s="12" t="inlineStr">
        <is>
          <t>Completed</t>
        </is>
      </c>
      <c r="V835">
        <f>IF(OR(P835="",P835&lt;0,P835&gt;0.5),0,P835)</f>
        <v/>
      </c>
      <c r="W835">
        <f>N835*O835*(1-V835)</f>
        <v/>
      </c>
      <c r="X835">
        <f>W835-R835</f>
        <v/>
      </c>
      <c r="Y835">
        <f>IF(W835=0,0,X835/W835)</f>
        <v/>
      </c>
      <c r="Z835">
        <f>C835-B835</f>
        <v/>
      </c>
      <c r="AA835">
        <f>TEXT(B835,"mmmm")</f>
        <v/>
      </c>
      <c r="AB835">
        <f>YEAR(B835)</f>
        <v/>
      </c>
      <c r="AC835">
        <f>IF(OR(P835&lt;0,P835&gt;0.5,C835&lt;B835),"INVALID","CLEAN")</f>
        <v/>
      </c>
    </row>
    <row r="836">
      <c r="A836" s="12" t="inlineStr">
        <is>
          <t>ORD-2024-10835</t>
        </is>
      </c>
      <c r="B836" s="12" t="inlineStr">
        <is>
          <t>18-10-2024</t>
        </is>
      </c>
      <c r="C836" s="12" t="inlineStr">
        <is>
          <t>2024-10-22</t>
        </is>
      </c>
      <c r="D836" s="12" t="inlineStr">
        <is>
          <t>CUST-2879</t>
        </is>
      </c>
      <c r="E836" s="12" t="inlineStr">
        <is>
          <t>Aarav Sharma</t>
        </is>
      </c>
      <c r="F836" s="12" t="inlineStr">
        <is>
          <t>Home Office</t>
        </is>
      </c>
      <c r="G836" s="12" t="inlineStr">
        <is>
          <t>South</t>
        </is>
      </c>
      <c r="H836" s="12" t="inlineStr">
        <is>
          <t>Telangana</t>
        </is>
      </c>
      <c r="I836" s="12" t="inlineStr">
        <is>
          <t>Hyderabad</t>
        </is>
      </c>
      <c r="J836" s="12" t="inlineStr">
        <is>
          <t>Office Supplies</t>
        </is>
      </c>
      <c r="K836" s="12" t="inlineStr">
        <is>
          <t>Art</t>
        </is>
      </c>
      <c r="L836" s="12" t="inlineStr">
        <is>
          <t>Basic Art 143</t>
        </is>
      </c>
      <c r="M836" s="12" t="inlineStr">
        <is>
          <t>First Class</t>
        </is>
      </c>
      <c r="N836" s="12" t="n">
        <v>6</v>
      </c>
      <c r="O836" s="12" t="n">
        <v>674.61</v>
      </c>
      <c r="P836" s="12" t="n">
        <v>0</v>
      </c>
      <c r="Q836" s="12" t="n">
        <v>4047.66</v>
      </c>
      <c r="R836" s="12" t="n">
        <v>3078.93</v>
      </c>
      <c r="S836" s="12" t="n">
        <v>1279.79</v>
      </c>
      <c r="T836" s="12" t="inlineStr">
        <is>
          <t>Paid</t>
        </is>
      </c>
      <c r="U836" s="12" t="inlineStr">
        <is>
          <t>Completed</t>
        </is>
      </c>
      <c r="V836">
        <f>IF(OR(P836="",P836&lt;0,P836&gt;0.5),0,P836)</f>
        <v/>
      </c>
      <c r="W836">
        <f>N836*O836*(1-V836)</f>
        <v/>
      </c>
      <c r="X836">
        <f>W836-R836</f>
        <v/>
      </c>
      <c r="Y836">
        <f>IF(W836=0,0,X836/W836)</f>
        <v/>
      </c>
      <c r="Z836">
        <f>C836-B836</f>
        <v/>
      </c>
      <c r="AA836">
        <f>TEXT(B836,"mmmm")</f>
        <v/>
      </c>
      <c r="AB836">
        <f>YEAR(B836)</f>
        <v/>
      </c>
      <c r="AC836">
        <f>IF(OR(P836&lt;0,P836&gt;0.5,C836&lt;B836),"INVALID","CLEAN")</f>
        <v/>
      </c>
    </row>
    <row r="837">
      <c r="A837" s="12" t="inlineStr">
        <is>
          <t>ORD-2025-10836</t>
        </is>
      </c>
      <c r="B837" s="12" t="inlineStr">
        <is>
          <t>09/26/2025</t>
        </is>
      </c>
      <c r="C837" s="12" t="inlineStr">
        <is>
          <t>04-10-2025</t>
        </is>
      </c>
      <c r="D837" s="12" t="inlineStr">
        <is>
          <t>CUST-5150</t>
        </is>
      </c>
      <c r="E837" s="12" t="inlineStr">
        <is>
          <t>Priya Menon</t>
        </is>
      </c>
      <c r="F837" s="12" t="inlineStr">
        <is>
          <t>Small Business</t>
        </is>
      </c>
      <c r="G837" s="12" t="inlineStr">
        <is>
          <t>East</t>
        </is>
      </c>
      <c r="H837" s="12" t="inlineStr">
        <is>
          <t>Assam</t>
        </is>
      </c>
      <c r="I837" s="12" t="inlineStr">
        <is>
          <t>Guwahati</t>
        </is>
      </c>
      <c r="J837" s="12" t="inlineStr">
        <is>
          <t>Technology</t>
        </is>
      </c>
      <c r="K837" s="12" t="inlineStr">
        <is>
          <t>Phones</t>
        </is>
      </c>
      <c r="L837" s="12" t="inlineStr">
        <is>
          <t>Prime Phones 338</t>
        </is>
      </c>
      <c r="M837" s="12" t="inlineStr">
        <is>
          <t>Second Class</t>
        </is>
      </c>
      <c r="N837" s="12" t="n">
        <v>7</v>
      </c>
      <c r="O837" s="12" t="n">
        <v>1509.59</v>
      </c>
      <c r="P837" s="12" t="n">
        <v>0.05</v>
      </c>
      <c r="Q837" s="12" t="n">
        <v>10038.77</v>
      </c>
      <c r="R837" s="12" t="n">
        <v>5673.1</v>
      </c>
      <c r="S837" s="12" t="n">
        <v>4365.67</v>
      </c>
      <c r="T837" s="12" t="inlineStr">
        <is>
          <t>Paid</t>
        </is>
      </c>
      <c r="U837" s="12" t="inlineStr">
        <is>
          <t>Completed</t>
        </is>
      </c>
      <c r="V837">
        <f>IF(OR(P837="",P837&lt;0,P837&gt;0.5),0,P837)</f>
        <v/>
      </c>
      <c r="W837">
        <f>N837*O837*(1-V837)</f>
        <v/>
      </c>
      <c r="X837">
        <f>W837-R837</f>
        <v/>
      </c>
      <c r="Y837">
        <f>IF(W837=0,0,X837/W837)</f>
        <v/>
      </c>
      <c r="Z837">
        <f>C837-B837</f>
        <v/>
      </c>
      <c r="AA837">
        <f>TEXT(B837,"mmmm")</f>
        <v/>
      </c>
      <c r="AB837">
        <f>YEAR(B837)</f>
        <v/>
      </c>
      <c r="AC837">
        <f>IF(OR(P837&lt;0,P837&gt;0.5,C837&lt;B837),"INVALID","CLEAN")</f>
        <v/>
      </c>
    </row>
    <row r="838">
      <c r="A838" s="12" t="inlineStr">
        <is>
          <t>ORD-2024-10837</t>
        </is>
      </c>
      <c r="B838" s="12" t="inlineStr">
        <is>
          <t>2024-12-15</t>
        </is>
      </c>
      <c r="C838" s="12" t="inlineStr">
        <is>
          <t>2024-12-18</t>
        </is>
      </c>
      <c r="D838" s="12" t="inlineStr">
        <is>
          <t>CUST-9776</t>
        </is>
      </c>
      <c r="E838" s="12" t="inlineStr">
        <is>
          <t>Isha Nair</t>
        </is>
      </c>
      <c r="F838" s="12" t="inlineStr">
        <is>
          <t>Small Business</t>
        </is>
      </c>
      <c r="G838" s="12" t="inlineStr">
        <is>
          <t>North</t>
        </is>
      </c>
      <c r="H838" s="12" t="inlineStr">
        <is>
          <t>Rajasthan</t>
        </is>
      </c>
      <c r="I838" s="12" t="inlineStr">
        <is>
          <t>Jaipur</t>
        </is>
      </c>
      <c r="J838" s="12" t="inlineStr">
        <is>
          <t>Office Supplies</t>
        </is>
      </c>
      <c r="K838" s="12" t="inlineStr">
        <is>
          <t>Labels</t>
        </is>
      </c>
      <c r="L838" s="12" t="inlineStr">
        <is>
          <t>Smart Labels 814</t>
        </is>
      </c>
      <c r="M838" s="12" t="inlineStr">
        <is>
          <t>Second Class</t>
        </is>
      </c>
      <c r="N838" s="12" t="n">
        <v>2</v>
      </c>
      <c r="O838" s="12" t="n">
        <v>537.11</v>
      </c>
      <c r="P838" s="12" t="n">
        <v>0</v>
      </c>
      <c r="Q838" s="12" t="n">
        <v>1074.22</v>
      </c>
      <c r="R838" s="12" t="n">
        <v>850.86</v>
      </c>
      <c r="S838" s="12" t="n">
        <v>223.36</v>
      </c>
      <c r="T838" s="12" t="inlineStr">
        <is>
          <t>Paid</t>
        </is>
      </c>
      <c r="U838" s="12" t="inlineStr">
        <is>
          <t>Completed</t>
        </is>
      </c>
      <c r="V838">
        <f>IF(OR(P838="",P838&lt;0,P838&gt;0.5),0,P838)</f>
        <v/>
      </c>
      <c r="W838">
        <f>N838*O838*(1-V838)</f>
        <v/>
      </c>
      <c r="X838">
        <f>W838-R838</f>
        <v/>
      </c>
      <c r="Y838">
        <f>IF(W838=0,0,X838/W838)</f>
        <v/>
      </c>
      <c r="Z838">
        <f>C838-B838</f>
        <v/>
      </c>
      <c r="AA838">
        <f>TEXT(B838,"mmmm")</f>
        <v/>
      </c>
      <c r="AB838">
        <f>YEAR(B838)</f>
        <v/>
      </c>
      <c r="AC838">
        <f>IF(OR(P838&lt;0,P838&gt;0.5,C838&lt;B838),"INVALID","CLEAN")</f>
        <v/>
      </c>
    </row>
    <row r="839">
      <c r="A839" s="12" t="inlineStr">
        <is>
          <t>ORD-2025-10838</t>
        </is>
      </c>
      <c r="B839" s="12" t="inlineStr">
        <is>
          <t>2025-09-27</t>
        </is>
      </c>
      <c r="C839" s="12" t="inlineStr">
        <is>
          <t>09/28/2025</t>
        </is>
      </c>
      <c r="D839" s="12" t="inlineStr">
        <is>
          <t>CUST-2551</t>
        </is>
      </c>
      <c r="E839" s="12" t="inlineStr">
        <is>
          <t>Karan Malhotra</t>
        </is>
      </c>
      <c r="F839" s="12" t="inlineStr">
        <is>
          <t>Home Office</t>
        </is>
      </c>
      <c r="G839" s="12" t="inlineStr">
        <is>
          <t>West</t>
        </is>
      </c>
      <c r="H839" s="12" t="inlineStr">
        <is>
          <t>Maharashtra</t>
        </is>
      </c>
      <c r="I839" s="12" t="inlineStr">
        <is>
          <t>Mumbai</t>
        </is>
      </c>
      <c r="J839" s="12" t="inlineStr">
        <is>
          <t>Office Supplies</t>
        </is>
      </c>
      <c r="K839" s="12" t="inlineStr">
        <is>
          <t>Paper</t>
        </is>
      </c>
      <c r="L839" s="12" t="inlineStr">
        <is>
          <t>Prime Paper 812</t>
        </is>
      </c>
      <c r="M839" s="12" t="inlineStr">
        <is>
          <t>First Class</t>
        </is>
      </c>
      <c r="N839" s="12" t="n">
        <v>3</v>
      </c>
      <c r="O839" s="12" t="n">
        <v>4177.63</v>
      </c>
      <c r="P839" s="12" t="n">
        <v>0.25</v>
      </c>
      <c r="Q839" s="12" t="n">
        <v>9399.67</v>
      </c>
      <c r="R839" s="12" t="n">
        <v>6540.37</v>
      </c>
      <c r="S839" s="12" t="n">
        <v>2859.3</v>
      </c>
      <c r="T839" s="12" t="inlineStr">
        <is>
          <t>Paid</t>
        </is>
      </c>
      <c r="U839" s="12" t="inlineStr">
        <is>
          <t>Completed</t>
        </is>
      </c>
      <c r="V839">
        <f>IF(OR(P839="",P839&lt;0,P839&gt;0.5),0,P839)</f>
        <v/>
      </c>
      <c r="W839">
        <f>N839*O839*(1-V839)</f>
        <v/>
      </c>
      <c r="X839">
        <f>W839-R839</f>
        <v/>
      </c>
      <c r="Y839">
        <f>IF(W839=0,0,X839/W839)</f>
        <v/>
      </c>
      <c r="Z839">
        <f>C839-B839</f>
        <v/>
      </c>
      <c r="AA839">
        <f>TEXT(B839,"mmmm")</f>
        <v/>
      </c>
      <c r="AB839">
        <f>YEAR(B839)</f>
        <v/>
      </c>
      <c r="AC839">
        <f>IF(OR(P839&lt;0,P839&gt;0.5,C839&lt;B839),"INVALID","CLEAN")</f>
        <v/>
      </c>
    </row>
    <row r="840">
      <c r="A840" s="12" t="inlineStr">
        <is>
          <t>ORD-2025-10839</t>
        </is>
      </c>
      <c r="B840" s="12" t="inlineStr">
        <is>
          <t>04/03/2025</t>
        </is>
      </c>
      <c r="C840" s="12" t="inlineStr">
        <is>
          <t>07 Apr 2025</t>
        </is>
      </c>
      <c r="D840" s="12" t="inlineStr">
        <is>
          <t>CUST-4708</t>
        </is>
      </c>
      <c r="E840" s="12" t="inlineStr">
        <is>
          <t>Ananya Rao</t>
        </is>
      </c>
      <c r="F840" s="12" t="inlineStr">
        <is>
          <t>Small Business</t>
        </is>
      </c>
      <c r="G840" s="12" t="inlineStr">
        <is>
          <t>West</t>
        </is>
      </c>
      <c r="H840" s="12" t="inlineStr">
        <is>
          <t>Goa</t>
        </is>
      </c>
      <c r="I840" s="12" t="inlineStr">
        <is>
          <t>Panaji</t>
        </is>
      </c>
      <c r="J840" s="12" t="inlineStr">
        <is>
          <t>Office Supplies</t>
        </is>
      </c>
      <c r="K840" s="12" t="inlineStr">
        <is>
          <t>Paper</t>
        </is>
      </c>
      <c r="L840" s="12" t="inlineStr">
        <is>
          <t>Pro Paper 355</t>
        </is>
      </c>
      <c r="M840" s="12" t="inlineStr">
        <is>
          <t>Same Day</t>
        </is>
      </c>
      <c r="N840" s="12" t="n">
        <v>1</v>
      </c>
      <c r="O840" s="12" t="n">
        <v>1470.57</v>
      </c>
      <c r="P840" s="12" t="n">
        <v>0</v>
      </c>
      <c r="Q840" s="12" t="n">
        <v>1470.57</v>
      </c>
      <c r="R840" s="12" t="n">
        <v>834.02</v>
      </c>
      <c r="S840" s="12" t="n">
        <v>636.55</v>
      </c>
      <c r="T840" s="12" t="inlineStr">
        <is>
          <t>Paid</t>
        </is>
      </c>
      <c r="U840" s="12" t="inlineStr">
        <is>
          <t>Returned</t>
        </is>
      </c>
      <c r="V840">
        <f>IF(OR(P840="",P840&lt;0,P840&gt;0.5),0,P840)</f>
        <v/>
      </c>
      <c r="W840">
        <f>N840*O840*(1-V840)</f>
        <v/>
      </c>
      <c r="X840">
        <f>W840-R840</f>
        <v/>
      </c>
      <c r="Y840">
        <f>IF(W840=0,0,X840/W840)</f>
        <v/>
      </c>
      <c r="Z840">
        <f>C840-B840</f>
        <v/>
      </c>
      <c r="AA840">
        <f>TEXT(B840,"mmmm")</f>
        <v/>
      </c>
      <c r="AB840">
        <f>YEAR(B840)</f>
        <v/>
      </c>
      <c r="AC840">
        <f>IF(OR(P840&lt;0,P840&gt;0.5,C840&lt;B840),"INVALID","CLEAN")</f>
        <v/>
      </c>
    </row>
    <row r="841">
      <c r="A841" s="12" t="inlineStr">
        <is>
          <t>ORD-2024-10840</t>
        </is>
      </c>
      <c r="B841" s="12" t="inlineStr">
        <is>
          <t>09/20/2024</t>
        </is>
      </c>
      <c r="C841" s="12" t="inlineStr">
        <is>
          <t>22-09-2024</t>
        </is>
      </c>
      <c r="D841" s="12" t="inlineStr">
        <is>
          <t>CUST-8206</t>
        </is>
      </c>
      <c r="E841" s="12" t="inlineStr">
        <is>
          <t>Rohan Mehta</t>
        </is>
      </c>
      <c r="F841" s="12" t="inlineStr">
        <is>
          <t>Home Office</t>
        </is>
      </c>
      <c r="G841" s="12" t="inlineStr">
        <is>
          <t>East</t>
        </is>
      </c>
      <c r="H841" s="12" t="inlineStr">
        <is>
          <t>Odisha</t>
        </is>
      </c>
      <c r="I841" s="12" t="inlineStr">
        <is>
          <t>Bhubaneswar</t>
        </is>
      </c>
      <c r="J841" s="12" t="inlineStr">
        <is>
          <t>Technology</t>
        </is>
      </c>
      <c r="K841" s="12" t="inlineStr">
        <is>
          <t>Phones</t>
        </is>
      </c>
      <c r="L841" s="12" t="inlineStr">
        <is>
          <t>Basic Phones 398</t>
        </is>
      </c>
      <c r="M841" s="12" t="inlineStr">
        <is>
          <t>Standard Class</t>
        </is>
      </c>
      <c r="N841" s="12" t="n">
        <v>8</v>
      </c>
      <c r="O841" s="12" t="n">
        <v>531.4299999999999</v>
      </c>
      <c r="P841" s="12" t="n">
        <v>0.1</v>
      </c>
      <c r="Q841" s="12" t="n">
        <v>3826.3</v>
      </c>
      <c r="R841" s="12" t="n">
        <v>2194.12</v>
      </c>
      <c r="S841" s="12" t="n">
        <v>1632.18</v>
      </c>
      <c r="T841" s="12" t="inlineStr">
        <is>
          <t>Paid</t>
        </is>
      </c>
      <c r="U841" s="12" t="inlineStr">
        <is>
          <t>Completed</t>
        </is>
      </c>
      <c r="V841">
        <f>IF(OR(P841="",P841&lt;0,P841&gt;0.5),0,P841)</f>
        <v/>
      </c>
      <c r="W841">
        <f>N841*O841*(1-V841)</f>
        <v/>
      </c>
      <c r="X841">
        <f>W841-R841</f>
        <v/>
      </c>
      <c r="Y841">
        <f>IF(W841=0,0,X841/W841)</f>
        <v/>
      </c>
      <c r="Z841">
        <f>C841-B841</f>
        <v/>
      </c>
      <c r="AA841">
        <f>TEXT(B841,"mmmm")</f>
        <v/>
      </c>
      <c r="AB841">
        <f>YEAR(B841)</f>
        <v/>
      </c>
      <c r="AC841">
        <f>IF(OR(P841&lt;0,P841&gt;0.5,C841&lt;B841),"INVALID","CLEAN")</f>
        <v/>
      </c>
    </row>
    <row r="842">
      <c r="A842" s="12" t="inlineStr">
        <is>
          <t>ORD-2025-10841</t>
        </is>
      </c>
      <c r="B842" s="12" t="inlineStr">
        <is>
          <t>2025-09-19</t>
        </is>
      </c>
      <c r="C842" s="12" t="inlineStr">
        <is>
          <t>19-09-2025</t>
        </is>
      </c>
      <c r="D842" s="12" t="inlineStr">
        <is>
          <t>CUST-1297</t>
        </is>
      </c>
      <c r="E842" s="12" t="inlineStr">
        <is>
          <t>Neha Gupta</t>
        </is>
      </c>
      <c r="F842" s="12" t="inlineStr">
        <is>
          <t>Home Office</t>
        </is>
      </c>
      <c r="G842" s="12" t="inlineStr">
        <is>
          <t>North</t>
        </is>
      </c>
      <c r="H842" s="12" t="inlineStr">
        <is>
          <t>Delhi</t>
        </is>
      </c>
      <c r="I842" s="12" t="inlineStr">
        <is>
          <t>New Delhi</t>
        </is>
      </c>
      <c r="J842" s="12" t="inlineStr">
        <is>
          <t>Furniture</t>
        </is>
      </c>
      <c r="K842" s="12" t="inlineStr">
        <is>
          <t>Chairs</t>
        </is>
      </c>
      <c r="L842" s="12" t="inlineStr">
        <is>
          <t>Classic Chairs 204</t>
        </is>
      </c>
      <c r="M842" s="12" t="inlineStr">
        <is>
          <t>Same Day</t>
        </is>
      </c>
      <c r="N842" s="12" t="n">
        <v>4</v>
      </c>
      <c r="O842" s="12" t="n">
        <v>1584.11</v>
      </c>
      <c r="P842" s="12" t="n">
        <v>0</v>
      </c>
      <c r="Q842" s="12" t="n">
        <v>6336.44</v>
      </c>
      <c r="R842" s="12" t="n">
        <v>4680.68</v>
      </c>
      <c r="S842" s="12" t="n">
        <v>1655.76</v>
      </c>
      <c r="T842" s="12" t="inlineStr">
        <is>
          <t>Paid</t>
        </is>
      </c>
      <c r="U842" s="12" t="inlineStr">
        <is>
          <t>Completed</t>
        </is>
      </c>
      <c r="V842">
        <f>IF(OR(P842="",P842&lt;0,P842&gt;0.5),0,P842)</f>
        <v/>
      </c>
      <c r="W842">
        <f>N842*O842*(1-V842)</f>
        <v/>
      </c>
      <c r="X842">
        <f>W842-R842</f>
        <v/>
      </c>
      <c r="Y842">
        <f>IF(W842=0,0,X842/W842)</f>
        <v/>
      </c>
      <c r="Z842">
        <f>C842-B842</f>
        <v/>
      </c>
      <c r="AA842">
        <f>TEXT(B842,"mmmm")</f>
        <v/>
      </c>
      <c r="AB842">
        <f>YEAR(B842)</f>
        <v/>
      </c>
      <c r="AC842">
        <f>IF(OR(P842&lt;0,P842&gt;0.5,C842&lt;B842),"INVALID","CLEAN")</f>
        <v/>
      </c>
    </row>
    <row r="843">
      <c r="A843" s="12" t="inlineStr">
        <is>
          <t>ORD-2025-10842</t>
        </is>
      </c>
      <c r="B843" s="12" t="inlineStr">
        <is>
          <t>2025-02-06</t>
        </is>
      </c>
      <c r="C843" s="12" t="inlineStr">
        <is>
          <t>12 Feb 2025</t>
        </is>
      </c>
      <c r="D843" s="12" t="inlineStr">
        <is>
          <t>CUST-7558</t>
        </is>
      </c>
      <c r="E843" s="12" t="inlineStr">
        <is>
          <t>Ananya Rao</t>
        </is>
      </c>
      <c r="F843" s="12" t="inlineStr">
        <is>
          <t>Small Business</t>
        </is>
      </c>
      <c r="G843" s="12" t="inlineStr">
        <is>
          <t>East</t>
        </is>
      </c>
      <c r="H843" s="12" t="inlineStr">
        <is>
          <t>Bihar</t>
        </is>
      </c>
      <c r="I843" s="12" t="inlineStr">
        <is>
          <t>Patna</t>
        </is>
      </c>
      <c r="J843" s="12" t="inlineStr">
        <is>
          <t>Office Supplies</t>
        </is>
      </c>
      <c r="K843" s="12" t="inlineStr">
        <is>
          <t>Art</t>
        </is>
      </c>
      <c r="L843" s="12" t="inlineStr">
        <is>
          <t>Max Art 339</t>
        </is>
      </c>
      <c r="M843" s="12" t="inlineStr">
        <is>
          <t>Standard Class</t>
        </is>
      </c>
      <c r="N843" s="12" t="n">
        <v>9</v>
      </c>
      <c r="O843" s="12" t="n">
        <v>3237.16</v>
      </c>
      <c r="P843" s="12" t="n">
        <v>0.25</v>
      </c>
      <c r="Q843" s="12" t="n">
        <v>21850.83</v>
      </c>
      <c r="R843" s="12" t="n">
        <v>16600.13</v>
      </c>
      <c r="S843" s="12" t="n">
        <v>5250.7</v>
      </c>
      <c r="T843" s="12" t="inlineStr">
        <is>
          <t>Paid</t>
        </is>
      </c>
      <c r="U843" s="12" t="inlineStr">
        <is>
          <t>Completed</t>
        </is>
      </c>
      <c r="V843">
        <f>IF(OR(P843="",P843&lt;0,P843&gt;0.5),0,P843)</f>
        <v/>
      </c>
      <c r="W843">
        <f>N843*O843*(1-V843)</f>
        <v/>
      </c>
      <c r="X843">
        <f>W843-R843</f>
        <v/>
      </c>
      <c r="Y843">
        <f>IF(W843=0,0,X843/W843)</f>
        <v/>
      </c>
      <c r="Z843">
        <f>C843-B843</f>
        <v/>
      </c>
      <c r="AA843">
        <f>TEXT(B843,"mmmm")</f>
        <v/>
      </c>
      <c r="AB843">
        <f>YEAR(B843)</f>
        <v/>
      </c>
      <c r="AC843">
        <f>IF(OR(P843&lt;0,P843&gt;0.5,C843&lt;B843),"INVALID","CLEAN")</f>
        <v/>
      </c>
    </row>
    <row r="844">
      <c r="A844" s="12" t="inlineStr">
        <is>
          <t>ORD-2024-10843</t>
        </is>
      </c>
      <c r="B844" s="12" t="inlineStr">
        <is>
          <t>31-03-2024</t>
        </is>
      </c>
      <c r="C844" s="12" t="inlineStr">
        <is>
          <t>03/30/2024</t>
        </is>
      </c>
      <c r="D844" s="12" t="inlineStr">
        <is>
          <t>CUST-1798</t>
        </is>
      </c>
      <c r="E844" s="12" t="inlineStr">
        <is>
          <t>kabir singh</t>
        </is>
      </c>
      <c r="F844" s="12" t="inlineStr">
        <is>
          <t>Consumer</t>
        </is>
      </c>
      <c r="G844" s="12" t="inlineStr">
        <is>
          <t>North</t>
        </is>
      </c>
      <c r="H844" s="12" t="inlineStr">
        <is>
          <t>Haryana</t>
        </is>
      </c>
      <c r="I844" s="12" t="inlineStr">
        <is>
          <t>Gurugram</t>
        </is>
      </c>
      <c r="J844" s="12" t="inlineStr">
        <is>
          <t>Technology</t>
        </is>
      </c>
      <c r="K844" s="12" t="inlineStr">
        <is>
          <t>Machines</t>
        </is>
      </c>
      <c r="L844" s="12" t="inlineStr">
        <is>
          <t>Smart Machines 581</t>
        </is>
      </c>
      <c r="M844" s="12" t="inlineStr">
        <is>
          <t>First Class</t>
        </is>
      </c>
      <c r="N844" s="12" t="n">
        <v>4</v>
      </c>
      <c r="O844" s="12" t="n">
        <v>2192.08</v>
      </c>
      <c r="P844" s="12" t="n">
        <v>0.15</v>
      </c>
      <c r="Q844" s="12" t="n">
        <v>7453.07</v>
      </c>
      <c r="R844" s="12" t="n">
        <v>5133.78</v>
      </c>
      <c r="S844" s="12" t="n">
        <v>2319.29</v>
      </c>
      <c r="T844" s="12" t="inlineStr">
        <is>
          <t>Paid</t>
        </is>
      </c>
      <c r="U844" s="12" t="inlineStr">
        <is>
          <t>Returned</t>
        </is>
      </c>
      <c r="V844">
        <f>IF(OR(P844="",P844&lt;0,P844&gt;0.5),0,P844)</f>
        <v/>
      </c>
      <c r="W844">
        <f>N844*O844*(1-V844)</f>
        <v/>
      </c>
      <c r="X844">
        <f>W844-R844</f>
        <v/>
      </c>
      <c r="Y844">
        <f>IF(W844=0,0,X844/W844)</f>
        <v/>
      </c>
      <c r="Z844">
        <f>C844-B844</f>
        <v/>
      </c>
      <c r="AA844">
        <f>TEXT(B844,"mmmm")</f>
        <v/>
      </c>
      <c r="AB844">
        <f>YEAR(B844)</f>
        <v/>
      </c>
      <c r="AC844">
        <f>IF(OR(P844&lt;0,P844&gt;0.5,C844&lt;B844),"INVALID","CLEAN")</f>
        <v/>
      </c>
    </row>
    <row r="845">
      <c r="A845" s="12" t="inlineStr">
        <is>
          <t>ORD-2025-10844</t>
        </is>
      </c>
      <c r="B845" s="12" t="inlineStr">
        <is>
          <t>18 Jul 2025</t>
        </is>
      </c>
      <c r="C845" s="12" t="inlineStr">
        <is>
          <t>25 Jul 2025</t>
        </is>
      </c>
      <c r="D845" s="12" t="inlineStr">
        <is>
          <t>CUST-7333</t>
        </is>
      </c>
      <c r="E845" s="12" t="inlineStr">
        <is>
          <t>Priya Menon</t>
        </is>
      </c>
      <c r="F845" s="12" t="inlineStr">
        <is>
          <t>Small Business</t>
        </is>
      </c>
      <c r="G845" s="12" t="inlineStr">
        <is>
          <t>North</t>
        </is>
      </c>
      <c r="H845" s="12" t="inlineStr">
        <is>
          <t>Uttar Pradesh</t>
        </is>
      </c>
      <c r="I845" s="12" t="inlineStr">
        <is>
          <t>Noida</t>
        </is>
      </c>
      <c r="J845" s="12" t="inlineStr">
        <is>
          <t>Technology</t>
        </is>
      </c>
      <c r="K845" s="12" t="inlineStr">
        <is>
          <t>Phones</t>
        </is>
      </c>
      <c r="L845" s="12" t="inlineStr">
        <is>
          <t>Prime Phones 482</t>
        </is>
      </c>
      <c r="M845" s="12" t="inlineStr">
        <is>
          <t>First Class</t>
        </is>
      </c>
      <c r="N845" s="12" t="n">
        <v>9</v>
      </c>
      <c r="O845" s="12" t="n">
        <v>3989.52</v>
      </c>
      <c r="P845" s="12" t="n">
        <v>-0.02</v>
      </c>
      <c r="Q845" s="12" t="n">
        <v>35905.68</v>
      </c>
      <c r="R845" s="12" t="n">
        <v>23916.1</v>
      </c>
      <c r="S845" s="12" t="n">
        <v>11989.58</v>
      </c>
      <c r="T845" s="12" t="inlineStr">
        <is>
          <t>Paid</t>
        </is>
      </c>
      <c r="U845" s="12" t="inlineStr">
        <is>
          <t>Completed</t>
        </is>
      </c>
      <c r="V845">
        <f>IF(OR(P845="",P845&lt;0,P845&gt;0.5),0,P845)</f>
        <v/>
      </c>
      <c r="W845">
        <f>N845*O845*(1-V845)</f>
        <v/>
      </c>
      <c r="X845">
        <f>W845-R845</f>
        <v/>
      </c>
      <c r="Y845">
        <f>IF(W845=0,0,X845/W845)</f>
        <v/>
      </c>
      <c r="Z845">
        <f>C845-B845</f>
        <v/>
      </c>
      <c r="AA845">
        <f>TEXT(B845,"mmmm")</f>
        <v/>
      </c>
      <c r="AB845">
        <f>YEAR(B845)</f>
        <v/>
      </c>
      <c r="AC845">
        <f>IF(OR(P845&lt;0,P845&gt;0.5,C845&lt;B845),"INVALID","CLEAN")</f>
        <v/>
      </c>
    </row>
    <row r="846">
      <c r="A846" s="12" t="inlineStr">
        <is>
          <t>ORD-2025-10845</t>
        </is>
      </c>
      <c r="B846" s="12" t="inlineStr">
        <is>
          <t>20-01-2025</t>
        </is>
      </c>
      <c r="C846" s="12" t="inlineStr">
        <is>
          <t>25-01-2025</t>
        </is>
      </c>
      <c r="D846" s="12" t="inlineStr">
        <is>
          <t>CUST-2086</t>
        </is>
      </c>
      <c r="E846" s="12" t="inlineStr">
        <is>
          <t>Aditi Sen</t>
        </is>
      </c>
      <c r="F846" s="12" t="inlineStr">
        <is>
          <t>Home Office</t>
        </is>
      </c>
      <c r="G846" s="12" t="inlineStr">
        <is>
          <t>West</t>
        </is>
      </c>
      <c r="H846" s="12" t="inlineStr">
        <is>
          <t>Goa</t>
        </is>
      </c>
      <c r="I846" s="12" t="inlineStr">
        <is>
          <t>Panaji</t>
        </is>
      </c>
      <c r="J846" s="12" t="inlineStr">
        <is>
          <t>Office Supplies</t>
        </is>
      </c>
      <c r="K846" s="12" t="inlineStr">
        <is>
          <t>Art</t>
        </is>
      </c>
      <c r="L846" s="12" t="inlineStr">
        <is>
          <t>Pro Art 588</t>
        </is>
      </c>
      <c r="M846" s="12" t="inlineStr">
        <is>
          <t>First Class</t>
        </is>
      </c>
      <c r="N846" s="12" t="n">
        <v>1</v>
      </c>
      <c r="O846" s="12" t="n">
        <v>3515.15</v>
      </c>
      <c r="P846" s="12" t="n">
        <v>0</v>
      </c>
      <c r="Q846" s="12" t="n">
        <v>3515.15</v>
      </c>
      <c r="R846" s="12" t="n">
        <v>2216.34</v>
      </c>
      <c r="S846" s="12" t="n">
        <v>1298.81</v>
      </c>
      <c r="T846" s="12" t="inlineStr">
        <is>
          <t>Paid</t>
        </is>
      </c>
      <c r="U846" s="12" t="inlineStr">
        <is>
          <t>Completed</t>
        </is>
      </c>
      <c r="V846">
        <f>IF(OR(P846="",P846&lt;0,P846&gt;0.5),0,P846)</f>
        <v/>
      </c>
      <c r="W846">
        <f>N846*O846*(1-V846)</f>
        <v/>
      </c>
      <c r="X846">
        <f>W846-R846</f>
        <v/>
      </c>
      <c r="Y846">
        <f>IF(W846=0,0,X846/W846)</f>
        <v/>
      </c>
      <c r="Z846">
        <f>C846-B846</f>
        <v/>
      </c>
      <c r="AA846">
        <f>TEXT(B846,"mmmm")</f>
        <v/>
      </c>
      <c r="AB846">
        <f>YEAR(B846)</f>
        <v/>
      </c>
      <c r="AC846">
        <f>IF(OR(P846&lt;0,P846&gt;0.5,C846&lt;B846),"INVALID","CLEAN")</f>
        <v/>
      </c>
    </row>
    <row r="847">
      <c r="A847" s="12" t="inlineStr">
        <is>
          <t>ORD-2024-10846</t>
        </is>
      </c>
      <c r="B847" s="12" t="inlineStr">
        <is>
          <t>23-02-2024</t>
        </is>
      </c>
      <c r="C847" s="12" t="inlineStr">
        <is>
          <t>27 Feb 2024</t>
        </is>
      </c>
      <c r="D847" s="12" t="inlineStr">
        <is>
          <t>CUST-2367</t>
        </is>
      </c>
      <c r="E847" s="12" t="inlineStr">
        <is>
          <t>Karan Malhotra</t>
        </is>
      </c>
      <c r="F847" s="12" t="inlineStr">
        <is>
          <t>Consumer</t>
        </is>
      </c>
      <c r="G847" s="12" t="inlineStr">
        <is>
          <t>East</t>
        </is>
      </c>
      <c r="H847" s="12" t="inlineStr">
        <is>
          <t>Odisha</t>
        </is>
      </c>
      <c r="I847" s="12" t="inlineStr">
        <is>
          <t>Bhubaneswar</t>
        </is>
      </c>
      <c r="J847" s="12" t="inlineStr">
        <is>
          <t>Furniture</t>
        </is>
      </c>
      <c r="K847" s="12" t="inlineStr">
        <is>
          <t>Tables</t>
        </is>
      </c>
      <c r="L847" s="12" t="inlineStr">
        <is>
          <t>Eco Tables 792</t>
        </is>
      </c>
      <c r="M847" s="12" t="inlineStr">
        <is>
          <t>First Class</t>
        </is>
      </c>
      <c r="N847" s="12" t="n">
        <v>9</v>
      </c>
      <c r="O847" s="12" t="n">
        <v>3616.23</v>
      </c>
      <c r="P847" s="12" t="n">
        <v>0.25</v>
      </c>
      <c r="Q847" s="12" t="n">
        <v>24409.55</v>
      </c>
      <c r="R847" s="12" t="n">
        <v>17157.58</v>
      </c>
      <c r="S847" s="12" t="n">
        <v>7251.97</v>
      </c>
      <c r="T847" s="12" t="inlineStr">
        <is>
          <t>Pending</t>
        </is>
      </c>
      <c r="U847" s="12" t="inlineStr">
        <is>
          <t>Returned</t>
        </is>
      </c>
      <c r="V847">
        <f>IF(OR(P847="",P847&lt;0,P847&gt;0.5),0,P847)</f>
        <v/>
      </c>
      <c r="W847">
        <f>N847*O847*(1-V847)</f>
        <v/>
      </c>
      <c r="X847">
        <f>W847-R847</f>
        <v/>
      </c>
      <c r="Y847">
        <f>IF(W847=0,0,X847/W847)</f>
        <v/>
      </c>
      <c r="Z847">
        <f>C847-B847</f>
        <v/>
      </c>
      <c r="AA847">
        <f>TEXT(B847,"mmmm")</f>
        <v/>
      </c>
      <c r="AB847">
        <f>YEAR(B847)</f>
        <v/>
      </c>
      <c r="AC847">
        <f>IF(OR(P847&lt;0,P847&gt;0.5,C847&lt;B847),"INVALID","CLEAN")</f>
        <v/>
      </c>
    </row>
    <row r="848">
      <c r="A848" s="12" t="inlineStr">
        <is>
          <t>ORD-2024-10847</t>
        </is>
      </c>
      <c r="B848" s="12" t="inlineStr">
        <is>
          <t>2024-04-14</t>
        </is>
      </c>
      <c r="C848" s="12" t="inlineStr">
        <is>
          <t>2024-04-22</t>
        </is>
      </c>
      <c r="D848" s="12" t="inlineStr">
        <is>
          <t>CUST-6522</t>
        </is>
      </c>
      <c r="E848" s="12" t="inlineStr">
        <is>
          <t>Priya Menon</t>
        </is>
      </c>
      <c r="F848" s="12" t="inlineStr">
        <is>
          <t>Small Business</t>
        </is>
      </c>
      <c r="G848" s="12" t="inlineStr">
        <is>
          <t>West</t>
        </is>
      </c>
      <c r="H848" s="12" t="inlineStr">
        <is>
          <t>Gujarat</t>
        </is>
      </c>
      <c r="I848" s="12" t="inlineStr">
        <is>
          <t>Ahmedabad</t>
        </is>
      </c>
      <c r="J848" s="12" t="inlineStr">
        <is>
          <t>Furniture</t>
        </is>
      </c>
      <c r="K848" s="12" t="inlineStr">
        <is>
          <t>Bookcases</t>
        </is>
      </c>
      <c r="L848" s="12" t="inlineStr">
        <is>
          <t>Prime Bookcases 177</t>
        </is>
      </c>
      <c r="M848" s="12" t="inlineStr">
        <is>
          <t>Standard Class</t>
        </is>
      </c>
      <c r="N848" s="12" t="n">
        <v>2</v>
      </c>
      <c r="O848" s="12" t="n">
        <v>3977.52</v>
      </c>
      <c r="P848" s="12" t="n">
        <v>0</v>
      </c>
      <c r="Q848" s="12" t="n">
        <v>7955.04</v>
      </c>
      <c r="R848" s="12" t="n">
        <v>5580.68</v>
      </c>
      <c r="S848" s="12" t="n">
        <v>2374.36</v>
      </c>
      <c r="T848" s="12" t="inlineStr">
        <is>
          <t>Pending</t>
        </is>
      </c>
      <c r="U848" s="12" t="inlineStr">
        <is>
          <t>Returned</t>
        </is>
      </c>
      <c r="V848">
        <f>IF(OR(P848="",P848&lt;0,P848&gt;0.5),0,P848)</f>
        <v/>
      </c>
      <c r="W848">
        <f>N848*O848*(1-V848)</f>
        <v/>
      </c>
      <c r="X848">
        <f>W848-R848</f>
        <v/>
      </c>
      <c r="Y848">
        <f>IF(W848=0,0,X848/W848)</f>
        <v/>
      </c>
      <c r="Z848">
        <f>C848-B848</f>
        <v/>
      </c>
      <c r="AA848">
        <f>TEXT(B848,"mmmm")</f>
        <v/>
      </c>
      <c r="AB848">
        <f>YEAR(B848)</f>
        <v/>
      </c>
      <c r="AC848">
        <f>IF(OR(P848&lt;0,P848&gt;0.5,C848&lt;B848),"INVALID","CLEAN")</f>
        <v/>
      </c>
    </row>
    <row r="849">
      <c r="A849" s="12" t="inlineStr">
        <is>
          <t>ORD-2025-10848</t>
        </is>
      </c>
      <c r="B849" s="12" t="inlineStr">
        <is>
          <t>2025-05-20</t>
        </is>
      </c>
      <c r="C849" s="12" t="inlineStr">
        <is>
          <t>05/22/2025</t>
        </is>
      </c>
      <c r="D849" s="12" t="inlineStr">
        <is>
          <t>CUST-8329</t>
        </is>
      </c>
      <c r="E849" s="12" t="inlineStr">
        <is>
          <t>Diya Patel</t>
        </is>
      </c>
      <c r="F849" s="12" t="inlineStr">
        <is>
          <t>Home Office</t>
        </is>
      </c>
      <c r="G849" s="12" t="inlineStr">
        <is>
          <t>East</t>
        </is>
      </c>
      <c r="H849" s="12" t="inlineStr">
        <is>
          <t>Odisha</t>
        </is>
      </c>
      <c r="I849" s="12" t="inlineStr">
        <is>
          <t>Bhubaneswar</t>
        </is>
      </c>
      <c r="J849" s="12" t="inlineStr">
        <is>
          <t>Furniture</t>
        </is>
      </c>
      <c r="K849" s="12" t="inlineStr">
        <is>
          <t>Tables</t>
        </is>
      </c>
      <c r="L849" s="12" t="inlineStr">
        <is>
          <t>Pro Tables 828</t>
        </is>
      </c>
      <c r="M849" s="12" t="inlineStr">
        <is>
          <t>Second Class</t>
        </is>
      </c>
      <c r="N849" s="12" t="n">
        <v>2</v>
      </c>
      <c r="O849" s="12" t="n">
        <v>210.08</v>
      </c>
      <c r="P849" s="12" t="n">
        <v>0.2</v>
      </c>
      <c r="Q849" s="12" t="n">
        <v>336.13</v>
      </c>
      <c r="R849" s="12" t="n">
        <v>242.19</v>
      </c>
      <c r="S849" s="12" t="n">
        <v>93.94</v>
      </c>
      <c r="T849" s="12" t="inlineStr">
        <is>
          <t>Paid</t>
        </is>
      </c>
      <c r="U849" s="12" t="inlineStr">
        <is>
          <t>Completed</t>
        </is>
      </c>
      <c r="V849">
        <f>IF(OR(P849="",P849&lt;0,P849&gt;0.5),0,P849)</f>
        <v/>
      </c>
      <c r="W849">
        <f>N849*O849*(1-V849)</f>
        <v/>
      </c>
      <c r="X849">
        <f>W849-R849</f>
        <v/>
      </c>
      <c r="Y849">
        <f>IF(W849=0,0,X849/W849)</f>
        <v/>
      </c>
      <c r="Z849">
        <f>C849-B849</f>
        <v/>
      </c>
      <c r="AA849">
        <f>TEXT(B849,"mmmm")</f>
        <v/>
      </c>
      <c r="AB849">
        <f>YEAR(B849)</f>
        <v/>
      </c>
      <c r="AC849">
        <f>IF(OR(P849&lt;0,P849&gt;0.5,C849&lt;B849),"INVALID","CLEAN")</f>
        <v/>
      </c>
    </row>
    <row r="850">
      <c r="A850" s="12" t="inlineStr">
        <is>
          <t>ORD-2025-10849</t>
        </is>
      </c>
      <c r="B850" s="12" t="inlineStr">
        <is>
          <t>27-05-2025</t>
        </is>
      </c>
      <c r="C850" s="12" t="inlineStr">
        <is>
          <t>29 May 2025</t>
        </is>
      </c>
      <c r="D850" s="12" t="inlineStr">
        <is>
          <t>CUST-4426</t>
        </is>
      </c>
      <c r="E850" s="12" t="inlineStr">
        <is>
          <t>Rahul Verma</t>
        </is>
      </c>
      <c r="F850" s="12" t="inlineStr">
        <is>
          <t>Home Office</t>
        </is>
      </c>
      <c r="G850" s="12" t="inlineStr">
        <is>
          <t>South</t>
        </is>
      </c>
      <c r="H850" s="12" t="inlineStr">
        <is>
          <t>Tamil Nadu</t>
        </is>
      </c>
      <c r="I850" s="12" t="inlineStr">
        <is>
          <t>Chennai</t>
        </is>
      </c>
      <c r="J850" s="12" t="inlineStr">
        <is>
          <t>Furniture</t>
        </is>
      </c>
      <c r="K850" s="12" t="inlineStr">
        <is>
          <t>Furnishings</t>
        </is>
      </c>
      <c r="L850" s="12" t="inlineStr">
        <is>
          <t>Elite Furnishings 480</t>
        </is>
      </c>
      <c r="M850" s="12" t="inlineStr">
        <is>
          <t>Second Class</t>
        </is>
      </c>
      <c r="N850" s="12" t="n">
        <v>1</v>
      </c>
      <c r="O850" s="12" t="n">
        <v>1744.35</v>
      </c>
      <c r="P850" s="12" t="n">
        <v>0.25</v>
      </c>
      <c r="Q850" s="12" t="n">
        <v>1308.26</v>
      </c>
      <c r="R850" s="12" t="n">
        <v>1083.56</v>
      </c>
      <c r="S850" s="12" t="n">
        <v>224.7</v>
      </c>
      <c r="T850" s="12" t="inlineStr">
        <is>
          <t>Paid</t>
        </is>
      </c>
      <c r="U850" s="12" t="inlineStr">
        <is>
          <t>Completed</t>
        </is>
      </c>
      <c r="V850">
        <f>IF(OR(P850="",P850&lt;0,P850&gt;0.5),0,P850)</f>
        <v/>
      </c>
      <c r="W850">
        <f>N850*O850*(1-V850)</f>
        <v/>
      </c>
      <c r="X850">
        <f>W850-R850</f>
        <v/>
      </c>
      <c r="Y850">
        <f>IF(W850=0,0,X850/W850)</f>
        <v/>
      </c>
      <c r="Z850">
        <f>C850-B850</f>
        <v/>
      </c>
      <c r="AA850">
        <f>TEXT(B850,"mmmm")</f>
        <v/>
      </c>
      <c r="AB850">
        <f>YEAR(B850)</f>
        <v/>
      </c>
      <c r="AC850">
        <f>IF(OR(P850&lt;0,P850&gt;0.5,C850&lt;B850),"INVALID","CLEAN")</f>
        <v/>
      </c>
    </row>
    <row r="851">
      <c r="A851" s="12" t="inlineStr">
        <is>
          <t>ORD-2024-10850</t>
        </is>
      </c>
      <c r="B851" s="12" t="inlineStr">
        <is>
          <t>2024-03-06</t>
        </is>
      </c>
      <c r="C851" s="12" t="inlineStr">
        <is>
          <t>12-03-2024</t>
        </is>
      </c>
      <c r="D851" s="12" t="inlineStr">
        <is>
          <t>CUST-3360</t>
        </is>
      </c>
      <c r="E851" s="12" t="inlineStr">
        <is>
          <t>Isha Nair</t>
        </is>
      </c>
      <c r="F851" s="12" t="inlineStr">
        <is>
          <t>Home Office</t>
        </is>
      </c>
      <c r="G851" s="12" t="inlineStr">
        <is>
          <t>West</t>
        </is>
      </c>
      <c r="H851" s="12" t="inlineStr">
        <is>
          <t>Gujarat</t>
        </is>
      </c>
      <c r="I851" s="12" t="inlineStr">
        <is>
          <t>Ahmedabad</t>
        </is>
      </c>
      <c r="J851" s="12" t="inlineStr">
        <is>
          <t>Furniture</t>
        </is>
      </c>
      <c r="K851" s="12" t="inlineStr">
        <is>
          <t>Bookcases</t>
        </is>
      </c>
      <c r="L851" s="12" t="inlineStr">
        <is>
          <t>Prime Bookcases 755</t>
        </is>
      </c>
      <c r="M851" s="12" t="inlineStr">
        <is>
          <t>Standard Class</t>
        </is>
      </c>
      <c r="N851" s="12" t="n">
        <v>3</v>
      </c>
      <c r="O851" s="12" t="n">
        <v>679.63</v>
      </c>
      <c r="P851" s="12" t="n">
        <v>0.2</v>
      </c>
      <c r="Q851" s="12" t="n">
        <v>1631.11</v>
      </c>
      <c r="R851" s="12" t="n">
        <v>898.73</v>
      </c>
      <c r="S851" s="12" t="n">
        <v>396.58</v>
      </c>
      <c r="T851" s="12" t="inlineStr">
        <is>
          <t>Paid</t>
        </is>
      </c>
      <c r="U851" s="12" t="inlineStr">
        <is>
          <t xml:space="preserve">Completed </t>
        </is>
      </c>
      <c r="V851">
        <f>IF(OR(P851="",P851&lt;0,P851&gt;0.5),0,P851)</f>
        <v/>
      </c>
      <c r="W851">
        <f>N851*O851*(1-V851)</f>
        <v/>
      </c>
      <c r="X851">
        <f>W851-R851</f>
        <v/>
      </c>
      <c r="Y851">
        <f>IF(W851=0,0,X851/W851)</f>
        <v/>
      </c>
      <c r="Z851">
        <f>C851-B851</f>
        <v/>
      </c>
      <c r="AA851">
        <f>TEXT(B851,"mmmm")</f>
        <v/>
      </c>
      <c r="AB851">
        <f>YEAR(B851)</f>
        <v/>
      </c>
      <c r="AC851">
        <f>IF(OR(P851&lt;0,P851&gt;0.5,C851&lt;B851),"INVALID","CLEAN")</f>
        <v/>
      </c>
    </row>
    <row r="852">
      <c r="A852" s="12" t="inlineStr">
        <is>
          <t>ORD-2024-10851</t>
        </is>
      </c>
      <c r="B852" s="12" t="inlineStr">
        <is>
          <t>30-06-2024</t>
        </is>
      </c>
      <c r="C852" s="12" t="inlineStr">
        <is>
          <t>2024-07-03</t>
        </is>
      </c>
      <c r="D852" s="12" t="inlineStr">
        <is>
          <t>CUST-2623</t>
        </is>
      </c>
      <c r="E852" s="12" t="inlineStr">
        <is>
          <t>Priya Menon</t>
        </is>
      </c>
      <c r="F852" s="12" t="inlineStr">
        <is>
          <t>Home Office</t>
        </is>
      </c>
      <c r="G852" s="12" t="inlineStr">
        <is>
          <t>East</t>
        </is>
      </c>
      <c r="H852" s="12" t="inlineStr">
        <is>
          <t>West Bengal</t>
        </is>
      </c>
      <c r="I852" s="12" t="inlineStr">
        <is>
          <t>Kolkata</t>
        </is>
      </c>
      <c r="J852" s="12" t="inlineStr">
        <is>
          <t>Office Supplies</t>
        </is>
      </c>
      <c r="K852" s="12" t="inlineStr">
        <is>
          <t>Paper</t>
        </is>
      </c>
      <c r="L852" s="12" t="inlineStr">
        <is>
          <t>Prime Paper 317</t>
        </is>
      </c>
      <c r="M852" s="12" t="inlineStr">
        <is>
          <t>First Class</t>
        </is>
      </c>
      <c r="N852" s="12" t="n">
        <v>6</v>
      </c>
      <c r="O852" s="12" t="n">
        <v>1211.01</v>
      </c>
      <c r="P852" s="12" t="n">
        <v>0</v>
      </c>
      <c r="Q852" s="12" t="n">
        <v>7266.06</v>
      </c>
      <c r="R852" s="12" t="n">
        <v>6216.89</v>
      </c>
      <c r="S852" s="12" t="n">
        <v>1049.17</v>
      </c>
      <c r="T852" s="12" t="inlineStr">
        <is>
          <t>Paid</t>
        </is>
      </c>
      <c r="U852" s="12" t="inlineStr">
        <is>
          <t>Completed</t>
        </is>
      </c>
      <c r="V852">
        <f>IF(OR(P852="",P852&lt;0,P852&gt;0.5),0,P852)</f>
        <v/>
      </c>
      <c r="W852">
        <f>N852*O852*(1-V852)</f>
        <v/>
      </c>
      <c r="X852">
        <f>W852-R852</f>
        <v/>
      </c>
      <c r="Y852">
        <f>IF(W852=0,0,X852/W852)</f>
        <v/>
      </c>
      <c r="Z852">
        <f>C852-B852</f>
        <v/>
      </c>
      <c r="AA852">
        <f>TEXT(B852,"mmmm")</f>
        <v/>
      </c>
      <c r="AB852">
        <f>YEAR(B852)</f>
        <v/>
      </c>
      <c r="AC852">
        <f>IF(OR(P852&lt;0,P852&gt;0.5,C852&lt;B852),"INVALID","CLEAN")</f>
        <v/>
      </c>
    </row>
    <row r="853">
      <c r="A853" s="12" t="inlineStr">
        <is>
          <t>ORD-2024-10852</t>
        </is>
      </c>
      <c r="B853" s="12" t="inlineStr">
        <is>
          <t>2024-03-26</t>
        </is>
      </c>
      <c r="C853" s="12" t="inlineStr">
        <is>
          <t>01 Apr 2024</t>
        </is>
      </c>
      <c r="D853" s="12" t="inlineStr">
        <is>
          <t>CUST-3175</t>
        </is>
      </c>
      <c r="E853" s="12" t="inlineStr">
        <is>
          <t>Karan Malhotra</t>
        </is>
      </c>
      <c r="F853" s="12" t="inlineStr">
        <is>
          <t>Small Business</t>
        </is>
      </c>
      <c r="G853" s="12" t="inlineStr">
        <is>
          <t>West</t>
        </is>
      </c>
      <c r="H853" s="12" t="inlineStr">
        <is>
          <t>Gujarat</t>
        </is>
      </c>
      <c r="I853" s="12" t="inlineStr">
        <is>
          <t>Ahmedabad</t>
        </is>
      </c>
      <c r="J853" s="12" t="inlineStr">
        <is>
          <t>Technology</t>
        </is>
      </c>
      <c r="K853" s="12" t="inlineStr">
        <is>
          <t>Accessories</t>
        </is>
      </c>
      <c r="L853" s="12" t="inlineStr">
        <is>
          <t>Classic Accessories 933</t>
        </is>
      </c>
      <c r="M853" s="12" t="inlineStr">
        <is>
          <t>First Class</t>
        </is>
      </c>
      <c r="N853" s="12" t="n">
        <v>2</v>
      </c>
      <c r="O853" s="12" t="n">
        <v>1161.3</v>
      </c>
      <c r="P853" s="12" t="n">
        <v>0.2</v>
      </c>
      <c r="Q853" s="12" t="n">
        <v>1858.08</v>
      </c>
      <c r="R853" s="12" t="n">
        <v>1590.75</v>
      </c>
      <c r="S853" s="12" t="n">
        <v>267.33</v>
      </c>
      <c r="T853" s="12" t="inlineStr">
        <is>
          <t>Paid</t>
        </is>
      </c>
      <c r="U853" s="12" t="inlineStr">
        <is>
          <t>Completed</t>
        </is>
      </c>
      <c r="V853">
        <f>IF(OR(P853="",P853&lt;0,P853&gt;0.5),0,P853)</f>
        <v/>
      </c>
      <c r="W853">
        <f>N853*O853*(1-V853)</f>
        <v/>
      </c>
      <c r="X853">
        <f>W853-R853</f>
        <v/>
      </c>
      <c r="Y853">
        <f>IF(W853=0,0,X853/W853)</f>
        <v/>
      </c>
      <c r="Z853">
        <f>C853-B853</f>
        <v/>
      </c>
      <c r="AA853">
        <f>TEXT(B853,"mmmm")</f>
        <v/>
      </c>
      <c r="AB853">
        <f>YEAR(B853)</f>
        <v/>
      </c>
      <c r="AC853">
        <f>IF(OR(P853&lt;0,P853&gt;0.5,C853&lt;B853),"INVALID","CLEAN")</f>
        <v/>
      </c>
    </row>
    <row r="854">
      <c r="A854" s="12" t="inlineStr">
        <is>
          <t>ORD-2024-10853</t>
        </is>
      </c>
      <c r="B854" s="12" t="inlineStr">
        <is>
          <t>01-04-2024</t>
        </is>
      </c>
      <c r="C854" s="12" t="inlineStr">
        <is>
          <t>08-04-2024</t>
        </is>
      </c>
      <c r="D854" s="12" t="inlineStr">
        <is>
          <t>CUST-9630</t>
        </is>
      </c>
      <c r="E854" s="12" t="inlineStr">
        <is>
          <t>Ananya Rao</t>
        </is>
      </c>
      <c r="F854" s="12" t="inlineStr">
        <is>
          <t>Consumer</t>
        </is>
      </c>
      <c r="G854" s="12" t="inlineStr">
        <is>
          <t>East</t>
        </is>
      </c>
      <c r="H854" s="12" t="inlineStr">
        <is>
          <t>Assam</t>
        </is>
      </c>
      <c r="I854" s="12" t="inlineStr">
        <is>
          <t>Guwahati</t>
        </is>
      </c>
      <c r="J854" s="12" t="inlineStr">
        <is>
          <t>Furniture</t>
        </is>
      </c>
      <c r="K854" s="12" t="inlineStr">
        <is>
          <t>Tables</t>
        </is>
      </c>
      <c r="L854" s="12" t="inlineStr">
        <is>
          <t>Smart Tables 513</t>
        </is>
      </c>
      <c r="M854" s="12" t="inlineStr">
        <is>
          <t>Second Class</t>
        </is>
      </c>
      <c r="N854" s="12" t="n">
        <v>7</v>
      </c>
      <c r="O854" s="12" t="n">
        <v>4205.35</v>
      </c>
      <c r="P854" s="12" t="n">
        <v>0.15</v>
      </c>
      <c r="Q854" s="12" t="n">
        <v>25021.83</v>
      </c>
      <c r="R854" s="12" t="n">
        <v>15544.44</v>
      </c>
      <c r="S854" s="12" t="n">
        <v>9477.389999999999</v>
      </c>
      <c r="T854" s="12" t="inlineStr">
        <is>
          <t>Pending</t>
        </is>
      </c>
      <c r="U854" s="12" t="inlineStr">
        <is>
          <t>Cancelled</t>
        </is>
      </c>
      <c r="V854">
        <f>IF(OR(P854="",P854&lt;0,P854&gt;0.5),0,P854)</f>
        <v/>
      </c>
      <c r="W854">
        <f>N854*O854*(1-V854)</f>
        <v/>
      </c>
      <c r="X854">
        <f>W854-R854</f>
        <v/>
      </c>
      <c r="Y854">
        <f>IF(W854=0,0,X854/W854)</f>
        <v/>
      </c>
      <c r="Z854">
        <f>C854-B854</f>
        <v/>
      </c>
      <c r="AA854">
        <f>TEXT(B854,"mmmm")</f>
        <v/>
      </c>
      <c r="AB854">
        <f>YEAR(B854)</f>
        <v/>
      </c>
      <c r="AC854">
        <f>IF(OR(P854&lt;0,P854&gt;0.5,C854&lt;B854),"INVALID","CLEAN")</f>
        <v/>
      </c>
    </row>
    <row r="855">
      <c r="A855" s="12" t="inlineStr">
        <is>
          <t>ORD-2025-10854</t>
        </is>
      </c>
      <c r="B855" s="12" t="inlineStr">
        <is>
          <t>2025-05-16</t>
        </is>
      </c>
      <c r="C855" s="12" t="inlineStr">
        <is>
          <t>05/22/2025</t>
        </is>
      </c>
      <c r="D855" s="12" t="inlineStr">
        <is>
          <t>CUST-8274</t>
        </is>
      </c>
      <c r="E855" s="12" t="inlineStr">
        <is>
          <t>Arjun Bose</t>
        </is>
      </c>
      <c r="F855" s="12" t="inlineStr">
        <is>
          <t>Corporate</t>
        </is>
      </c>
      <c r="G855" s="12" t="inlineStr">
        <is>
          <t>South</t>
        </is>
      </c>
      <c r="H855" s="12" t="inlineStr">
        <is>
          <t>Tamil Nadu</t>
        </is>
      </c>
      <c r="I855" s="12" t="inlineStr">
        <is>
          <t>Chennai</t>
        </is>
      </c>
      <c r="J855" s="12" t="inlineStr">
        <is>
          <t>Technology</t>
        </is>
      </c>
      <c r="K855" s="12" t="inlineStr">
        <is>
          <t>Accessories</t>
        </is>
      </c>
      <c r="L855" s="12" t="inlineStr">
        <is>
          <t>Elite Accessories 708</t>
        </is>
      </c>
      <c r="M855" s="12" t="inlineStr">
        <is>
          <t>Same Day</t>
        </is>
      </c>
      <c r="N855" s="12" t="n">
        <v>8</v>
      </c>
      <c r="O855" s="12" t="n">
        <v>579.8</v>
      </c>
      <c r="P855" s="12" t="n">
        <v>0.2</v>
      </c>
      <c r="Q855" s="12" t="n">
        <v>3710.72</v>
      </c>
      <c r="R855" s="12" t="n">
        <v>3115.29</v>
      </c>
      <c r="S855" s="12" t="n">
        <v>595.4299999999999</v>
      </c>
      <c r="T855" s="12" t="inlineStr">
        <is>
          <t>Paid</t>
        </is>
      </c>
      <c r="U855" s="12" t="inlineStr">
        <is>
          <t>Completed</t>
        </is>
      </c>
      <c r="V855">
        <f>IF(OR(P855="",P855&lt;0,P855&gt;0.5),0,P855)</f>
        <v/>
      </c>
      <c r="W855">
        <f>N855*O855*(1-V855)</f>
        <v/>
      </c>
      <c r="X855">
        <f>W855-R855</f>
        <v/>
      </c>
      <c r="Y855">
        <f>IF(W855=0,0,X855/W855)</f>
        <v/>
      </c>
      <c r="Z855">
        <f>C855-B855</f>
        <v/>
      </c>
      <c r="AA855">
        <f>TEXT(B855,"mmmm")</f>
        <v/>
      </c>
      <c r="AB855">
        <f>YEAR(B855)</f>
        <v/>
      </c>
      <c r="AC855">
        <f>IF(OR(P855&lt;0,P855&gt;0.5,C855&lt;B855),"INVALID","CLEAN")</f>
        <v/>
      </c>
    </row>
    <row r="856">
      <c r="A856" s="12" t="inlineStr">
        <is>
          <t>ORD-2025-10855</t>
        </is>
      </c>
      <c r="B856" s="12" t="inlineStr">
        <is>
          <t>03/25/2025</t>
        </is>
      </c>
      <c r="C856" s="12" t="inlineStr">
        <is>
          <t>04/02/2025</t>
        </is>
      </c>
      <c r="D856" s="12" t="inlineStr">
        <is>
          <t>CUST-2514</t>
        </is>
      </c>
      <c r="E856" s="12" t="inlineStr">
        <is>
          <t>Priya Menon</t>
        </is>
      </c>
      <c r="F856" s="12" t="inlineStr">
        <is>
          <t>Consumer</t>
        </is>
      </c>
      <c r="G856" s="12" t="inlineStr">
        <is>
          <t>South</t>
        </is>
      </c>
      <c r="H856" s="12" t="inlineStr">
        <is>
          <t>Karnataka</t>
        </is>
      </c>
      <c r="I856" s="12" t="inlineStr">
        <is>
          <t>Bengaluru</t>
        </is>
      </c>
      <c r="J856" s="12" t="inlineStr">
        <is>
          <t>Furniture</t>
        </is>
      </c>
      <c r="K856" s="12" t="inlineStr">
        <is>
          <t>Bookcases</t>
        </is>
      </c>
      <c r="L856" s="12" t="inlineStr">
        <is>
          <t>Max Bookcases 381</t>
        </is>
      </c>
      <c r="M856" s="12" t="inlineStr">
        <is>
          <t>Second Class</t>
        </is>
      </c>
      <c r="N856" s="12" t="n">
        <v>4</v>
      </c>
      <c r="O856" s="12" t="n">
        <v>2233.64</v>
      </c>
      <c r="P856" s="12" t="n">
        <v>0.05</v>
      </c>
      <c r="Q856" s="12" t="n">
        <v>8487.83</v>
      </c>
      <c r="R856" s="12" t="n">
        <v>5245.72</v>
      </c>
      <c r="S856" s="12" t="n">
        <v>3242.11</v>
      </c>
      <c r="T856" s="12" t="inlineStr">
        <is>
          <t>Paid</t>
        </is>
      </c>
      <c r="U856" s="12" t="inlineStr">
        <is>
          <t>Completed</t>
        </is>
      </c>
      <c r="V856">
        <f>IF(OR(P856="",P856&lt;0,P856&gt;0.5),0,P856)</f>
        <v/>
      </c>
      <c r="W856">
        <f>N856*O856*(1-V856)</f>
        <v/>
      </c>
      <c r="X856">
        <f>W856-R856</f>
        <v/>
      </c>
      <c r="Y856">
        <f>IF(W856=0,0,X856/W856)</f>
        <v/>
      </c>
      <c r="Z856">
        <f>C856-B856</f>
        <v/>
      </c>
      <c r="AA856">
        <f>TEXT(B856,"mmmm")</f>
        <v/>
      </c>
      <c r="AB856">
        <f>YEAR(B856)</f>
        <v/>
      </c>
      <c r="AC856">
        <f>IF(OR(P856&lt;0,P856&gt;0.5,C856&lt;B856),"INVALID","CLEAN")</f>
        <v/>
      </c>
    </row>
    <row r="857">
      <c r="A857" s="12" t="inlineStr">
        <is>
          <t>ORD-2024-10856</t>
        </is>
      </c>
      <c r="B857" s="12" t="inlineStr">
        <is>
          <t>25-07-2024</t>
        </is>
      </c>
      <c r="C857" s="12" t="inlineStr">
        <is>
          <t>02 Aug 2024</t>
        </is>
      </c>
      <c r="D857" s="12" t="inlineStr">
        <is>
          <t>CUST-2752</t>
        </is>
      </c>
      <c r="E857" s="12" t="inlineStr">
        <is>
          <t>Rahul Verma</t>
        </is>
      </c>
      <c r="F857" s="12" t="inlineStr">
        <is>
          <t>Consumer</t>
        </is>
      </c>
      <c r="G857" s="12" t="inlineStr">
        <is>
          <t>North</t>
        </is>
      </c>
      <c r="H857" s="12" t="inlineStr">
        <is>
          <t>Rajasthan</t>
        </is>
      </c>
      <c r="I857" s="12" t="inlineStr">
        <is>
          <t>Jaipur</t>
        </is>
      </c>
      <c r="J857" s="12" t="inlineStr">
        <is>
          <t>Office Supplies</t>
        </is>
      </c>
      <c r="K857" s="12" t="inlineStr">
        <is>
          <t>LABELS</t>
        </is>
      </c>
      <c r="L857" s="12" t="inlineStr">
        <is>
          <t>Classic Labels 215</t>
        </is>
      </c>
      <c r="M857" s="12" t="inlineStr">
        <is>
          <t>Second Class</t>
        </is>
      </c>
      <c r="N857" s="12" t="n">
        <v>2</v>
      </c>
      <c r="O857" s="12" t="n">
        <v>2073.53</v>
      </c>
      <c r="P857" s="12" t="n">
        <v>0.25</v>
      </c>
      <c r="Q857" s="12" t="n">
        <v>3110.3</v>
      </c>
      <c r="R857" s="12" t="n">
        <v>2101.03</v>
      </c>
      <c r="S857" s="12" t="n">
        <v>1009.27</v>
      </c>
      <c r="T857" s="12" t="inlineStr">
        <is>
          <t>Paid</t>
        </is>
      </c>
      <c r="U857" s="12" t="inlineStr">
        <is>
          <t>Completed</t>
        </is>
      </c>
      <c r="V857">
        <f>IF(OR(P857="",P857&lt;0,P857&gt;0.5),0,P857)</f>
        <v/>
      </c>
      <c r="W857">
        <f>N857*O857*(1-V857)</f>
        <v/>
      </c>
      <c r="X857">
        <f>W857-R857</f>
        <v/>
      </c>
      <c r="Y857">
        <f>IF(W857=0,0,X857/W857)</f>
        <v/>
      </c>
      <c r="Z857">
        <f>C857-B857</f>
        <v/>
      </c>
      <c r="AA857">
        <f>TEXT(B857,"mmmm")</f>
        <v/>
      </c>
      <c r="AB857">
        <f>YEAR(B857)</f>
        <v/>
      </c>
      <c r="AC857">
        <f>IF(OR(P857&lt;0,P857&gt;0.5,C857&lt;B857),"INVALID","CLEAN")</f>
        <v/>
      </c>
    </row>
    <row r="858">
      <c r="A858" s="12" t="inlineStr">
        <is>
          <t>ORD-2024-10857</t>
        </is>
      </c>
      <c r="B858" s="12" t="inlineStr">
        <is>
          <t>2024-06-12</t>
        </is>
      </c>
      <c r="C858" s="12" t="inlineStr">
        <is>
          <t>19 Jun 2024</t>
        </is>
      </c>
      <c r="D858" s="12" t="inlineStr">
        <is>
          <t>CUST-5647</t>
        </is>
      </c>
      <c r="E858" s="12" t="inlineStr">
        <is>
          <t>Rohan Mehta</t>
        </is>
      </c>
      <c r="F858" s="12" t="inlineStr">
        <is>
          <t>Home Office</t>
        </is>
      </c>
      <c r="G858" s="12" t="inlineStr">
        <is>
          <t>South</t>
        </is>
      </c>
      <c r="H858" s="12" t="inlineStr">
        <is>
          <t>Tamil Nadu</t>
        </is>
      </c>
      <c r="I858" s="12" t="inlineStr">
        <is>
          <t>Chennai</t>
        </is>
      </c>
      <c r="J858" s="12" t="inlineStr">
        <is>
          <t>Office Supplies</t>
        </is>
      </c>
      <c r="K858" s="12" t="inlineStr">
        <is>
          <t>Storage</t>
        </is>
      </c>
      <c r="L858" s="12" t="inlineStr">
        <is>
          <t>Classic Storage 918</t>
        </is>
      </c>
      <c r="M858" s="12" t="inlineStr">
        <is>
          <t>Standard Class</t>
        </is>
      </c>
      <c r="N858" s="12" t="n">
        <v>4</v>
      </c>
      <c r="O858" s="12" t="n">
        <v>395.1</v>
      </c>
      <c r="P858" s="12" t="n">
        <v>-0.16</v>
      </c>
      <c r="Q858" s="12" t="n">
        <v>1185.3</v>
      </c>
      <c r="R858" s="12" t="n">
        <v>966.55</v>
      </c>
      <c r="S858" s="12" t="n">
        <v>218.75</v>
      </c>
      <c r="T858" s="12" t="inlineStr">
        <is>
          <t>Failed</t>
        </is>
      </c>
      <c r="U858" s="12" t="inlineStr">
        <is>
          <t>Cancelled</t>
        </is>
      </c>
      <c r="V858">
        <f>IF(OR(P858="",P858&lt;0,P858&gt;0.5),0,P858)</f>
        <v/>
      </c>
      <c r="W858">
        <f>N858*O858*(1-V858)</f>
        <v/>
      </c>
      <c r="X858">
        <f>W858-R858</f>
        <v/>
      </c>
      <c r="Y858">
        <f>IF(W858=0,0,X858/W858)</f>
        <v/>
      </c>
      <c r="Z858">
        <f>C858-B858</f>
        <v/>
      </c>
      <c r="AA858">
        <f>TEXT(B858,"mmmm")</f>
        <v/>
      </c>
      <c r="AB858">
        <f>YEAR(B858)</f>
        <v/>
      </c>
      <c r="AC858">
        <f>IF(OR(P858&lt;0,P858&gt;0.5,C858&lt;B858),"INVALID","CLEAN")</f>
        <v/>
      </c>
    </row>
    <row r="859">
      <c r="A859" s="12" t="inlineStr">
        <is>
          <t>ORD-2024-10858</t>
        </is>
      </c>
      <c r="B859" s="12" t="inlineStr">
        <is>
          <t>04 Jun 2024</t>
        </is>
      </c>
      <c r="C859" s="12" t="inlineStr">
        <is>
          <t>04-06-2024</t>
        </is>
      </c>
      <c r="D859" s="12" t="inlineStr">
        <is>
          <t>CUST-8575</t>
        </is>
      </c>
      <c r="E859" s="12" t="inlineStr">
        <is>
          <t>Sneha Kapoor</t>
        </is>
      </c>
      <c r="F859" s="12" t="inlineStr">
        <is>
          <t>Home Office</t>
        </is>
      </c>
      <c r="G859" s="12" t="inlineStr">
        <is>
          <t>South</t>
        </is>
      </c>
      <c r="H859" s="12" t="inlineStr">
        <is>
          <t>Kerala</t>
        </is>
      </c>
      <c r="I859" s="12" t="inlineStr">
        <is>
          <t>Kochi</t>
        </is>
      </c>
      <c r="J859" s="12" t="inlineStr">
        <is>
          <t>Office Supplies</t>
        </is>
      </c>
      <c r="K859" s="12" t="inlineStr">
        <is>
          <t>Storage</t>
        </is>
      </c>
      <c r="L859" s="12" t="inlineStr">
        <is>
          <t>Max Storage 223</t>
        </is>
      </c>
      <c r="M859" s="12" t="inlineStr">
        <is>
          <t>First Class</t>
        </is>
      </c>
      <c r="N859" s="12" t="n">
        <v>6</v>
      </c>
      <c r="O859" s="12" t="n">
        <v>2708.97</v>
      </c>
      <c r="P859" s="12" t="n">
        <v>0.25</v>
      </c>
      <c r="Q859" s="12" t="n">
        <v>12190.36</v>
      </c>
      <c r="R859" s="12" t="n">
        <v>10176.99</v>
      </c>
      <c r="S859" s="12" t="n">
        <v>2013.37</v>
      </c>
      <c r="T859" s="12" t="inlineStr">
        <is>
          <t>Paid</t>
        </is>
      </c>
      <c r="U859" s="12" t="inlineStr">
        <is>
          <t>Completed</t>
        </is>
      </c>
      <c r="V859">
        <f>IF(OR(P859="",P859&lt;0,P859&gt;0.5),0,P859)</f>
        <v/>
      </c>
      <c r="W859">
        <f>N859*O859*(1-V859)</f>
        <v/>
      </c>
      <c r="X859">
        <f>W859-R859</f>
        <v/>
      </c>
      <c r="Y859">
        <f>IF(W859=0,0,X859/W859)</f>
        <v/>
      </c>
      <c r="Z859">
        <f>C859-B859</f>
        <v/>
      </c>
      <c r="AA859">
        <f>TEXT(B859,"mmmm")</f>
        <v/>
      </c>
      <c r="AB859">
        <f>YEAR(B859)</f>
        <v/>
      </c>
      <c r="AC859">
        <f>IF(OR(P859&lt;0,P859&gt;0.5,C859&lt;B859),"INVALID","CLEAN")</f>
        <v/>
      </c>
    </row>
    <row r="860">
      <c r="A860" s="12" t="inlineStr">
        <is>
          <t>ORD-2024-10859</t>
        </is>
      </c>
      <c r="B860" s="12" t="inlineStr">
        <is>
          <t>05/02/2024</t>
        </is>
      </c>
      <c r="C860" s="12" t="inlineStr">
        <is>
          <t>09 May 2024</t>
        </is>
      </c>
      <c r="D860" s="12" t="inlineStr">
        <is>
          <t>CUST-9576</t>
        </is>
      </c>
      <c r="E860" s="12" t="inlineStr">
        <is>
          <t>Arjun Bose</t>
        </is>
      </c>
      <c r="F860" s="12" t="inlineStr">
        <is>
          <t>Consumer</t>
        </is>
      </c>
      <c r="G860" s="12" t="inlineStr">
        <is>
          <t>East</t>
        </is>
      </c>
      <c r="H860" s="12" t="inlineStr">
        <is>
          <t>Odisha</t>
        </is>
      </c>
      <c r="I860" s="12" t="inlineStr">
        <is>
          <t>Bhubaneswar</t>
        </is>
      </c>
      <c r="J860" s="12" t="inlineStr">
        <is>
          <t>Technology</t>
        </is>
      </c>
      <c r="K860" s="12" t="inlineStr">
        <is>
          <t>Accessories</t>
        </is>
      </c>
      <c r="L860" s="12" t="inlineStr">
        <is>
          <t>Basic Accessories 602</t>
        </is>
      </c>
      <c r="M860" s="12" t="inlineStr">
        <is>
          <t>Second Class</t>
        </is>
      </c>
      <c r="N860" s="12" t="n">
        <v>4</v>
      </c>
      <c r="O860" s="12" t="n">
        <v>2904.86</v>
      </c>
      <c r="P860" s="12" t="n">
        <v>0</v>
      </c>
      <c r="Q860" s="12" t="n">
        <v>11619.44</v>
      </c>
      <c r="R860" s="12" t="n">
        <v>7184.32</v>
      </c>
      <c r="S860" s="12" t="n">
        <v>4494.64</v>
      </c>
      <c r="T860" s="12" t="inlineStr">
        <is>
          <t>Paid</t>
        </is>
      </c>
      <c r="U860" s="12" t="inlineStr">
        <is>
          <t>Completed</t>
        </is>
      </c>
      <c r="V860">
        <f>IF(OR(P860="",P860&lt;0,P860&gt;0.5),0,P860)</f>
        <v/>
      </c>
      <c r="W860">
        <f>N860*O860*(1-V860)</f>
        <v/>
      </c>
      <c r="X860">
        <f>W860-R860</f>
        <v/>
      </c>
      <c r="Y860">
        <f>IF(W860=0,0,X860/W860)</f>
        <v/>
      </c>
      <c r="Z860">
        <f>C860-B860</f>
        <v/>
      </c>
      <c r="AA860">
        <f>TEXT(B860,"mmmm")</f>
        <v/>
      </c>
      <c r="AB860">
        <f>YEAR(B860)</f>
        <v/>
      </c>
      <c r="AC860">
        <f>IF(OR(P860&lt;0,P860&gt;0.5,C860&lt;B860),"INVALID","CLEAN")</f>
        <v/>
      </c>
    </row>
    <row r="861">
      <c r="A861" s="12" t="inlineStr">
        <is>
          <t>ORD-2024-10860</t>
        </is>
      </c>
      <c r="B861" s="12" t="inlineStr">
        <is>
          <t>10/27/2024</t>
        </is>
      </c>
      <c r="C861" s="12" t="inlineStr">
        <is>
          <t>2024-11-01</t>
        </is>
      </c>
      <c r="D861" s="12" t="inlineStr">
        <is>
          <t>CUST-2395</t>
        </is>
      </c>
      <c r="E861" s="12" t="inlineStr">
        <is>
          <t>Aditi Sen</t>
        </is>
      </c>
      <c r="F861" s="12" t="inlineStr">
        <is>
          <t>Corporate</t>
        </is>
      </c>
      <c r="G861" s="12" t="inlineStr">
        <is>
          <t>South</t>
        </is>
      </c>
      <c r="H861" s="12" t="inlineStr">
        <is>
          <t>Tamil Nadu</t>
        </is>
      </c>
      <c r="I861" s="12" t="inlineStr">
        <is>
          <t>Chennai</t>
        </is>
      </c>
      <c r="J861" s="12" t="inlineStr">
        <is>
          <t>Technology</t>
        </is>
      </c>
      <c r="K861" s="12" t="inlineStr">
        <is>
          <t>Phones</t>
        </is>
      </c>
      <c r="L861" s="12" t="inlineStr">
        <is>
          <t>Elite Phones 394</t>
        </is>
      </c>
      <c r="M861" s="12" t="inlineStr">
        <is>
          <t>Standard Class</t>
        </is>
      </c>
      <c r="N861" s="12" t="n">
        <v>6</v>
      </c>
      <c r="O861" s="12" t="n">
        <v>4399.2</v>
      </c>
      <c r="P861" s="12" t="n">
        <v>0.05</v>
      </c>
      <c r="Q861" s="12" t="n">
        <v>25075.44</v>
      </c>
      <c r="R861" s="12" t="n">
        <v>16282.74</v>
      </c>
      <c r="S861" s="12" t="n">
        <v>8792.700000000001</v>
      </c>
      <c r="T861" s="12" t="inlineStr">
        <is>
          <t>Paid</t>
        </is>
      </c>
      <c r="U861" s="12" t="inlineStr">
        <is>
          <t>Completed</t>
        </is>
      </c>
      <c r="V861">
        <f>IF(OR(P861="",P861&lt;0,P861&gt;0.5),0,P861)</f>
        <v/>
      </c>
      <c r="W861">
        <f>N861*O861*(1-V861)</f>
        <v/>
      </c>
      <c r="X861">
        <f>W861-R861</f>
        <v/>
      </c>
      <c r="Y861">
        <f>IF(W861=0,0,X861/W861)</f>
        <v/>
      </c>
      <c r="Z861">
        <f>C861-B861</f>
        <v/>
      </c>
      <c r="AA861">
        <f>TEXT(B861,"mmmm")</f>
        <v/>
      </c>
      <c r="AB861">
        <f>YEAR(B861)</f>
        <v/>
      </c>
      <c r="AC861">
        <f>IF(OR(P861&lt;0,P861&gt;0.5,C861&lt;B861),"INVALID","CLEAN")</f>
        <v/>
      </c>
    </row>
    <row r="862">
      <c r="A862" s="12" t="inlineStr">
        <is>
          <t>ORD-2024-10861</t>
        </is>
      </c>
      <c r="B862" s="12" t="inlineStr">
        <is>
          <t>02 Feb 2024</t>
        </is>
      </c>
      <c r="C862" s="12" t="inlineStr">
        <is>
          <t>04 Feb 2024</t>
        </is>
      </c>
      <c r="D862" s="12" t="inlineStr">
        <is>
          <t>CUST-8941</t>
        </is>
      </c>
      <c r="E862" s="12" t="inlineStr">
        <is>
          <t>Vikram Iyer</t>
        </is>
      </c>
      <c r="F862" s="12" t="inlineStr">
        <is>
          <t>Home Office</t>
        </is>
      </c>
      <c r="G862" s="12" t="inlineStr">
        <is>
          <t>North</t>
        </is>
      </c>
      <c r="H862" s="12" t="inlineStr">
        <is>
          <t>Uttar Pradesh</t>
        </is>
      </c>
      <c r="I862" s="12" t="inlineStr">
        <is>
          <t>Noida</t>
        </is>
      </c>
      <c r="J862" s="12" t="inlineStr">
        <is>
          <t>Office Supplies</t>
        </is>
      </c>
      <c r="K862" s="12" t="inlineStr">
        <is>
          <t>Storage</t>
        </is>
      </c>
      <c r="L862" s="12" t="inlineStr">
        <is>
          <t>Classic Storage 194</t>
        </is>
      </c>
      <c r="M862" s="12" t="inlineStr">
        <is>
          <t>Second Class</t>
        </is>
      </c>
      <c r="N862" s="12" t="n">
        <v>1</v>
      </c>
      <c r="O862" s="12" t="n">
        <v>4397.32</v>
      </c>
      <c r="P862" s="12" t="n">
        <v>0.05</v>
      </c>
      <c r="Q862" s="12" t="n">
        <v>4177.45</v>
      </c>
      <c r="R862" s="12" t="n">
        <v>2299.5</v>
      </c>
      <c r="S862" s="12" t="n">
        <v>1877.95</v>
      </c>
      <c r="T862" s="12" t="inlineStr">
        <is>
          <t>Paid</t>
        </is>
      </c>
      <c r="U862" s="12" t="inlineStr">
        <is>
          <t>Completed</t>
        </is>
      </c>
      <c r="V862">
        <f>IF(OR(P862="",P862&lt;0,P862&gt;0.5),0,P862)</f>
        <v/>
      </c>
      <c r="W862">
        <f>N862*O862*(1-V862)</f>
        <v/>
      </c>
      <c r="X862">
        <f>W862-R862</f>
        <v/>
      </c>
      <c r="Y862">
        <f>IF(W862=0,0,X862/W862)</f>
        <v/>
      </c>
      <c r="Z862">
        <f>C862-B862</f>
        <v/>
      </c>
      <c r="AA862">
        <f>TEXT(B862,"mmmm")</f>
        <v/>
      </c>
      <c r="AB862">
        <f>YEAR(B862)</f>
        <v/>
      </c>
      <c r="AC862">
        <f>IF(OR(P862&lt;0,P862&gt;0.5,C862&lt;B862),"INVALID","CLEAN")</f>
        <v/>
      </c>
    </row>
    <row r="863">
      <c r="A863" s="12" t="inlineStr">
        <is>
          <t>ORD-2025-10862</t>
        </is>
      </c>
      <c r="B863" s="12" t="inlineStr">
        <is>
          <t>2025-03-08</t>
        </is>
      </c>
      <c r="C863" s="12" t="inlineStr">
        <is>
          <t>2025-03-09</t>
        </is>
      </c>
      <c r="D863" s="12" t="inlineStr">
        <is>
          <t>CUST-9448</t>
        </is>
      </c>
      <c r="E863" s="12" t="inlineStr">
        <is>
          <t>Priya Menon</t>
        </is>
      </c>
      <c r="F863" s="12" t="inlineStr">
        <is>
          <t>Home Office</t>
        </is>
      </c>
      <c r="G863" s="12" t="inlineStr">
        <is>
          <t>North</t>
        </is>
      </c>
      <c r="H863" s="12" t="inlineStr">
        <is>
          <t>Delhi</t>
        </is>
      </c>
      <c r="I863" s="12" t="inlineStr">
        <is>
          <t>New Delhi</t>
        </is>
      </c>
      <c r="J863" s="12" t="inlineStr">
        <is>
          <t>Furniture</t>
        </is>
      </c>
      <c r="K863" s="12" t="inlineStr">
        <is>
          <t>Furnishings</t>
        </is>
      </c>
      <c r="L863" s="12" t="inlineStr">
        <is>
          <t>Smart Furnishings 892</t>
        </is>
      </c>
      <c r="M863" s="12" t="inlineStr">
        <is>
          <t>Same Day</t>
        </is>
      </c>
      <c r="N863" s="12" t="n">
        <v>4</v>
      </c>
      <c r="O863" s="12" t="n">
        <v>3405.68</v>
      </c>
      <c r="P863" s="12" t="n">
        <v>0.2</v>
      </c>
      <c r="Q863" s="12" t="n">
        <v>10898.18</v>
      </c>
      <c r="R863" s="12" t="n">
        <v>6231.41</v>
      </c>
      <c r="S863" s="12" t="n">
        <v>4666.77</v>
      </c>
      <c r="T863" s="12" t="inlineStr">
        <is>
          <t>Paid</t>
        </is>
      </c>
      <c r="U863" s="12" t="inlineStr">
        <is>
          <t>Completed</t>
        </is>
      </c>
      <c r="V863">
        <f>IF(OR(P863="",P863&lt;0,P863&gt;0.5),0,P863)</f>
        <v/>
      </c>
      <c r="W863">
        <f>N863*O863*(1-V863)</f>
        <v/>
      </c>
      <c r="X863">
        <f>W863-R863</f>
        <v/>
      </c>
      <c r="Y863">
        <f>IF(W863=0,0,X863/W863)</f>
        <v/>
      </c>
      <c r="Z863">
        <f>C863-B863</f>
        <v/>
      </c>
      <c r="AA863">
        <f>TEXT(B863,"mmmm")</f>
        <v/>
      </c>
      <c r="AB863">
        <f>YEAR(B863)</f>
        <v/>
      </c>
      <c r="AC863">
        <f>IF(OR(P863&lt;0,P863&gt;0.5,C863&lt;B863),"INVALID","CLEAN")</f>
        <v/>
      </c>
    </row>
    <row r="864">
      <c r="A864" s="12" t="inlineStr">
        <is>
          <t>ORD-2025-10863</t>
        </is>
      </c>
      <c r="B864" s="12" t="inlineStr">
        <is>
          <t>2025-03-26</t>
        </is>
      </c>
      <c r="C864" s="12" t="inlineStr">
        <is>
          <t>31-03-2025</t>
        </is>
      </c>
      <c r="D864" s="12" t="inlineStr">
        <is>
          <t>CUST-8354</t>
        </is>
      </c>
      <c r="E864" s="12" t="inlineStr">
        <is>
          <t>Priya Menon</t>
        </is>
      </c>
      <c r="F864" s="12" t="inlineStr">
        <is>
          <t>Small Business</t>
        </is>
      </c>
      <c r="G864" s="12" t="inlineStr">
        <is>
          <t>East</t>
        </is>
      </c>
      <c r="H864" s="12" t="inlineStr">
        <is>
          <t>Jharkhand</t>
        </is>
      </c>
      <c r="I864" s="12" t="inlineStr">
        <is>
          <t>Ranchi</t>
        </is>
      </c>
      <c r="J864" s="12" t="inlineStr">
        <is>
          <t>Office Supplies</t>
        </is>
      </c>
      <c r="K864" s="12" t="inlineStr">
        <is>
          <t>Binders</t>
        </is>
      </c>
      <c r="L864" s="12" t="inlineStr">
        <is>
          <t>Pro Binders 488</t>
        </is>
      </c>
      <c r="M864" s="12" t="inlineStr">
        <is>
          <t>First Class</t>
        </is>
      </c>
      <c r="N864" s="12" t="n">
        <v>5</v>
      </c>
      <c r="O864" s="12" t="n">
        <v>1395.14</v>
      </c>
      <c r="P864" s="12" t="n">
        <v>0</v>
      </c>
      <c r="Q864" s="12" t="n">
        <v>6975.7</v>
      </c>
      <c r="R864" s="12" t="n">
        <v>4797.88</v>
      </c>
      <c r="S864" s="12" t="n">
        <v>2177.82</v>
      </c>
      <c r="T864" s="12" t="inlineStr">
        <is>
          <t>Paid</t>
        </is>
      </c>
      <c r="U864" s="12" t="inlineStr">
        <is>
          <t>Cancelled</t>
        </is>
      </c>
      <c r="V864">
        <f>IF(OR(P864="",P864&lt;0,P864&gt;0.5),0,P864)</f>
        <v/>
      </c>
      <c r="W864">
        <f>N864*O864*(1-V864)</f>
        <v/>
      </c>
      <c r="X864">
        <f>W864-R864</f>
        <v/>
      </c>
      <c r="Y864">
        <f>IF(W864=0,0,X864/W864)</f>
        <v/>
      </c>
      <c r="Z864">
        <f>C864-B864</f>
        <v/>
      </c>
      <c r="AA864">
        <f>TEXT(B864,"mmmm")</f>
        <v/>
      </c>
      <c r="AB864">
        <f>YEAR(B864)</f>
        <v/>
      </c>
      <c r="AC864">
        <f>IF(OR(P864&lt;0,P864&gt;0.5,C864&lt;B864),"INVALID","CLEAN")</f>
        <v/>
      </c>
    </row>
    <row r="865">
      <c r="A865" s="12" t="inlineStr">
        <is>
          <t>ORD-2025-10864</t>
        </is>
      </c>
      <c r="B865" s="12" t="inlineStr">
        <is>
          <t>09/06/2025</t>
        </is>
      </c>
      <c r="C865" s="12" t="inlineStr">
        <is>
          <t>09/08/2025</t>
        </is>
      </c>
      <c r="D865" s="12" t="inlineStr">
        <is>
          <t>CUST-2200</t>
        </is>
      </c>
      <c r="E865" s="12" t="inlineStr">
        <is>
          <t>Aarav Sharma</t>
        </is>
      </c>
      <c r="F865" s="12" t="inlineStr">
        <is>
          <t>Home Office</t>
        </is>
      </c>
      <c r="G865" s="12" t="inlineStr">
        <is>
          <t>West</t>
        </is>
      </c>
      <c r="H865" s="12" t="inlineStr">
        <is>
          <t>Madhya Pradesh</t>
        </is>
      </c>
      <c r="I865" s="12" t="inlineStr">
        <is>
          <t>Indore</t>
        </is>
      </c>
      <c r="J865" s="12" t="inlineStr">
        <is>
          <t>Furniture</t>
        </is>
      </c>
      <c r="K865" s="12" t="inlineStr">
        <is>
          <t>Furnishings</t>
        </is>
      </c>
      <c r="L865" s="12" t="inlineStr">
        <is>
          <t>Prime Furnishings 679</t>
        </is>
      </c>
      <c r="M865" s="12" t="inlineStr">
        <is>
          <t>Same Day</t>
        </is>
      </c>
      <c r="N865" s="12" t="n">
        <v>3</v>
      </c>
      <c r="O865" s="12" t="n">
        <v>2937.23</v>
      </c>
      <c r="P865" s="12" t="n">
        <v>0</v>
      </c>
      <c r="Q865" s="12" t="n">
        <v>8811.690000000001</v>
      </c>
      <c r="R865" s="12" t="n">
        <v>6765.91</v>
      </c>
      <c r="S865" s="12" t="n">
        <v>2045.78</v>
      </c>
      <c r="T865" s="12" t="inlineStr">
        <is>
          <t>Paid</t>
        </is>
      </c>
      <c r="U865" s="12" t="inlineStr">
        <is>
          <t>Completed</t>
        </is>
      </c>
      <c r="V865">
        <f>IF(OR(P865="",P865&lt;0,P865&gt;0.5),0,P865)</f>
        <v/>
      </c>
      <c r="W865">
        <f>N865*O865*(1-V865)</f>
        <v/>
      </c>
      <c r="X865">
        <f>W865-R865</f>
        <v/>
      </c>
      <c r="Y865">
        <f>IF(W865=0,0,X865/W865)</f>
        <v/>
      </c>
      <c r="Z865">
        <f>C865-B865</f>
        <v/>
      </c>
      <c r="AA865">
        <f>TEXT(B865,"mmmm")</f>
        <v/>
      </c>
      <c r="AB865">
        <f>YEAR(B865)</f>
        <v/>
      </c>
      <c r="AC865">
        <f>IF(OR(P865&lt;0,P865&gt;0.5,C865&lt;B865),"INVALID","CLEAN")</f>
        <v/>
      </c>
    </row>
    <row r="866">
      <c r="A866" s="12" t="inlineStr">
        <is>
          <t>ORD-2025-10865</t>
        </is>
      </c>
      <c r="B866" s="12" t="inlineStr">
        <is>
          <t>02 Sep 2025</t>
        </is>
      </c>
      <c r="C866" s="12" t="inlineStr">
        <is>
          <t>05-09-2025</t>
        </is>
      </c>
      <c r="D866" s="12" t="inlineStr">
        <is>
          <t>CUST-1178</t>
        </is>
      </c>
      <c r="E866" s="12" t="inlineStr">
        <is>
          <t>Vikram Iyer</t>
        </is>
      </c>
      <c r="F866" s="12" t="inlineStr">
        <is>
          <t>Consumer</t>
        </is>
      </c>
      <c r="G866" s="12" t="inlineStr">
        <is>
          <t>South</t>
        </is>
      </c>
      <c r="H866" s="12" t="inlineStr">
        <is>
          <t>Tamil Nadu</t>
        </is>
      </c>
      <c r="I866" s="12" t="inlineStr">
        <is>
          <t>Chennai</t>
        </is>
      </c>
      <c r="J866" s="12" t="inlineStr">
        <is>
          <t>Technology</t>
        </is>
      </c>
      <c r="K866" s="12" t="inlineStr">
        <is>
          <t>Phones</t>
        </is>
      </c>
      <c r="L866" s="12" t="inlineStr">
        <is>
          <t>Smart Phones 158</t>
        </is>
      </c>
      <c r="M866" s="12" t="inlineStr">
        <is>
          <t>First Class</t>
        </is>
      </c>
      <c r="N866" s="12" t="n">
        <v>5</v>
      </c>
      <c r="O866" s="12" t="n">
        <v>3406.87</v>
      </c>
      <c r="P866" s="12" t="n">
        <v>0</v>
      </c>
      <c r="Q866" s="12" t="n">
        <v>17034.35</v>
      </c>
      <c r="R866" s="12" t="n">
        <v>14631.36</v>
      </c>
      <c r="S866" s="12" t="n">
        <v>2402.99</v>
      </c>
      <c r="T866" s="12" t="inlineStr">
        <is>
          <t>Paid</t>
        </is>
      </c>
      <c r="U866" s="12" t="inlineStr">
        <is>
          <t>Completed</t>
        </is>
      </c>
      <c r="V866">
        <f>IF(OR(P866="",P866&lt;0,P866&gt;0.5),0,P866)</f>
        <v/>
      </c>
      <c r="W866">
        <f>N866*O866*(1-V866)</f>
        <v/>
      </c>
      <c r="X866">
        <f>W866-R866</f>
        <v/>
      </c>
      <c r="Y866">
        <f>IF(W866=0,0,X866/W866)</f>
        <v/>
      </c>
      <c r="Z866">
        <f>C866-B866</f>
        <v/>
      </c>
      <c r="AA866">
        <f>TEXT(B866,"mmmm")</f>
        <v/>
      </c>
      <c r="AB866">
        <f>YEAR(B866)</f>
        <v/>
      </c>
      <c r="AC866">
        <f>IF(OR(P866&lt;0,P866&gt;0.5,C866&lt;B866),"INVALID","CLEAN")</f>
        <v/>
      </c>
    </row>
    <row r="867">
      <c r="A867" s="12" t="inlineStr">
        <is>
          <t>ORD-2025-10866</t>
        </is>
      </c>
      <c r="B867" s="12" t="inlineStr">
        <is>
          <t>06-02-2025</t>
        </is>
      </c>
      <c r="C867" s="12" t="inlineStr">
        <is>
          <t>14-02-2025</t>
        </is>
      </c>
      <c r="D867" s="12" t="inlineStr">
        <is>
          <t>CUST-8099</t>
        </is>
      </c>
      <c r="E867" s="12" t="inlineStr">
        <is>
          <t>Kabir Singh</t>
        </is>
      </c>
      <c r="F867" s="12" t="inlineStr">
        <is>
          <t>Consumer</t>
        </is>
      </c>
      <c r="G867" s="12" t="inlineStr">
        <is>
          <t>West</t>
        </is>
      </c>
      <c r="H867" s="12" t="inlineStr">
        <is>
          <t>Maharashtra</t>
        </is>
      </c>
      <c r="I867" s="12" t="inlineStr">
        <is>
          <t>Mumbai</t>
        </is>
      </c>
      <c r="J867" s="12" t="inlineStr">
        <is>
          <t>Office Supplies</t>
        </is>
      </c>
      <c r="K867" s="12" t="inlineStr">
        <is>
          <t>Labels</t>
        </is>
      </c>
      <c r="L867" s="12" t="inlineStr">
        <is>
          <t>Classic Labels 218</t>
        </is>
      </c>
      <c r="M867" s="12" t="inlineStr">
        <is>
          <t>Second Class</t>
        </is>
      </c>
      <c r="N867" s="12" t="n">
        <v>2</v>
      </c>
      <c r="O867" s="12" t="n">
        <v>3992.04</v>
      </c>
      <c r="P867" s="12" t="n">
        <v>0</v>
      </c>
      <c r="Q867" s="12" t="n">
        <v>7984.08</v>
      </c>
      <c r="R867" s="12" t="n">
        <v>5658.05</v>
      </c>
      <c r="S867" s="12" t="n">
        <v>2326.03</v>
      </c>
      <c r="T867" s="12" t="inlineStr">
        <is>
          <t>Paid</t>
        </is>
      </c>
      <c r="U867" s="12" t="inlineStr">
        <is>
          <t>Completed</t>
        </is>
      </c>
      <c r="V867">
        <f>IF(OR(P867="",P867&lt;0,P867&gt;0.5),0,P867)</f>
        <v/>
      </c>
      <c r="W867">
        <f>N867*O867*(1-V867)</f>
        <v/>
      </c>
      <c r="X867">
        <f>W867-R867</f>
        <v/>
      </c>
      <c r="Y867">
        <f>IF(W867=0,0,X867/W867)</f>
        <v/>
      </c>
      <c r="Z867">
        <f>C867-B867</f>
        <v/>
      </c>
      <c r="AA867">
        <f>TEXT(B867,"mmmm")</f>
        <v/>
      </c>
      <c r="AB867">
        <f>YEAR(B867)</f>
        <v/>
      </c>
      <c r="AC867">
        <f>IF(OR(P867&lt;0,P867&gt;0.5,C867&lt;B867),"INVALID","CLEAN")</f>
        <v/>
      </c>
    </row>
    <row r="868">
      <c r="A868" s="12" t="inlineStr">
        <is>
          <t>ORD-2025-10867</t>
        </is>
      </c>
      <c r="B868" s="12" t="inlineStr">
        <is>
          <t>02/26/2025</t>
        </is>
      </c>
      <c r="C868" s="12" t="inlineStr">
        <is>
          <t>2025-03-06</t>
        </is>
      </c>
      <c r="D868" s="12" t="inlineStr">
        <is>
          <t>CUST-7596</t>
        </is>
      </c>
      <c r="E868" s="12" t="inlineStr">
        <is>
          <t>Priya Menon</t>
        </is>
      </c>
      <c r="F868" s="12" t="inlineStr">
        <is>
          <t>Consumer</t>
        </is>
      </c>
      <c r="G868" s="12" t="inlineStr">
        <is>
          <t>East</t>
        </is>
      </c>
      <c r="H868" s="12" t="inlineStr">
        <is>
          <t>Bihar</t>
        </is>
      </c>
      <c r="I868" s="12" t="inlineStr">
        <is>
          <t>Patna</t>
        </is>
      </c>
      <c r="J868" s="12" t="inlineStr">
        <is>
          <t>Furniture</t>
        </is>
      </c>
      <c r="K868" s="12" t="inlineStr">
        <is>
          <t>Bookcases</t>
        </is>
      </c>
      <c r="L868" s="12" t="inlineStr">
        <is>
          <t>Smart Bookcases 552</t>
        </is>
      </c>
      <c r="M868" s="12" t="inlineStr">
        <is>
          <t>First Class</t>
        </is>
      </c>
      <c r="N868" s="12" t="n">
        <v>9</v>
      </c>
      <c r="O868" s="12" t="n">
        <v>3043.37</v>
      </c>
      <c r="P868" s="12" t="n">
        <v>0.2</v>
      </c>
      <c r="Q868" s="12" t="n">
        <v>21912.26</v>
      </c>
      <c r="R868" s="12" t="n">
        <v>16367.78</v>
      </c>
      <c r="S868" s="12" t="n">
        <v>5544.48</v>
      </c>
      <c r="T868" s="12" t="inlineStr">
        <is>
          <t>Pending</t>
        </is>
      </c>
      <c r="U868" s="12" t="inlineStr">
        <is>
          <t>Cancelled</t>
        </is>
      </c>
      <c r="V868">
        <f>IF(OR(P868="",P868&lt;0,P868&gt;0.5),0,P868)</f>
        <v/>
      </c>
      <c r="W868">
        <f>N868*O868*(1-V868)</f>
        <v/>
      </c>
      <c r="X868">
        <f>W868-R868</f>
        <v/>
      </c>
      <c r="Y868">
        <f>IF(W868=0,0,X868/W868)</f>
        <v/>
      </c>
      <c r="Z868">
        <f>C868-B868</f>
        <v/>
      </c>
      <c r="AA868">
        <f>TEXT(B868,"mmmm")</f>
        <v/>
      </c>
      <c r="AB868">
        <f>YEAR(B868)</f>
        <v/>
      </c>
      <c r="AC868">
        <f>IF(OR(P868&lt;0,P868&gt;0.5,C868&lt;B868),"INVALID","CLEAN")</f>
        <v/>
      </c>
    </row>
    <row r="869">
      <c r="A869" s="12" t="inlineStr">
        <is>
          <t>ORD-2024-10868</t>
        </is>
      </c>
      <c r="B869" s="12" t="inlineStr">
        <is>
          <t>21 Nov 2024</t>
        </is>
      </c>
      <c r="C869" s="12" t="inlineStr">
        <is>
          <t>22 Nov 2024</t>
        </is>
      </c>
      <c r="D869" s="12" t="inlineStr">
        <is>
          <t>CUST-2328</t>
        </is>
      </c>
      <c r="E869" s="12" t="inlineStr">
        <is>
          <t>Rahul Verma</t>
        </is>
      </c>
      <c r="F869" s="12" t="inlineStr">
        <is>
          <t>Home Office</t>
        </is>
      </c>
      <c r="G869" s="12" t="inlineStr">
        <is>
          <t>South</t>
        </is>
      </c>
      <c r="H869" s="12" t="inlineStr">
        <is>
          <t>Andhra Pradesh</t>
        </is>
      </c>
      <c r="I869" s="12" t="inlineStr">
        <is>
          <t>Vijayawada</t>
        </is>
      </c>
      <c r="J869" s="12" t="inlineStr">
        <is>
          <t>Technology</t>
        </is>
      </c>
      <c r="K869" s="12" t="inlineStr">
        <is>
          <t>Accessories</t>
        </is>
      </c>
      <c r="L869" s="12" t="inlineStr">
        <is>
          <t>Eco Accessories 389</t>
        </is>
      </c>
      <c r="M869" s="12" t="inlineStr">
        <is>
          <t>Same Day</t>
        </is>
      </c>
      <c r="N869" s="12" t="n">
        <v>6</v>
      </c>
      <c r="O869" s="12" t="n">
        <v>1043.49</v>
      </c>
      <c r="P869" s="12" t="n">
        <v>0.25</v>
      </c>
      <c r="Q869" s="12" t="n">
        <v>4695.7</v>
      </c>
      <c r="R869" s="12" t="n">
        <v>3871.69</v>
      </c>
      <c r="S869" s="12" t="n">
        <v>824.01</v>
      </c>
      <c r="T869" s="12" t="inlineStr">
        <is>
          <t>Failed</t>
        </is>
      </c>
      <c r="U869" s="12" t="inlineStr">
        <is>
          <t>Cancelled</t>
        </is>
      </c>
      <c r="V869">
        <f>IF(OR(P869="",P869&lt;0,P869&gt;0.5),0,P869)</f>
        <v/>
      </c>
      <c r="W869">
        <f>N869*O869*(1-V869)</f>
        <v/>
      </c>
      <c r="X869">
        <f>W869-R869</f>
        <v/>
      </c>
      <c r="Y869">
        <f>IF(W869=0,0,X869/W869)</f>
        <v/>
      </c>
      <c r="Z869">
        <f>C869-B869</f>
        <v/>
      </c>
      <c r="AA869">
        <f>TEXT(B869,"mmmm")</f>
        <v/>
      </c>
      <c r="AB869">
        <f>YEAR(B869)</f>
        <v/>
      </c>
      <c r="AC869">
        <f>IF(OR(P869&lt;0,P869&gt;0.5,C869&lt;B869),"INVALID","CLEAN")</f>
        <v/>
      </c>
    </row>
    <row r="870">
      <c r="A870" s="12" t="inlineStr">
        <is>
          <t>ORD-2025-10869</t>
        </is>
      </c>
      <c r="B870" s="12" t="inlineStr">
        <is>
          <t>11-04-2025</t>
        </is>
      </c>
      <c r="C870" s="12" t="inlineStr">
        <is>
          <t>2025-04-15</t>
        </is>
      </c>
      <c r="D870" s="12" t="inlineStr">
        <is>
          <t>CUST-8483</t>
        </is>
      </c>
      <c r="E870" s="12" t="inlineStr">
        <is>
          <t>Vikram Iyer</t>
        </is>
      </c>
      <c r="F870" s="12" t="inlineStr">
        <is>
          <t>Home Office</t>
        </is>
      </c>
      <c r="G870" s="12" t="inlineStr">
        <is>
          <t>South</t>
        </is>
      </c>
      <c r="H870" s="12" t="inlineStr">
        <is>
          <t>Karnataka</t>
        </is>
      </c>
      <c r="I870" s="12" t="inlineStr">
        <is>
          <t>Bengaluru</t>
        </is>
      </c>
      <c r="J870" s="12" t="inlineStr">
        <is>
          <t>Office Supplies</t>
        </is>
      </c>
      <c r="K870" s="12" t="inlineStr">
        <is>
          <t>Storage</t>
        </is>
      </c>
      <c r="L870" s="12" t="inlineStr">
        <is>
          <t>Elite Storage 187</t>
        </is>
      </c>
      <c r="M870" s="12" t="inlineStr">
        <is>
          <t>Same Day</t>
        </is>
      </c>
      <c r="N870" s="12" t="n">
        <v>9</v>
      </c>
      <c r="O870" s="12" t="n">
        <v>224.94</v>
      </c>
      <c r="P870" s="12" t="n">
        <v>0.05</v>
      </c>
      <c r="Q870" s="12" t="n">
        <v>1923.24</v>
      </c>
      <c r="R870" s="12" t="n">
        <v>1093.66</v>
      </c>
      <c r="S870" s="12" t="n">
        <v>829.58</v>
      </c>
      <c r="T870" s="12" t="inlineStr">
        <is>
          <t>Paid</t>
        </is>
      </c>
      <c r="U870" s="12" t="inlineStr">
        <is>
          <t>Completed</t>
        </is>
      </c>
      <c r="V870">
        <f>IF(OR(P870="",P870&lt;0,P870&gt;0.5),0,P870)</f>
        <v/>
      </c>
      <c r="W870">
        <f>N870*O870*(1-V870)</f>
        <v/>
      </c>
      <c r="X870">
        <f>W870-R870</f>
        <v/>
      </c>
      <c r="Y870">
        <f>IF(W870=0,0,X870/W870)</f>
        <v/>
      </c>
      <c r="Z870">
        <f>C870-B870</f>
        <v/>
      </c>
      <c r="AA870">
        <f>TEXT(B870,"mmmm")</f>
        <v/>
      </c>
      <c r="AB870">
        <f>YEAR(B870)</f>
        <v/>
      </c>
      <c r="AC870">
        <f>IF(OR(P870&lt;0,P870&gt;0.5,C870&lt;B870),"INVALID","CLEAN")</f>
        <v/>
      </c>
    </row>
    <row r="871">
      <c r="A871" s="12" t="inlineStr">
        <is>
          <t>ORD-2025-10870</t>
        </is>
      </c>
      <c r="B871" s="12" t="inlineStr">
        <is>
          <t>03/06/2025</t>
        </is>
      </c>
      <c r="C871" s="12" t="inlineStr">
        <is>
          <t>07-03-2025</t>
        </is>
      </c>
      <c r="D871" s="12" t="inlineStr">
        <is>
          <t>CUST-2388</t>
        </is>
      </c>
      <c r="E871" s="12" t="inlineStr">
        <is>
          <t>Rohan Mehta</t>
        </is>
      </c>
      <c r="F871" s="12" t="inlineStr">
        <is>
          <t>Home Office</t>
        </is>
      </c>
      <c r="G871" s="12" t="n"/>
      <c r="H871" s="12" t="inlineStr">
        <is>
          <t>Delhi</t>
        </is>
      </c>
      <c r="I871" s="12" t="inlineStr">
        <is>
          <t>New Delhi</t>
        </is>
      </c>
      <c r="J871" s="12" t="inlineStr">
        <is>
          <t>Furniture</t>
        </is>
      </c>
      <c r="K871" s="12" t="inlineStr">
        <is>
          <t>Chairs</t>
        </is>
      </c>
      <c r="L871" s="12" t="inlineStr">
        <is>
          <t>Max Chairs 487</t>
        </is>
      </c>
      <c r="M871" s="12" t="inlineStr">
        <is>
          <t>Same Day</t>
        </is>
      </c>
      <c r="N871" s="12" t="n">
        <v>6</v>
      </c>
      <c r="O871" s="12" t="n">
        <v>796.65</v>
      </c>
      <c r="P871" s="12" t="n">
        <v>0.1</v>
      </c>
      <c r="Q871" s="12" t="n">
        <v>4301.91</v>
      </c>
      <c r="R871" s="12" t="n">
        <v>2374.4</v>
      </c>
      <c r="S871" s="12" t="n">
        <v>1927.51</v>
      </c>
      <c r="T871" s="12" t="inlineStr">
        <is>
          <t>Paid</t>
        </is>
      </c>
      <c r="U871" s="12" t="inlineStr">
        <is>
          <t>Completed</t>
        </is>
      </c>
      <c r="V871">
        <f>IF(OR(P871="",P871&lt;0,P871&gt;0.5),0,P871)</f>
        <v/>
      </c>
      <c r="W871">
        <f>N871*O871*(1-V871)</f>
        <v/>
      </c>
      <c r="X871">
        <f>W871-R871</f>
        <v/>
      </c>
      <c r="Y871">
        <f>IF(W871=0,0,X871/W871)</f>
        <v/>
      </c>
      <c r="Z871">
        <f>C871-B871</f>
        <v/>
      </c>
      <c r="AA871">
        <f>TEXT(B871,"mmmm")</f>
        <v/>
      </c>
      <c r="AB871">
        <f>YEAR(B871)</f>
        <v/>
      </c>
      <c r="AC871">
        <f>IF(OR(P871&lt;0,P871&gt;0.5,C871&lt;B871),"INVALID","CLEAN")</f>
        <v/>
      </c>
    </row>
    <row r="872">
      <c r="A872" s="12" t="inlineStr">
        <is>
          <t>ORD-2025-10871</t>
        </is>
      </c>
      <c r="B872" s="12" t="inlineStr">
        <is>
          <t>06 Jun 2025</t>
        </is>
      </c>
      <c r="C872" s="12" t="inlineStr">
        <is>
          <t>07 Jun 2025</t>
        </is>
      </c>
      <c r="D872" s="12" t="inlineStr">
        <is>
          <t>CUST-7054</t>
        </is>
      </c>
      <c r="E872" s="12" t="inlineStr">
        <is>
          <t>Vikram Iyer</t>
        </is>
      </c>
      <c r="F872" s="12" t="inlineStr">
        <is>
          <t>Corporate</t>
        </is>
      </c>
      <c r="G872" s="12" t="inlineStr">
        <is>
          <t>West</t>
        </is>
      </c>
      <c r="H872" s="12" t="inlineStr">
        <is>
          <t>Goa</t>
        </is>
      </c>
      <c r="I872" s="12" t="inlineStr">
        <is>
          <t>Panaji</t>
        </is>
      </c>
      <c r="J872" s="12" t="inlineStr">
        <is>
          <t>Furniture</t>
        </is>
      </c>
      <c r="K872" s="12" t="inlineStr">
        <is>
          <t>Tables</t>
        </is>
      </c>
      <c r="L872" s="12" t="inlineStr">
        <is>
          <t>Max Tables 281</t>
        </is>
      </c>
      <c r="M872" s="12" t="inlineStr">
        <is>
          <t>Standard Class</t>
        </is>
      </c>
      <c r="N872" s="12" t="n">
        <v>9</v>
      </c>
      <c r="O872" s="12" t="n">
        <v>2932.92</v>
      </c>
      <c r="P872" s="12" t="n">
        <v>0.15</v>
      </c>
      <c r="Q872" s="12" t="n">
        <v>22436.84</v>
      </c>
      <c r="R872" s="12" t="n">
        <v>17454.67</v>
      </c>
      <c r="S872" s="12" t="n">
        <v>4982.17</v>
      </c>
      <c r="T872" s="12" t="inlineStr">
        <is>
          <t>Paid</t>
        </is>
      </c>
      <c r="U872" s="12" t="inlineStr">
        <is>
          <t>Cancelled</t>
        </is>
      </c>
      <c r="V872">
        <f>IF(OR(P872="",P872&lt;0,P872&gt;0.5),0,P872)</f>
        <v/>
      </c>
      <c r="W872">
        <f>N872*O872*(1-V872)</f>
        <v/>
      </c>
      <c r="X872">
        <f>W872-R872</f>
        <v/>
      </c>
      <c r="Y872">
        <f>IF(W872=0,0,X872/W872)</f>
        <v/>
      </c>
      <c r="Z872">
        <f>C872-B872</f>
        <v/>
      </c>
      <c r="AA872">
        <f>TEXT(B872,"mmmm")</f>
        <v/>
      </c>
      <c r="AB872">
        <f>YEAR(B872)</f>
        <v/>
      </c>
      <c r="AC872">
        <f>IF(OR(P872&lt;0,P872&gt;0.5,C872&lt;B872),"INVALID","CLEAN")</f>
        <v/>
      </c>
    </row>
    <row r="873">
      <c r="A873" s="12" t="inlineStr">
        <is>
          <t>ORD-2024-10872</t>
        </is>
      </c>
      <c r="B873" s="12" t="inlineStr">
        <is>
          <t>02/20/2024</t>
        </is>
      </c>
      <c r="C873" s="12" t="inlineStr">
        <is>
          <t>2024-02-22</t>
        </is>
      </c>
      <c r="D873" s="12" t="inlineStr">
        <is>
          <t>CUST-4375</t>
        </is>
      </c>
      <c r="E873" s="12" t="inlineStr">
        <is>
          <t>Neha Gupta</t>
        </is>
      </c>
      <c r="F873" s="12" t="inlineStr">
        <is>
          <t>Small Business</t>
        </is>
      </c>
      <c r="G873" s="12" t="inlineStr">
        <is>
          <t>South</t>
        </is>
      </c>
      <c r="H873" s="12" t="inlineStr">
        <is>
          <t>Telangana</t>
        </is>
      </c>
      <c r="I873" s="12" t="inlineStr">
        <is>
          <t>Hyderabad</t>
        </is>
      </c>
      <c r="J873" s="12" t="inlineStr">
        <is>
          <t>Technology</t>
        </is>
      </c>
      <c r="K873" s="12" t="inlineStr">
        <is>
          <t>Accessories</t>
        </is>
      </c>
      <c r="L873" s="12" t="inlineStr">
        <is>
          <t>Pro Accessories 325</t>
        </is>
      </c>
      <c r="M873" s="12" t="inlineStr">
        <is>
          <t>First Class</t>
        </is>
      </c>
      <c r="N873" s="12" t="n">
        <v>9</v>
      </c>
      <c r="O873" s="12" t="n">
        <v>2186.23</v>
      </c>
      <c r="P873" s="12" t="n">
        <v>0</v>
      </c>
      <c r="Q873" s="12" t="n">
        <v>19676.07</v>
      </c>
      <c r="R873" s="12" t="n">
        <v>12458.62</v>
      </c>
      <c r="S873" s="12" t="n">
        <v>7217.45</v>
      </c>
      <c r="T873" s="12" t="inlineStr">
        <is>
          <t>Refunded</t>
        </is>
      </c>
      <c r="U873" s="12" t="inlineStr">
        <is>
          <t>Cancelled</t>
        </is>
      </c>
      <c r="V873">
        <f>IF(OR(P873="",P873&lt;0,P873&gt;0.5),0,P873)</f>
        <v/>
      </c>
      <c r="W873">
        <f>N873*O873*(1-V873)</f>
        <v/>
      </c>
      <c r="X873">
        <f>W873-R873</f>
        <v/>
      </c>
      <c r="Y873">
        <f>IF(W873=0,0,X873/W873)</f>
        <v/>
      </c>
      <c r="Z873">
        <f>C873-B873</f>
        <v/>
      </c>
      <c r="AA873">
        <f>TEXT(B873,"mmmm")</f>
        <v/>
      </c>
      <c r="AB873">
        <f>YEAR(B873)</f>
        <v/>
      </c>
      <c r="AC873">
        <f>IF(OR(P873&lt;0,P873&gt;0.5,C873&lt;B873),"INVALID","CLEAN")</f>
        <v/>
      </c>
    </row>
    <row r="874">
      <c r="A874" s="12" t="inlineStr">
        <is>
          <t>ORD-2024-10873</t>
        </is>
      </c>
      <c r="B874" s="12" t="inlineStr">
        <is>
          <t>11/01/2024</t>
        </is>
      </c>
      <c r="C874" s="12" t="inlineStr">
        <is>
          <t>02 Nov 2024</t>
        </is>
      </c>
      <c r="D874" s="12" t="inlineStr">
        <is>
          <t>CUST-6262</t>
        </is>
      </c>
      <c r="E874" s="12" t="inlineStr">
        <is>
          <t>Karan Malhotra</t>
        </is>
      </c>
      <c r="F874" s="12" t="inlineStr">
        <is>
          <t>Corporate</t>
        </is>
      </c>
      <c r="G874" s="12" t="inlineStr">
        <is>
          <t>East</t>
        </is>
      </c>
      <c r="H874" s="12" t="inlineStr">
        <is>
          <t>West Bengal</t>
        </is>
      </c>
      <c r="I874" s="12" t="inlineStr">
        <is>
          <t>Kolkata</t>
        </is>
      </c>
      <c r="J874" s="12" t="inlineStr">
        <is>
          <t>Furniture</t>
        </is>
      </c>
      <c r="K874" s="12" t="inlineStr">
        <is>
          <t>Furnishings</t>
        </is>
      </c>
      <c r="L874" s="12" t="inlineStr">
        <is>
          <t>Prime Furnishings 178</t>
        </is>
      </c>
      <c r="M874" s="12" t="inlineStr">
        <is>
          <t>Standard Class</t>
        </is>
      </c>
      <c r="N874" s="12" t="n">
        <v>5</v>
      </c>
      <c r="O874" s="12" t="n">
        <v>2212.02</v>
      </c>
      <c r="P874" s="12" t="n">
        <v>0.2</v>
      </c>
      <c r="Q874" s="12" t="n">
        <v>8848.08</v>
      </c>
      <c r="R874" s="12" t="n">
        <v>5691.56</v>
      </c>
      <c r="S874" s="12" t="n">
        <v>3156.52</v>
      </c>
      <c r="T874" s="12" t="inlineStr">
        <is>
          <t>Paid</t>
        </is>
      </c>
      <c r="U874" s="12" t="inlineStr">
        <is>
          <t>Completed</t>
        </is>
      </c>
      <c r="V874">
        <f>IF(OR(P874="",P874&lt;0,P874&gt;0.5),0,P874)</f>
        <v/>
      </c>
      <c r="W874">
        <f>N874*O874*(1-V874)</f>
        <v/>
      </c>
      <c r="X874">
        <f>W874-R874</f>
        <v/>
      </c>
      <c r="Y874">
        <f>IF(W874=0,0,X874/W874)</f>
        <v/>
      </c>
      <c r="Z874">
        <f>C874-B874</f>
        <v/>
      </c>
      <c r="AA874">
        <f>TEXT(B874,"mmmm")</f>
        <v/>
      </c>
      <c r="AB874">
        <f>YEAR(B874)</f>
        <v/>
      </c>
      <c r="AC874">
        <f>IF(OR(P874&lt;0,P874&gt;0.5,C874&lt;B874),"INVALID","CLEAN")</f>
        <v/>
      </c>
    </row>
    <row r="875">
      <c r="A875" s="12" t="inlineStr">
        <is>
          <t>ORD-2025-10874</t>
        </is>
      </c>
      <c r="B875" s="12" t="inlineStr">
        <is>
          <t>01 Feb 2025</t>
        </is>
      </c>
      <c r="C875" s="12" t="inlineStr">
        <is>
          <t>08-02-2025</t>
        </is>
      </c>
      <c r="D875" s="12" t="inlineStr">
        <is>
          <t>CUST-8160</t>
        </is>
      </c>
      <c r="E875" s="12" t="inlineStr">
        <is>
          <t>Aditi Sen</t>
        </is>
      </c>
      <c r="F875" s="12" t="inlineStr">
        <is>
          <t>Home Office</t>
        </is>
      </c>
      <c r="G875" s="12" t="inlineStr">
        <is>
          <t>West</t>
        </is>
      </c>
      <c r="H875" s="12" t="inlineStr">
        <is>
          <t>Gujarat</t>
        </is>
      </c>
      <c r="I875" s="12" t="inlineStr">
        <is>
          <t>Ahmedabad</t>
        </is>
      </c>
      <c r="J875" s="12" t="inlineStr">
        <is>
          <t>Office Supplies</t>
        </is>
      </c>
      <c r="K875" s="12" t="inlineStr">
        <is>
          <t>Storage</t>
        </is>
      </c>
      <c r="L875" s="12" t="inlineStr">
        <is>
          <t>Elite Storage 144</t>
        </is>
      </c>
      <c r="M875" s="12" t="inlineStr">
        <is>
          <t>Second Class</t>
        </is>
      </c>
      <c r="N875" s="12" t="n">
        <v>8</v>
      </c>
      <c r="O875" s="12" t="n">
        <v>623.3099999999999</v>
      </c>
      <c r="P875" s="12" t="n">
        <v>0.1</v>
      </c>
      <c r="Q875" s="12" t="n">
        <v>4487.83</v>
      </c>
      <c r="R875" s="12" t="n">
        <v>2633.78</v>
      </c>
      <c r="S875" s="12" t="n">
        <v>1854.05</v>
      </c>
      <c r="T875" s="12" t="inlineStr">
        <is>
          <t>Paid</t>
        </is>
      </c>
      <c r="U875" s="12" t="inlineStr">
        <is>
          <t>Completed</t>
        </is>
      </c>
      <c r="V875">
        <f>IF(OR(P875="",P875&lt;0,P875&gt;0.5),0,P875)</f>
        <v/>
      </c>
      <c r="W875">
        <f>N875*O875*(1-V875)</f>
        <v/>
      </c>
      <c r="X875">
        <f>W875-R875</f>
        <v/>
      </c>
      <c r="Y875">
        <f>IF(W875=0,0,X875/W875)</f>
        <v/>
      </c>
      <c r="Z875">
        <f>C875-B875</f>
        <v/>
      </c>
      <c r="AA875">
        <f>TEXT(B875,"mmmm")</f>
        <v/>
      </c>
      <c r="AB875">
        <f>YEAR(B875)</f>
        <v/>
      </c>
      <c r="AC875">
        <f>IF(OR(P875&lt;0,P875&gt;0.5,C875&lt;B875),"INVALID","CLEAN")</f>
        <v/>
      </c>
    </row>
    <row r="876">
      <c r="A876" s="12" t="inlineStr">
        <is>
          <t>ORD-2025-10875</t>
        </is>
      </c>
      <c r="B876" s="12" t="inlineStr">
        <is>
          <t>15 Jul 2025</t>
        </is>
      </c>
      <c r="C876" s="12" t="inlineStr">
        <is>
          <t>16 Jul 2025</t>
        </is>
      </c>
      <c r="D876" s="12" t="inlineStr">
        <is>
          <t>CUST-8770</t>
        </is>
      </c>
      <c r="E876" s="12" t="inlineStr">
        <is>
          <t>Vikram Iyer</t>
        </is>
      </c>
      <c r="F876" s="12" t="inlineStr">
        <is>
          <t>Small Business</t>
        </is>
      </c>
      <c r="G876" s="12" t="inlineStr">
        <is>
          <t>West</t>
        </is>
      </c>
      <c r="H876" s="12" t="inlineStr">
        <is>
          <t>Maharashtra</t>
        </is>
      </c>
      <c r="I876" s="12" t="inlineStr">
        <is>
          <t>Mumbai</t>
        </is>
      </c>
      <c r="J876" s="12" t="inlineStr">
        <is>
          <t>Office Supplies</t>
        </is>
      </c>
      <c r="K876" s="12" t="inlineStr">
        <is>
          <t>Paper</t>
        </is>
      </c>
      <c r="L876" s="12" t="inlineStr">
        <is>
          <t>Elite Paper 309</t>
        </is>
      </c>
      <c r="M876" s="12" t="inlineStr">
        <is>
          <t>Standard Class</t>
        </is>
      </c>
      <c r="N876" s="12" t="n">
        <v>8</v>
      </c>
      <c r="O876" s="12" t="n">
        <v>3924.88</v>
      </c>
      <c r="P876" s="12" t="n">
        <v>0.05</v>
      </c>
      <c r="Q876" s="12" t="n">
        <v>29829.09</v>
      </c>
      <c r="R876" s="12" t="n">
        <v>20710.18</v>
      </c>
      <c r="S876" s="12" t="n">
        <v>9118.91</v>
      </c>
      <c r="T876" s="12" t="inlineStr">
        <is>
          <t>Paid</t>
        </is>
      </c>
      <c r="U876" s="12" t="inlineStr">
        <is>
          <t>Completed</t>
        </is>
      </c>
      <c r="V876">
        <f>IF(OR(P876="",P876&lt;0,P876&gt;0.5),0,P876)</f>
        <v/>
      </c>
      <c r="W876">
        <f>N876*O876*(1-V876)</f>
        <v/>
      </c>
      <c r="X876">
        <f>W876-R876</f>
        <v/>
      </c>
      <c r="Y876">
        <f>IF(W876=0,0,X876/W876)</f>
        <v/>
      </c>
      <c r="Z876">
        <f>C876-B876</f>
        <v/>
      </c>
      <c r="AA876">
        <f>TEXT(B876,"mmmm")</f>
        <v/>
      </c>
      <c r="AB876">
        <f>YEAR(B876)</f>
        <v/>
      </c>
      <c r="AC876">
        <f>IF(OR(P876&lt;0,P876&gt;0.5,C876&lt;B876),"INVALID","CLEAN")</f>
        <v/>
      </c>
    </row>
    <row r="877">
      <c r="A877" s="12" t="inlineStr">
        <is>
          <t>ORD-2024-10876</t>
        </is>
      </c>
      <c r="B877" s="12" t="inlineStr">
        <is>
          <t>10 Aug 2024</t>
        </is>
      </c>
      <c r="C877" s="12" t="inlineStr">
        <is>
          <t>08/11/2024</t>
        </is>
      </c>
      <c r="D877" s="12" t="inlineStr">
        <is>
          <t>CUST-6928</t>
        </is>
      </c>
      <c r="E877" s="12" t="inlineStr">
        <is>
          <t>Mira Das</t>
        </is>
      </c>
      <c r="F877" s="12" t="inlineStr">
        <is>
          <t>Corporate</t>
        </is>
      </c>
      <c r="G877" s="12" t="inlineStr">
        <is>
          <t>West</t>
        </is>
      </c>
      <c r="H877" s="12" t="inlineStr">
        <is>
          <t>Maharashtra</t>
        </is>
      </c>
      <c r="I877" s="12" t="inlineStr">
        <is>
          <t>Mumbai</t>
        </is>
      </c>
      <c r="J877" s="12" t="inlineStr">
        <is>
          <t>Technology</t>
        </is>
      </c>
      <c r="K877" s="12" t="inlineStr">
        <is>
          <t>Copiers</t>
        </is>
      </c>
      <c r="L877" s="12" t="inlineStr">
        <is>
          <t>Elite Copiers 752</t>
        </is>
      </c>
      <c r="M877" s="12" t="inlineStr">
        <is>
          <t>First Class</t>
        </is>
      </c>
      <c r="N877" s="12" t="n">
        <v>7</v>
      </c>
      <c r="O877" s="12" t="n">
        <v>3852.62</v>
      </c>
      <c r="P877" s="12" t="n">
        <v>0.2</v>
      </c>
      <c r="Q877" s="12" t="n">
        <v>21574.67</v>
      </c>
      <c r="R877" s="12" t="n">
        <v>14672.83</v>
      </c>
      <c r="S877" s="12" t="n">
        <v>6901.84</v>
      </c>
      <c r="T877" s="12" t="inlineStr">
        <is>
          <t>Paid</t>
        </is>
      </c>
      <c r="U877" s="12" t="inlineStr">
        <is>
          <t>Completed</t>
        </is>
      </c>
      <c r="V877">
        <f>IF(OR(P877="",P877&lt;0,P877&gt;0.5),0,P877)</f>
        <v/>
      </c>
      <c r="W877">
        <f>N877*O877*(1-V877)</f>
        <v/>
      </c>
      <c r="X877">
        <f>W877-R877</f>
        <v/>
      </c>
      <c r="Y877">
        <f>IF(W877=0,0,X877/W877)</f>
        <v/>
      </c>
      <c r="Z877">
        <f>C877-B877</f>
        <v/>
      </c>
      <c r="AA877">
        <f>TEXT(B877,"mmmm")</f>
        <v/>
      </c>
      <c r="AB877">
        <f>YEAR(B877)</f>
        <v/>
      </c>
      <c r="AC877">
        <f>IF(OR(P877&lt;0,P877&gt;0.5,C877&lt;B877),"INVALID","CLEAN")</f>
        <v/>
      </c>
    </row>
    <row r="878">
      <c r="A878" s="12" t="inlineStr">
        <is>
          <t>ORD-2024-10877</t>
        </is>
      </c>
      <c r="B878" s="12" t="inlineStr">
        <is>
          <t>11/18/2024</t>
        </is>
      </c>
      <c r="C878" s="12" t="inlineStr">
        <is>
          <t>20-11-2024</t>
        </is>
      </c>
      <c r="D878" s="12" t="inlineStr">
        <is>
          <t>CUST-9044</t>
        </is>
      </c>
      <c r="E878" s="12" t="inlineStr">
        <is>
          <t>Priya Menon</t>
        </is>
      </c>
      <c r="F878" s="12" t="inlineStr">
        <is>
          <t>Consumer</t>
        </is>
      </c>
      <c r="G878" s="12" t="inlineStr">
        <is>
          <t>West</t>
        </is>
      </c>
      <c r="H878" s="12" t="inlineStr">
        <is>
          <t>Rajasthan</t>
        </is>
      </c>
      <c r="I878" s="12" t="inlineStr">
        <is>
          <t>Udaipur</t>
        </is>
      </c>
      <c r="J878" s="12" t="inlineStr">
        <is>
          <t>Furniture</t>
        </is>
      </c>
      <c r="K878" s="12" t="inlineStr">
        <is>
          <t>Chairs</t>
        </is>
      </c>
      <c r="L878" s="12" t="inlineStr">
        <is>
          <t>Pro Chairs 316</t>
        </is>
      </c>
      <c r="M878" s="12" t="inlineStr">
        <is>
          <t>First Class</t>
        </is>
      </c>
      <c r="N878" s="12" t="n">
        <v>6</v>
      </c>
      <c r="O878" s="12" t="n">
        <v>3790.22</v>
      </c>
      <c r="P878" s="12" t="n">
        <v>0</v>
      </c>
      <c r="Q878" s="12" t="n">
        <v>22741.32</v>
      </c>
      <c r="R878" s="12" t="n">
        <v>16388.57</v>
      </c>
      <c r="S878" s="12" t="n">
        <v>6352.75</v>
      </c>
      <c r="T878" s="12" t="inlineStr">
        <is>
          <t>Paid</t>
        </is>
      </c>
      <c r="U878" s="12" t="inlineStr">
        <is>
          <t>Completed</t>
        </is>
      </c>
      <c r="V878">
        <f>IF(OR(P878="",P878&lt;0,P878&gt;0.5),0,P878)</f>
        <v/>
      </c>
      <c r="W878">
        <f>N878*O878*(1-V878)</f>
        <v/>
      </c>
      <c r="X878">
        <f>W878-R878</f>
        <v/>
      </c>
      <c r="Y878">
        <f>IF(W878=0,0,X878/W878)</f>
        <v/>
      </c>
      <c r="Z878">
        <f>C878-B878</f>
        <v/>
      </c>
      <c r="AA878">
        <f>TEXT(B878,"mmmm")</f>
        <v/>
      </c>
      <c r="AB878">
        <f>YEAR(B878)</f>
        <v/>
      </c>
      <c r="AC878">
        <f>IF(OR(P878&lt;0,P878&gt;0.5,C878&lt;B878),"INVALID","CLEAN")</f>
        <v/>
      </c>
    </row>
    <row r="879">
      <c r="A879" s="12" t="inlineStr">
        <is>
          <t>ORD-2025-10878</t>
        </is>
      </c>
      <c r="B879" s="12" t="inlineStr">
        <is>
          <t>26-08-2025</t>
        </is>
      </c>
      <c r="C879" s="12" t="inlineStr">
        <is>
          <t>2025-09-03</t>
        </is>
      </c>
      <c r="D879" s="12" t="inlineStr">
        <is>
          <t>CUST-7146</t>
        </is>
      </c>
      <c r="E879" s="12" t="inlineStr">
        <is>
          <t>Aarav Sharma</t>
        </is>
      </c>
      <c r="F879" s="12" t="inlineStr">
        <is>
          <t>Consumer</t>
        </is>
      </c>
      <c r="G879" s="12" t="inlineStr">
        <is>
          <t>West</t>
        </is>
      </c>
      <c r="H879" s="12" t="inlineStr">
        <is>
          <t>Rajasthan</t>
        </is>
      </c>
      <c r="I879" s="12" t="inlineStr">
        <is>
          <t>Udaipur</t>
        </is>
      </c>
      <c r="J879" s="12" t="inlineStr">
        <is>
          <t>Office Supplies</t>
        </is>
      </c>
      <c r="K879" s="12" t="inlineStr">
        <is>
          <t>Storage</t>
        </is>
      </c>
      <c r="L879" s="12" t="inlineStr">
        <is>
          <t>Max Storage 438</t>
        </is>
      </c>
      <c r="M879" s="12" t="inlineStr">
        <is>
          <t>Second Class</t>
        </is>
      </c>
      <c r="N879" s="12" t="n">
        <v>6</v>
      </c>
      <c r="O879" s="12" t="n">
        <v>674.36</v>
      </c>
      <c r="P879" s="12" t="n">
        <v>0.1</v>
      </c>
      <c r="Q879" s="12" t="n">
        <v>3641.54</v>
      </c>
      <c r="R879" s="12" t="n">
        <v>2690.37</v>
      </c>
      <c r="S879" s="12" t="n">
        <v>951.17</v>
      </c>
      <c r="T879" s="12" t="inlineStr">
        <is>
          <t>Paid</t>
        </is>
      </c>
      <c r="U879" s="12" t="inlineStr">
        <is>
          <t>Completed</t>
        </is>
      </c>
      <c r="V879">
        <f>IF(OR(P879="",P879&lt;0,P879&gt;0.5),0,P879)</f>
        <v/>
      </c>
      <c r="W879">
        <f>N879*O879*(1-V879)</f>
        <v/>
      </c>
      <c r="X879">
        <f>W879-R879</f>
        <v/>
      </c>
      <c r="Y879">
        <f>IF(W879=0,0,X879/W879)</f>
        <v/>
      </c>
      <c r="Z879">
        <f>C879-B879</f>
        <v/>
      </c>
      <c r="AA879">
        <f>TEXT(B879,"mmmm")</f>
        <v/>
      </c>
      <c r="AB879">
        <f>YEAR(B879)</f>
        <v/>
      </c>
      <c r="AC879">
        <f>IF(OR(P879&lt;0,P879&gt;0.5,C879&lt;B879),"INVALID","CLEAN")</f>
        <v/>
      </c>
    </row>
    <row r="880">
      <c r="A880" s="12" t="inlineStr">
        <is>
          <t>ORD-2024-10879</t>
        </is>
      </c>
      <c r="B880" s="12" t="inlineStr">
        <is>
          <t>2024-01-22</t>
        </is>
      </c>
      <c r="C880" s="12" t="inlineStr">
        <is>
          <t>2024-01-22</t>
        </is>
      </c>
      <c r="D880" s="12" t="inlineStr">
        <is>
          <t>CUST-8534</t>
        </is>
      </c>
      <c r="E880" s="12" t="inlineStr">
        <is>
          <t>Karan Malhotra</t>
        </is>
      </c>
      <c r="F880" s="12" t="inlineStr">
        <is>
          <t>Corporate</t>
        </is>
      </c>
      <c r="G880" s="12" t="inlineStr">
        <is>
          <t>East</t>
        </is>
      </c>
      <c r="H880" s="12" t="inlineStr">
        <is>
          <t>West Bengal</t>
        </is>
      </c>
      <c r="I880" s="12" t="inlineStr">
        <is>
          <t>Kolkata</t>
        </is>
      </c>
      <c r="J880" s="12" t="inlineStr">
        <is>
          <t>Office Supplies</t>
        </is>
      </c>
      <c r="K880" s="12" t="inlineStr">
        <is>
          <t>Paper</t>
        </is>
      </c>
      <c r="L880" s="12" t="inlineStr">
        <is>
          <t>Basic Paper 904</t>
        </is>
      </c>
      <c r="M880" s="12" t="inlineStr">
        <is>
          <t>First Class</t>
        </is>
      </c>
      <c r="N880" s="12" t="n">
        <v>8</v>
      </c>
      <c r="O880" s="12" t="n">
        <v>1557.21</v>
      </c>
      <c r="P880" s="12" t="n">
        <v>0.05</v>
      </c>
      <c r="Q880" s="12" t="n">
        <v>11834.8</v>
      </c>
      <c r="R880" s="12" t="n">
        <v>9322.360000000001</v>
      </c>
      <c r="S880" s="12" t="n">
        <v>2512.44</v>
      </c>
      <c r="T880" s="12" t="inlineStr">
        <is>
          <t>Paid</t>
        </is>
      </c>
      <c r="U880" s="12" t="inlineStr">
        <is>
          <t>Completed</t>
        </is>
      </c>
      <c r="V880">
        <f>IF(OR(P880="",P880&lt;0,P880&gt;0.5),0,P880)</f>
        <v/>
      </c>
      <c r="W880">
        <f>N880*O880*(1-V880)</f>
        <v/>
      </c>
      <c r="X880">
        <f>W880-R880</f>
        <v/>
      </c>
      <c r="Y880">
        <f>IF(W880=0,0,X880/W880)</f>
        <v/>
      </c>
      <c r="Z880">
        <f>C880-B880</f>
        <v/>
      </c>
      <c r="AA880">
        <f>TEXT(B880,"mmmm")</f>
        <v/>
      </c>
      <c r="AB880">
        <f>YEAR(B880)</f>
        <v/>
      </c>
      <c r="AC880">
        <f>IF(OR(P880&lt;0,P880&gt;0.5,C880&lt;B880),"INVALID","CLEAN")</f>
        <v/>
      </c>
    </row>
    <row r="881">
      <c r="A881" s="12" t="inlineStr">
        <is>
          <t>ORD-2025-10880</t>
        </is>
      </c>
      <c r="B881" s="12" t="inlineStr">
        <is>
          <t>2025-08-27</t>
        </is>
      </c>
      <c r="C881" s="12" t="inlineStr">
        <is>
          <t>08/28/2025</t>
        </is>
      </c>
      <c r="D881" s="12" t="inlineStr">
        <is>
          <t>CUST-4486</t>
        </is>
      </c>
      <c r="E881" s="12" t="inlineStr">
        <is>
          <t>Ananya Rao</t>
        </is>
      </c>
      <c r="F881" s="12" t="inlineStr">
        <is>
          <t>Home Office</t>
        </is>
      </c>
      <c r="G881" s="12" t="inlineStr">
        <is>
          <t>North</t>
        </is>
      </c>
      <c r="H881" s="12" t="inlineStr">
        <is>
          <t>Uttar Pradesh</t>
        </is>
      </c>
      <c r="I881" s="12" t="inlineStr">
        <is>
          <t>Noida</t>
        </is>
      </c>
      <c r="J881" s="12" t="inlineStr">
        <is>
          <t>Office Supplies</t>
        </is>
      </c>
      <c r="K881" s="12" t="inlineStr">
        <is>
          <t>Art</t>
        </is>
      </c>
      <c r="L881" s="12" t="inlineStr">
        <is>
          <t>Smart Art 990</t>
        </is>
      </c>
      <c r="M881" s="12" t="inlineStr">
        <is>
          <t>Standard Class</t>
        </is>
      </c>
      <c r="N881" s="12" t="n">
        <v>6</v>
      </c>
      <c r="O881" s="12" t="n">
        <v>1182.03</v>
      </c>
      <c r="P881" s="12" t="n">
        <v>0.15</v>
      </c>
      <c r="Q881" s="12" t="n">
        <v>6028.35</v>
      </c>
      <c r="R881" s="12" t="n">
        <v>4433.63</v>
      </c>
      <c r="S881" s="12" t="n">
        <v>1594.72</v>
      </c>
      <c r="T881" s="12" t="inlineStr">
        <is>
          <t>Paid</t>
        </is>
      </c>
      <c r="U881" s="12" t="inlineStr">
        <is>
          <t>Completed</t>
        </is>
      </c>
      <c r="V881">
        <f>IF(OR(P881="",P881&lt;0,P881&gt;0.5),0,P881)</f>
        <v/>
      </c>
      <c r="W881">
        <f>N881*O881*(1-V881)</f>
        <v/>
      </c>
      <c r="X881">
        <f>W881-R881</f>
        <v/>
      </c>
      <c r="Y881">
        <f>IF(W881=0,0,X881/W881)</f>
        <v/>
      </c>
      <c r="Z881">
        <f>C881-B881</f>
        <v/>
      </c>
      <c r="AA881">
        <f>TEXT(B881,"mmmm")</f>
        <v/>
      </c>
      <c r="AB881">
        <f>YEAR(B881)</f>
        <v/>
      </c>
      <c r="AC881">
        <f>IF(OR(P881&lt;0,P881&gt;0.5,C881&lt;B881),"INVALID","CLEAN")</f>
        <v/>
      </c>
    </row>
    <row r="882">
      <c r="A882" s="12" t="inlineStr">
        <is>
          <t>ORD-2024-10881</t>
        </is>
      </c>
      <c r="B882" s="12" t="inlineStr">
        <is>
          <t>08-03-2024</t>
        </is>
      </c>
      <c r="C882" s="12" t="inlineStr">
        <is>
          <t>03/15/2024</t>
        </is>
      </c>
      <c r="D882" s="12" t="inlineStr">
        <is>
          <t>CUST-5287</t>
        </is>
      </c>
      <c r="E882" s="12" t="inlineStr">
        <is>
          <t>Aarav Sharma</t>
        </is>
      </c>
      <c r="F882" s="12" t="inlineStr">
        <is>
          <t>Small Business</t>
        </is>
      </c>
      <c r="G882" s="12" t="n"/>
      <c r="H882" s="12" t="inlineStr">
        <is>
          <t>Punjab</t>
        </is>
      </c>
      <c r="I882" s="12" t="inlineStr">
        <is>
          <t>Ludhiana</t>
        </is>
      </c>
      <c r="J882" s="12" t="inlineStr">
        <is>
          <t>Furniture</t>
        </is>
      </c>
      <c r="K882" s="12" t="inlineStr">
        <is>
          <t>Chairs</t>
        </is>
      </c>
      <c r="L882" s="12" t="inlineStr">
        <is>
          <t>Basic Chairs 327</t>
        </is>
      </c>
      <c r="M882" s="12" t="inlineStr">
        <is>
          <t>First Class</t>
        </is>
      </c>
      <c r="N882" s="12" t="n">
        <v>5</v>
      </c>
      <c r="O882" s="12" t="n">
        <v>3234.77</v>
      </c>
      <c r="P882" s="12" t="n">
        <v>0</v>
      </c>
      <c r="Q882" s="12" t="n">
        <v>16173.85</v>
      </c>
      <c r="R882" s="12" t="n">
        <v>13636.34</v>
      </c>
      <c r="S882" s="12" t="n">
        <v>2537.51</v>
      </c>
      <c r="T882" s="12" t="inlineStr">
        <is>
          <t>Paid</t>
        </is>
      </c>
      <c r="U882" s="12" t="inlineStr">
        <is>
          <t>Completed</t>
        </is>
      </c>
      <c r="V882">
        <f>IF(OR(P882="",P882&lt;0,P882&gt;0.5),0,P882)</f>
        <v/>
      </c>
      <c r="W882">
        <f>N882*O882*(1-V882)</f>
        <v/>
      </c>
      <c r="X882">
        <f>W882-R882</f>
        <v/>
      </c>
      <c r="Y882">
        <f>IF(W882=0,0,X882/W882)</f>
        <v/>
      </c>
      <c r="Z882">
        <f>C882-B882</f>
        <v/>
      </c>
      <c r="AA882">
        <f>TEXT(B882,"mmmm")</f>
        <v/>
      </c>
      <c r="AB882">
        <f>YEAR(B882)</f>
        <v/>
      </c>
      <c r="AC882">
        <f>IF(OR(P882&lt;0,P882&gt;0.5,C882&lt;B882),"INVALID","CLEAN")</f>
        <v/>
      </c>
    </row>
    <row r="883">
      <c r="A883" s="12" t="inlineStr">
        <is>
          <t>ORD-2024-10882</t>
        </is>
      </c>
      <c r="B883" s="12" t="inlineStr">
        <is>
          <t>01 Dec 2024</t>
        </is>
      </c>
      <c r="C883" s="12" t="inlineStr">
        <is>
          <t>05-12-2024</t>
        </is>
      </c>
      <c r="D883" s="12" t="inlineStr">
        <is>
          <t>CUST-3445</t>
        </is>
      </c>
      <c r="E883" s="12" t="inlineStr">
        <is>
          <t>Ananya Rao</t>
        </is>
      </c>
      <c r="F883" s="12" t="inlineStr">
        <is>
          <t>Small Business</t>
        </is>
      </c>
      <c r="G883" s="12" t="inlineStr">
        <is>
          <t>South</t>
        </is>
      </c>
      <c r="H883" s="12" t="inlineStr">
        <is>
          <t>Andhra Pradesh</t>
        </is>
      </c>
      <c r="I883" s="12" t="inlineStr">
        <is>
          <t>Vijayawada</t>
        </is>
      </c>
      <c r="J883" s="12" t="inlineStr">
        <is>
          <t>Technology</t>
        </is>
      </c>
      <c r="K883" s="12" t="inlineStr">
        <is>
          <t>Copiers</t>
        </is>
      </c>
      <c r="L883" s="12" t="inlineStr">
        <is>
          <t>Eco Copiers 987</t>
        </is>
      </c>
      <c r="M883" s="12" t="inlineStr">
        <is>
          <t>Second Class</t>
        </is>
      </c>
      <c r="N883" s="12" t="n">
        <v>9</v>
      </c>
      <c r="O883" s="12" t="n">
        <v>3726.75</v>
      </c>
      <c r="P883" s="12" t="n">
        <v>0.25</v>
      </c>
      <c r="Q883" s="12" t="n">
        <v>25155.56</v>
      </c>
      <c r="R883" s="12" t="n">
        <v>17592.69</v>
      </c>
      <c r="S883" s="12" t="n">
        <v>7562.87</v>
      </c>
      <c r="T883" s="12" t="inlineStr">
        <is>
          <t>Paid</t>
        </is>
      </c>
      <c r="U883" s="12" t="inlineStr">
        <is>
          <t>Completed</t>
        </is>
      </c>
      <c r="V883">
        <f>IF(OR(P883="",P883&lt;0,P883&gt;0.5),0,P883)</f>
        <v/>
      </c>
      <c r="W883">
        <f>N883*O883*(1-V883)</f>
        <v/>
      </c>
      <c r="X883">
        <f>W883-R883</f>
        <v/>
      </c>
      <c r="Y883">
        <f>IF(W883=0,0,X883/W883)</f>
        <v/>
      </c>
      <c r="Z883">
        <f>C883-B883</f>
        <v/>
      </c>
      <c r="AA883">
        <f>TEXT(B883,"mmmm")</f>
        <v/>
      </c>
      <c r="AB883">
        <f>YEAR(B883)</f>
        <v/>
      </c>
      <c r="AC883">
        <f>IF(OR(P883&lt;0,P883&gt;0.5,C883&lt;B883),"INVALID","CLEAN")</f>
        <v/>
      </c>
    </row>
    <row r="884">
      <c r="A884" s="12" t="inlineStr">
        <is>
          <t>ORD-2025-10883</t>
        </is>
      </c>
      <c r="B884" s="12" t="inlineStr">
        <is>
          <t>02 Feb 2025</t>
        </is>
      </c>
      <c r="C884" s="12" t="inlineStr">
        <is>
          <t>02/10/2025</t>
        </is>
      </c>
      <c r="D884" s="12" t="inlineStr">
        <is>
          <t>CUST-4983</t>
        </is>
      </c>
      <c r="E884" s="12" t="inlineStr">
        <is>
          <t>Sneha Kapoor</t>
        </is>
      </c>
      <c r="F884" s="12" t="inlineStr">
        <is>
          <t>Corporate</t>
        </is>
      </c>
      <c r="G884" s="12" t="inlineStr">
        <is>
          <t>East</t>
        </is>
      </c>
      <c r="H884" s="12" t="inlineStr">
        <is>
          <t>Bihar</t>
        </is>
      </c>
      <c r="I884" s="12" t="inlineStr">
        <is>
          <t>Patna</t>
        </is>
      </c>
      <c r="J884" s="12" t="inlineStr">
        <is>
          <t>Technology</t>
        </is>
      </c>
      <c r="K884" s="12" t="inlineStr">
        <is>
          <t>Accessories</t>
        </is>
      </c>
      <c r="L884" s="12" t="inlineStr">
        <is>
          <t>Basic Accessories 607</t>
        </is>
      </c>
      <c r="M884" s="12" t="inlineStr">
        <is>
          <t>Standard Class</t>
        </is>
      </c>
      <c r="N884" s="12" t="n">
        <v>4</v>
      </c>
      <c r="O884" s="12" t="n">
        <v>1912.45</v>
      </c>
      <c r="P884" s="12" t="n">
        <v>0</v>
      </c>
      <c r="Q884" s="12" t="n">
        <v>7649.8</v>
      </c>
      <c r="R884" s="12" t="n">
        <v>4894.53</v>
      </c>
      <c r="S884" s="12" t="n">
        <v>2755.27</v>
      </c>
      <c r="T884" s="12" t="inlineStr">
        <is>
          <t>Pending</t>
        </is>
      </c>
      <c r="U884" s="12" t="inlineStr">
        <is>
          <t>Returned</t>
        </is>
      </c>
      <c r="V884">
        <f>IF(OR(P884="",P884&lt;0,P884&gt;0.5),0,P884)</f>
        <v/>
      </c>
      <c r="W884">
        <f>N884*O884*(1-V884)</f>
        <v/>
      </c>
      <c r="X884">
        <f>W884-R884</f>
        <v/>
      </c>
      <c r="Y884">
        <f>IF(W884=0,0,X884/W884)</f>
        <v/>
      </c>
      <c r="Z884">
        <f>C884-B884</f>
        <v/>
      </c>
      <c r="AA884">
        <f>TEXT(B884,"mmmm")</f>
        <v/>
      </c>
      <c r="AB884">
        <f>YEAR(B884)</f>
        <v/>
      </c>
      <c r="AC884">
        <f>IF(OR(P884&lt;0,P884&gt;0.5,C884&lt;B884),"INVALID","CLEAN")</f>
        <v/>
      </c>
    </row>
    <row r="885">
      <c r="A885" s="12" t="inlineStr">
        <is>
          <t>ORD-2025-10884</t>
        </is>
      </c>
      <c r="B885" s="12" t="inlineStr">
        <is>
          <t>28 Apr 2025</t>
        </is>
      </c>
      <c r="C885" s="12" t="inlineStr">
        <is>
          <t>05/01/2025</t>
        </is>
      </c>
      <c r="D885" s="12" t="inlineStr">
        <is>
          <t>CUST-2597</t>
        </is>
      </c>
      <c r="E885" s="12" t="inlineStr">
        <is>
          <t>Aarav Sharma</t>
        </is>
      </c>
      <c r="F885" s="12" t="inlineStr">
        <is>
          <t>Small Business</t>
        </is>
      </c>
      <c r="G885" s="12" t="inlineStr">
        <is>
          <t>West</t>
        </is>
      </c>
      <c r="H885" s="12" t="inlineStr">
        <is>
          <t>Goa</t>
        </is>
      </c>
      <c r="I885" s="12" t="inlineStr">
        <is>
          <t>Panaji</t>
        </is>
      </c>
      <c r="J885" s="12" t="inlineStr">
        <is>
          <t>Office Supplies</t>
        </is>
      </c>
      <c r="K885" s="12" t="inlineStr">
        <is>
          <t>Storage</t>
        </is>
      </c>
      <c r="L885" s="12" t="inlineStr">
        <is>
          <t>Classic Storage 211</t>
        </is>
      </c>
      <c r="M885" s="12" t="inlineStr">
        <is>
          <t>Same Day</t>
        </is>
      </c>
      <c r="N885" s="12" t="n">
        <v>1</v>
      </c>
      <c r="O885" s="12" t="n">
        <v>1620.87</v>
      </c>
      <c r="P885" s="12" t="n">
        <v>0</v>
      </c>
      <c r="Q885" s="12" t="n">
        <v>1620.87</v>
      </c>
      <c r="R885" s="12" t="n">
        <v>1103.61</v>
      </c>
      <c r="S885" s="12" t="n">
        <v>517.26</v>
      </c>
      <c r="T885" s="12" t="inlineStr">
        <is>
          <t>Paid</t>
        </is>
      </c>
      <c r="U885" s="12" t="inlineStr">
        <is>
          <t>Completed</t>
        </is>
      </c>
      <c r="V885">
        <f>IF(OR(P885="",P885&lt;0,P885&gt;0.5),0,P885)</f>
        <v/>
      </c>
      <c r="W885">
        <f>N885*O885*(1-V885)</f>
        <v/>
      </c>
      <c r="X885">
        <f>W885-R885</f>
        <v/>
      </c>
      <c r="Y885">
        <f>IF(W885=0,0,X885/W885)</f>
        <v/>
      </c>
      <c r="Z885">
        <f>C885-B885</f>
        <v/>
      </c>
      <c r="AA885">
        <f>TEXT(B885,"mmmm")</f>
        <v/>
      </c>
      <c r="AB885">
        <f>YEAR(B885)</f>
        <v/>
      </c>
      <c r="AC885">
        <f>IF(OR(P885&lt;0,P885&gt;0.5,C885&lt;B885),"INVALID","CLEAN")</f>
        <v/>
      </c>
    </row>
    <row r="886">
      <c r="A886" s="12" t="inlineStr">
        <is>
          <t>ORD-2025-10885</t>
        </is>
      </c>
      <c r="B886" s="12" t="inlineStr">
        <is>
          <t>18-01-2025</t>
        </is>
      </c>
      <c r="C886" s="12" t="inlineStr">
        <is>
          <t>2025-01-25</t>
        </is>
      </c>
      <c r="D886" s="12" t="inlineStr">
        <is>
          <t>CUST-7505</t>
        </is>
      </c>
      <c r="E886" s="12" t="inlineStr">
        <is>
          <t>Neha Gupta</t>
        </is>
      </c>
      <c r="F886" s="12" t="inlineStr">
        <is>
          <t>Home Office</t>
        </is>
      </c>
      <c r="G886" s="12" t="inlineStr">
        <is>
          <t>South</t>
        </is>
      </c>
      <c r="H886" s="12" t="inlineStr">
        <is>
          <t>Karnataka</t>
        </is>
      </c>
      <c r="I886" s="12" t="inlineStr">
        <is>
          <t>Bengaluru</t>
        </is>
      </c>
      <c r="J886" s="12" t="inlineStr">
        <is>
          <t>Office Supplies</t>
        </is>
      </c>
      <c r="K886" s="12" t="inlineStr">
        <is>
          <t>Storage</t>
        </is>
      </c>
      <c r="L886" s="12" t="inlineStr">
        <is>
          <t>Eco Storage 783</t>
        </is>
      </c>
      <c r="M886" s="12" t="inlineStr">
        <is>
          <t>Same Day</t>
        </is>
      </c>
      <c r="N886" s="12" t="n">
        <v>2</v>
      </c>
      <c r="O886" s="12" t="n">
        <v>2098.54</v>
      </c>
      <c r="P886" s="12" t="n">
        <v>0.15</v>
      </c>
      <c r="Q886" s="12" t="n">
        <v>3567.52</v>
      </c>
      <c r="R886" s="12" t="n">
        <v>2411.8</v>
      </c>
      <c r="S886" s="12" t="n">
        <v>1155.72</v>
      </c>
      <c r="T886" s="12" t="inlineStr">
        <is>
          <t>Paid</t>
        </is>
      </c>
      <c r="U886" s="12" t="inlineStr">
        <is>
          <t>Completed</t>
        </is>
      </c>
      <c r="V886">
        <f>IF(OR(P886="",P886&lt;0,P886&gt;0.5),0,P886)</f>
        <v/>
      </c>
      <c r="W886">
        <f>N886*O886*(1-V886)</f>
        <v/>
      </c>
      <c r="X886">
        <f>W886-R886</f>
        <v/>
      </c>
      <c r="Y886">
        <f>IF(W886=0,0,X886/W886)</f>
        <v/>
      </c>
      <c r="Z886">
        <f>C886-B886</f>
        <v/>
      </c>
      <c r="AA886">
        <f>TEXT(B886,"mmmm")</f>
        <v/>
      </c>
      <c r="AB886">
        <f>YEAR(B886)</f>
        <v/>
      </c>
      <c r="AC886">
        <f>IF(OR(P886&lt;0,P886&gt;0.5,C886&lt;B886),"INVALID","CLEAN")</f>
        <v/>
      </c>
    </row>
    <row r="887">
      <c r="A887" s="12" t="inlineStr">
        <is>
          <t>ORD-2024-10886</t>
        </is>
      </c>
      <c r="B887" s="12" t="inlineStr">
        <is>
          <t>2024-01-05</t>
        </is>
      </c>
      <c r="C887" s="12" t="inlineStr">
        <is>
          <t>2024-01-05</t>
        </is>
      </c>
      <c r="D887" s="12" t="inlineStr">
        <is>
          <t>CUST-3446</t>
        </is>
      </c>
      <c r="E887" s="12" t="inlineStr">
        <is>
          <t>Diya Patel</t>
        </is>
      </c>
      <c r="F887" s="12" t="inlineStr">
        <is>
          <t>Consumer</t>
        </is>
      </c>
      <c r="G887" s="12" t="inlineStr">
        <is>
          <t>North</t>
        </is>
      </c>
      <c r="H887" s="12" t="inlineStr">
        <is>
          <t>Rajasthan</t>
        </is>
      </c>
      <c r="I887" s="12" t="inlineStr">
        <is>
          <t>Jaipur</t>
        </is>
      </c>
      <c r="J887" s="12" t="inlineStr">
        <is>
          <t>Furniture</t>
        </is>
      </c>
      <c r="K887" s="12" t="inlineStr">
        <is>
          <t>Tables</t>
        </is>
      </c>
      <c r="L887" s="12" t="inlineStr">
        <is>
          <t>Pro Tables 866</t>
        </is>
      </c>
      <c r="M887" s="12" t="inlineStr">
        <is>
          <t>Standard Class</t>
        </is>
      </c>
      <c r="N887" s="12" t="n">
        <v>1</v>
      </c>
      <c r="O887" s="12" t="n">
        <v>2167.08</v>
      </c>
      <c r="P887" s="12" t="n">
        <v>0.25</v>
      </c>
      <c r="Q887" s="12" t="n">
        <v>1625.31</v>
      </c>
      <c r="R887" s="12" t="n">
        <v>1157.89</v>
      </c>
      <c r="S887" s="12" t="n">
        <v>467.42</v>
      </c>
      <c r="T887" s="12" t="inlineStr">
        <is>
          <t>Paid</t>
        </is>
      </c>
      <c r="U887" s="12" t="inlineStr">
        <is>
          <t>Completed</t>
        </is>
      </c>
      <c r="V887">
        <f>IF(OR(P887="",P887&lt;0,P887&gt;0.5),0,P887)</f>
        <v/>
      </c>
      <c r="W887">
        <f>N887*O887*(1-V887)</f>
        <v/>
      </c>
      <c r="X887">
        <f>W887-R887</f>
        <v/>
      </c>
      <c r="Y887">
        <f>IF(W887=0,0,X887/W887)</f>
        <v/>
      </c>
      <c r="Z887">
        <f>C887-B887</f>
        <v/>
      </c>
      <c r="AA887">
        <f>TEXT(B887,"mmmm")</f>
        <v/>
      </c>
      <c r="AB887">
        <f>YEAR(B887)</f>
        <v/>
      </c>
      <c r="AC887">
        <f>IF(OR(P887&lt;0,P887&gt;0.5,C887&lt;B887),"INVALID","CLEAN")</f>
        <v/>
      </c>
    </row>
    <row r="888">
      <c r="A888" s="12" t="inlineStr">
        <is>
          <t>ORD-2025-10887</t>
        </is>
      </c>
      <c r="B888" s="12" t="inlineStr">
        <is>
          <t>26-04-2025</t>
        </is>
      </c>
      <c r="C888" s="12" t="inlineStr">
        <is>
          <t>03-05-2025</t>
        </is>
      </c>
      <c r="D888" s="12" t="inlineStr">
        <is>
          <t>CUST-3549</t>
        </is>
      </c>
      <c r="E888" s="12" t="inlineStr">
        <is>
          <t>Arjun Bose</t>
        </is>
      </c>
      <c r="F888" s="12" t="inlineStr">
        <is>
          <t>Home Office</t>
        </is>
      </c>
      <c r="G888" s="12" t="inlineStr">
        <is>
          <t>South</t>
        </is>
      </c>
      <c r="H888" s="12" t="inlineStr">
        <is>
          <t>Tamil Nadu</t>
        </is>
      </c>
      <c r="I888" s="12" t="inlineStr">
        <is>
          <t>Chennai</t>
        </is>
      </c>
      <c r="J888" s="12" t="inlineStr">
        <is>
          <t>Technology</t>
        </is>
      </c>
      <c r="K888" s="12" t="inlineStr">
        <is>
          <t>Accessories</t>
        </is>
      </c>
      <c r="L888" s="12" t="inlineStr">
        <is>
          <t>Max Accessories 541</t>
        </is>
      </c>
      <c r="M888" s="12" t="inlineStr">
        <is>
          <t>First Class</t>
        </is>
      </c>
      <c r="N888" s="12" t="n">
        <v>7</v>
      </c>
      <c r="O888" s="12" t="n">
        <v>3989.9</v>
      </c>
      <c r="P888" s="12" t="n">
        <v>0.15</v>
      </c>
      <c r="Q888" s="12" t="n">
        <v>23739.9</v>
      </c>
      <c r="R888" s="12" t="n">
        <v>17716.52</v>
      </c>
      <c r="S888" s="12" t="n">
        <v>6023.38</v>
      </c>
      <c r="T888" s="12" t="inlineStr">
        <is>
          <t>Paid</t>
        </is>
      </c>
      <c r="U888" s="12" t="inlineStr">
        <is>
          <t>Cancelled</t>
        </is>
      </c>
      <c r="V888">
        <f>IF(OR(P888="",P888&lt;0,P888&gt;0.5),0,P888)</f>
        <v/>
      </c>
      <c r="W888">
        <f>N888*O888*(1-V888)</f>
        <v/>
      </c>
      <c r="X888">
        <f>W888-R888</f>
        <v/>
      </c>
      <c r="Y888">
        <f>IF(W888=0,0,X888/W888)</f>
        <v/>
      </c>
      <c r="Z888">
        <f>C888-B888</f>
        <v/>
      </c>
      <c r="AA888">
        <f>TEXT(B888,"mmmm")</f>
        <v/>
      </c>
      <c r="AB888">
        <f>YEAR(B888)</f>
        <v/>
      </c>
      <c r="AC888">
        <f>IF(OR(P888&lt;0,P888&gt;0.5,C888&lt;B888),"INVALID","CLEAN")</f>
        <v/>
      </c>
    </row>
    <row r="889">
      <c r="A889" s="12" t="inlineStr">
        <is>
          <t>ORD-2024-10888</t>
        </is>
      </c>
      <c r="B889" s="12" t="inlineStr">
        <is>
          <t>2024-06-12</t>
        </is>
      </c>
      <c r="C889" s="12" t="inlineStr">
        <is>
          <t>2024-06-18</t>
        </is>
      </c>
      <c r="D889" s="12" t="inlineStr">
        <is>
          <t>CUST-2795</t>
        </is>
      </c>
      <c r="E889" s="12" t="inlineStr">
        <is>
          <t>Aarav Sharma</t>
        </is>
      </c>
      <c r="F889" s="12" t="inlineStr">
        <is>
          <t>Small Business</t>
        </is>
      </c>
      <c r="G889" s="12" t="inlineStr">
        <is>
          <t>South</t>
        </is>
      </c>
      <c r="H889" s="12" t="inlineStr">
        <is>
          <t>Andhra Pradesh</t>
        </is>
      </c>
      <c r="I889" s="12" t="inlineStr">
        <is>
          <t>Vijayawada</t>
        </is>
      </c>
      <c r="J889" s="12" t="inlineStr">
        <is>
          <t>Office Supplies</t>
        </is>
      </c>
      <c r="K889" s="12" t="inlineStr">
        <is>
          <t>Art</t>
        </is>
      </c>
      <c r="L889" s="12" t="inlineStr">
        <is>
          <t>Prime Art 596</t>
        </is>
      </c>
      <c r="M889" s="12" t="inlineStr">
        <is>
          <t>Standard Class</t>
        </is>
      </c>
      <c r="N889" s="12" t="n">
        <v>4</v>
      </c>
      <c r="O889" s="12" t="n">
        <v>4176.13</v>
      </c>
      <c r="P889" s="12" t="n">
        <v>0</v>
      </c>
      <c r="Q889" s="12" t="n">
        <v>16704.52</v>
      </c>
      <c r="R889" s="12" t="n">
        <v>10158.28</v>
      </c>
      <c r="S889" s="12" t="n">
        <v>6546.24</v>
      </c>
      <c r="T889" s="12" t="inlineStr">
        <is>
          <t>Paid</t>
        </is>
      </c>
      <c r="U889" s="12" t="inlineStr">
        <is>
          <t>Completed</t>
        </is>
      </c>
      <c r="V889">
        <f>IF(OR(P889="",P889&lt;0,P889&gt;0.5),0,P889)</f>
        <v/>
      </c>
      <c r="W889">
        <f>N889*O889*(1-V889)</f>
        <v/>
      </c>
      <c r="X889">
        <f>W889-R889</f>
        <v/>
      </c>
      <c r="Y889">
        <f>IF(W889=0,0,X889/W889)</f>
        <v/>
      </c>
      <c r="Z889">
        <f>C889-B889</f>
        <v/>
      </c>
      <c r="AA889">
        <f>TEXT(B889,"mmmm")</f>
        <v/>
      </c>
      <c r="AB889">
        <f>YEAR(B889)</f>
        <v/>
      </c>
      <c r="AC889">
        <f>IF(OR(P889&lt;0,P889&gt;0.5,C889&lt;B889),"INVALID","CLEAN")</f>
        <v/>
      </c>
    </row>
    <row r="890">
      <c r="A890" s="12" t="inlineStr">
        <is>
          <t>ORD-2025-10889</t>
        </is>
      </c>
      <c r="B890" s="12" t="inlineStr">
        <is>
          <t>06-08-2025</t>
        </is>
      </c>
      <c r="C890" s="12" t="inlineStr">
        <is>
          <t>07-08-2025</t>
        </is>
      </c>
      <c r="D890" s="12" t="inlineStr">
        <is>
          <t>CUST-1081</t>
        </is>
      </c>
      <c r="E890" s="12" t="inlineStr">
        <is>
          <t>Rahul Verma</t>
        </is>
      </c>
      <c r="F890" s="12" t="inlineStr">
        <is>
          <t>Small Business</t>
        </is>
      </c>
      <c r="G890" s="12" t="inlineStr">
        <is>
          <t>West</t>
        </is>
      </c>
      <c r="H890" s="12" t="inlineStr">
        <is>
          <t>Maharashtra</t>
        </is>
      </c>
      <c r="I890" s="12" t="inlineStr">
        <is>
          <t>Mumbai</t>
        </is>
      </c>
      <c r="J890" s="12" t="inlineStr">
        <is>
          <t>Office Supplies</t>
        </is>
      </c>
      <c r="K890" s="12" t="inlineStr">
        <is>
          <t>Art</t>
        </is>
      </c>
      <c r="L890" s="12" t="inlineStr">
        <is>
          <t>Pro Art 620</t>
        </is>
      </c>
      <c r="M890" s="12" t="inlineStr">
        <is>
          <t>Standard Class</t>
        </is>
      </c>
      <c r="N890" s="12" t="n">
        <v>4</v>
      </c>
      <c r="O890" s="12" t="n">
        <v>3523.64</v>
      </c>
      <c r="P890" s="12" t="n">
        <v>0.1</v>
      </c>
      <c r="Q890" s="12" t="n">
        <v>12685.1</v>
      </c>
      <c r="R890" s="12" t="n">
        <v>10779.56</v>
      </c>
      <c r="S890" s="12" t="n">
        <v>1905.54</v>
      </c>
      <c r="T890" s="12" t="inlineStr">
        <is>
          <t>Refunded</t>
        </is>
      </c>
      <c r="U890" s="12" t="inlineStr">
        <is>
          <t>Cancelled</t>
        </is>
      </c>
      <c r="V890">
        <f>IF(OR(P890="",P890&lt;0,P890&gt;0.5),0,P890)</f>
        <v/>
      </c>
      <c r="W890">
        <f>N890*O890*(1-V890)</f>
        <v/>
      </c>
      <c r="X890">
        <f>W890-R890</f>
        <v/>
      </c>
      <c r="Y890">
        <f>IF(W890=0,0,X890/W890)</f>
        <v/>
      </c>
      <c r="Z890">
        <f>C890-B890</f>
        <v/>
      </c>
      <c r="AA890">
        <f>TEXT(B890,"mmmm")</f>
        <v/>
      </c>
      <c r="AB890">
        <f>YEAR(B890)</f>
        <v/>
      </c>
      <c r="AC890">
        <f>IF(OR(P890&lt;0,P890&gt;0.5,C890&lt;B890),"INVALID","CLEAN")</f>
        <v/>
      </c>
    </row>
    <row r="891">
      <c r="A891" s="12" t="inlineStr">
        <is>
          <t>ORD-2025-10890</t>
        </is>
      </c>
      <c r="B891" s="12" t="inlineStr">
        <is>
          <t>10 Mar 2025</t>
        </is>
      </c>
      <c r="C891" s="12" t="inlineStr">
        <is>
          <t>03/11/2025</t>
        </is>
      </c>
      <c r="D891" s="12" t="inlineStr">
        <is>
          <t>CUST-8467</t>
        </is>
      </c>
      <c r="E891" s="12" t="inlineStr">
        <is>
          <t>Aditi Sen</t>
        </is>
      </c>
      <c r="F891" s="12" t="inlineStr">
        <is>
          <t>Home Office</t>
        </is>
      </c>
      <c r="G891" s="12" t="inlineStr">
        <is>
          <t>West</t>
        </is>
      </c>
      <c r="H891" s="12" t="inlineStr">
        <is>
          <t>Madhya Pradesh</t>
        </is>
      </c>
      <c r="I891" s="12" t="inlineStr">
        <is>
          <t>Indore</t>
        </is>
      </c>
      <c r="J891" s="12" t="inlineStr">
        <is>
          <t>Office Supplies</t>
        </is>
      </c>
      <c r="K891" s="12" t="inlineStr">
        <is>
          <t>Storage</t>
        </is>
      </c>
      <c r="L891" s="12" t="inlineStr">
        <is>
          <t>Prime Storage 806</t>
        </is>
      </c>
      <c r="M891" s="12" t="inlineStr">
        <is>
          <t>First Class</t>
        </is>
      </c>
      <c r="N891" s="12" t="n">
        <v>2</v>
      </c>
      <c r="O891" s="12" t="n">
        <v>3922.08</v>
      </c>
      <c r="P891" s="12" t="n">
        <v>0.25</v>
      </c>
      <c r="Q891" s="12" t="n">
        <v>5883.12</v>
      </c>
      <c r="R891" s="12" t="n">
        <v>4647.91</v>
      </c>
      <c r="S891" s="12" t="n">
        <v>1235.21</v>
      </c>
      <c r="T891" s="12" t="inlineStr">
        <is>
          <t>Paid</t>
        </is>
      </c>
      <c r="U891" s="12" t="inlineStr">
        <is>
          <t>Returned</t>
        </is>
      </c>
      <c r="V891">
        <f>IF(OR(P891="",P891&lt;0,P891&gt;0.5),0,P891)</f>
        <v/>
      </c>
      <c r="W891">
        <f>N891*O891*(1-V891)</f>
        <v/>
      </c>
      <c r="X891">
        <f>W891-R891</f>
        <v/>
      </c>
      <c r="Y891">
        <f>IF(W891=0,0,X891/W891)</f>
        <v/>
      </c>
      <c r="Z891">
        <f>C891-B891</f>
        <v/>
      </c>
      <c r="AA891">
        <f>TEXT(B891,"mmmm")</f>
        <v/>
      </c>
      <c r="AB891">
        <f>YEAR(B891)</f>
        <v/>
      </c>
      <c r="AC891">
        <f>IF(OR(P891&lt;0,P891&gt;0.5,C891&lt;B891),"INVALID","CLEAN")</f>
        <v/>
      </c>
    </row>
    <row r="892">
      <c r="A892" s="12" t="inlineStr">
        <is>
          <t>ORD-2024-10891</t>
        </is>
      </c>
      <c r="B892" s="12" t="inlineStr">
        <is>
          <t>15-05-2024</t>
        </is>
      </c>
      <c r="C892" s="12" t="inlineStr">
        <is>
          <t>21-05-2024</t>
        </is>
      </c>
      <c r="D892" s="12" t="inlineStr">
        <is>
          <t>CUST-3992</t>
        </is>
      </c>
      <c r="E892" s="12" t="inlineStr">
        <is>
          <t>Karan Malhotra</t>
        </is>
      </c>
      <c r="F892" s="12" t="inlineStr">
        <is>
          <t>Consumer</t>
        </is>
      </c>
      <c r="G892" s="12" t="inlineStr">
        <is>
          <t>West</t>
        </is>
      </c>
      <c r="H892" s="12" t="inlineStr">
        <is>
          <t>Goa</t>
        </is>
      </c>
      <c r="I892" s="12" t="inlineStr">
        <is>
          <t>Panaji</t>
        </is>
      </c>
      <c r="J892" s="12" t="inlineStr">
        <is>
          <t>Office Supplies</t>
        </is>
      </c>
      <c r="K892" s="12" t="inlineStr">
        <is>
          <t>Storage</t>
        </is>
      </c>
      <c r="L892" s="12" t="inlineStr">
        <is>
          <t>Smart Storage 288</t>
        </is>
      </c>
      <c r="M892" s="12" t="inlineStr">
        <is>
          <t>Standard Class</t>
        </is>
      </c>
      <c r="N892" s="12" t="n">
        <v>6</v>
      </c>
      <c r="O892" s="12" t="n">
        <v>2909.56</v>
      </c>
      <c r="P892" s="12" t="n">
        <v>0.2</v>
      </c>
      <c r="Q892" s="12" t="n">
        <v>13965.89</v>
      </c>
      <c r="R892" s="12" t="n">
        <v>11646.12</v>
      </c>
      <c r="S892" s="12" t="n">
        <v>2319.77</v>
      </c>
      <c r="T892" s="12" t="inlineStr">
        <is>
          <t>Paid</t>
        </is>
      </c>
      <c r="U892" s="12" t="inlineStr">
        <is>
          <t>Completed</t>
        </is>
      </c>
      <c r="V892">
        <f>IF(OR(P892="",P892&lt;0,P892&gt;0.5),0,P892)</f>
        <v/>
      </c>
      <c r="W892">
        <f>N892*O892*(1-V892)</f>
        <v/>
      </c>
      <c r="X892">
        <f>W892-R892</f>
        <v/>
      </c>
      <c r="Y892">
        <f>IF(W892=0,0,X892/W892)</f>
        <v/>
      </c>
      <c r="Z892">
        <f>C892-B892</f>
        <v/>
      </c>
      <c r="AA892">
        <f>TEXT(B892,"mmmm")</f>
        <v/>
      </c>
      <c r="AB892">
        <f>YEAR(B892)</f>
        <v/>
      </c>
      <c r="AC892">
        <f>IF(OR(P892&lt;0,P892&gt;0.5,C892&lt;B892),"INVALID","CLEAN")</f>
        <v/>
      </c>
    </row>
    <row r="893">
      <c r="A893" s="12" t="inlineStr">
        <is>
          <t>ORD-2024-10892</t>
        </is>
      </c>
      <c r="B893" s="12" t="inlineStr">
        <is>
          <t>08 Oct 2024</t>
        </is>
      </c>
      <c r="C893" s="12" t="inlineStr">
        <is>
          <t>09-10-2024</t>
        </is>
      </c>
      <c r="D893" s="12" t="inlineStr">
        <is>
          <t>CUST-6647</t>
        </is>
      </c>
      <c r="E893" s="12" t="inlineStr">
        <is>
          <t>Kabir Singh</t>
        </is>
      </c>
      <c r="F893" s="12" t="inlineStr">
        <is>
          <t>Corporate</t>
        </is>
      </c>
      <c r="G893" s="12" t="inlineStr">
        <is>
          <t>South</t>
        </is>
      </c>
      <c r="H893" s="12" t="inlineStr">
        <is>
          <t>Tamil Nadu</t>
        </is>
      </c>
      <c r="I893" s="12" t="inlineStr">
        <is>
          <t>Chennai</t>
        </is>
      </c>
      <c r="J893" s="12" t="inlineStr">
        <is>
          <t>Technology</t>
        </is>
      </c>
      <c r="K893" s="12" t="inlineStr">
        <is>
          <t>Machines</t>
        </is>
      </c>
      <c r="L893" s="12" t="inlineStr">
        <is>
          <t>Elite Machines 281</t>
        </is>
      </c>
      <c r="M893" s="12" t="inlineStr">
        <is>
          <t>Same Day</t>
        </is>
      </c>
      <c r="N893" s="12" t="n">
        <v>5</v>
      </c>
      <c r="O893" s="12" t="n">
        <v>2407.97</v>
      </c>
      <c r="P893" s="12" t="n">
        <v>0.1</v>
      </c>
      <c r="Q893" s="12" t="n">
        <v>10835.86</v>
      </c>
      <c r="R893" s="12" t="n">
        <v>6419.92</v>
      </c>
      <c r="S893" s="12" t="n">
        <v>4415.94</v>
      </c>
      <c r="T893" s="12" t="inlineStr">
        <is>
          <t>Failed</t>
        </is>
      </c>
      <c r="U893" s="12" t="inlineStr">
        <is>
          <t>Cancelled</t>
        </is>
      </c>
      <c r="V893">
        <f>IF(OR(P893="",P893&lt;0,P893&gt;0.5),0,P893)</f>
        <v/>
      </c>
      <c r="W893">
        <f>N893*O893*(1-V893)</f>
        <v/>
      </c>
      <c r="X893">
        <f>W893-R893</f>
        <v/>
      </c>
      <c r="Y893">
        <f>IF(W893=0,0,X893/W893)</f>
        <v/>
      </c>
      <c r="Z893">
        <f>C893-B893</f>
        <v/>
      </c>
      <c r="AA893">
        <f>TEXT(B893,"mmmm")</f>
        <v/>
      </c>
      <c r="AB893">
        <f>YEAR(B893)</f>
        <v/>
      </c>
      <c r="AC893">
        <f>IF(OR(P893&lt;0,P893&gt;0.5,C893&lt;B893),"INVALID","CLEAN")</f>
        <v/>
      </c>
    </row>
    <row r="894">
      <c r="A894" s="12" t="inlineStr">
        <is>
          <t>ORD-2025-10893</t>
        </is>
      </c>
      <c r="B894" s="12" t="inlineStr">
        <is>
          <t>04/12/2025</t>
        </is>
      </c>
      <c r="C894" s="12" t="inlineStr">
        <is>
          <t>04/18/2025</t>
        </is>
      </c>
      <c r="D894" s="12" t="inlineStr">
        <is>
          <t>CUST-5087</t>
        </is>
      </c>
      <c r="E894" s="12" t="inlineStr">
        <is>
          <t>Isha Nair</t>
        </is>
      </c>
      <c r="F894" s="12" t="inlineStr">
        <is>
          <t>Small Business</t>
        </is>
      </c>
      <c r="G894" s="12" t="inlineStr">
        <is>
          <t>East</t>
        </is>
      </c>
      <c r="H894" s="12" t="inlineStr">
        <is>
          <t>Jharkhand</t>
        </is>
      </c>
      <c r="I894" s="12" t="inlineStr">
        <is>
          <t>Ranchi</t>
        </is>
      </c>
      <c r="J894" s="12" t="inlineStr">
        <is>
          <t>Technology</t>
        </is>
      </c>
      <c r="K894" s="12" t="inlineStr">
        <is>
          <t>Copiers</t>
        </is>
      </c>
      <c r="L894" s="12" t="inlineStr">
        <is>
          <t>Elite Copiers 221</t>
        </is>
      </c>
      <c r="M894" s="12" t="inlineStr">
        <is>
          <t>Same Day</t>
        </is>
      </c>
      <c r="N894" s="12" t="n">
        <v>1</v>
      </c>
      <c r="O894" s="12" t="n">
        <v>726.89</v>
      </c>
      <c r="P894" s="12" t="n">
        <v>0.2</v>
      </c>
      <c r="Q894" s="12" t="n">
        <v>581.51</v>
      </c>
      <c r="R894" s="12" t="n">
        <v>423.86</v>
      </c>
      <c r="S894" s="12" t="n">
        <v>157.65</v>
      </c>
      <c r="T894" s="12" t="inlineStr">
        <is>
          <t>Paid</t>
        </is>
      </c>
      <c r="U894" s="12" t="inlineStr">
        <is>
          <t>Completed</t>
        </is>
      </c>
      <c r="V894">
        <f>IF(OR(P894="",P894&lt;0,P894&gt;0.5),0,P894)</f>
        <v/>
      </c>
      <c r="W894">
        <f>N894*O894*(1-V894)</f>
        <v/>
      </c>
      <c r="X894">
        <f>W894-R894</f>
        <v/>
      </c>
      <c r="Y894">
        <f>IF(W894=0,0,X894/W894)</f>
        <v/>
      </c>
      <c r="Z894">
        <f>C894-B894</f>
        <v/>
      </c>
      <c r="AA894">
        <f>TEXT(B894,"mmmm")</f>
        <v/>
      </c>
      <c r="AB894">
        <f>YEAR(B894)</f>
        <v/>
      </c>
      <c r="AC894">
        <f>IF(OR(P894&lt;0,P894&gt;0.5,C894&lt;B894),"INVALID","CLEAN")</f>
        <v/>
      </c>
    </row>
    <row r="895">
      <c r="A895" s="12" t="inlineStr">
        <is>
          <t>ORD-2024-10894</t>
        </is>
      </c>
      <c r="B895" s="12" t="inlineStr">
        <is>
          <t>06 Jun 2024</t>
        </is>
      </c>
      <c r="C895" s="12" t="inlineStr">
        <is>
          <t>08 Jun 2024</t>
        </is>
      </c>
      <c r="D895" s="12" t="inlineStr">
        <is>
          <t>CUST-9297</t>
        </is>
      </c>
      <c r="E895" s="12" t="inlineStr">
        <is>
          <t>Aarav Sharma</t>
        </is>
      </c>
      <c r="F895" s="12" t="inlineStr">
        <is>
          <t>Corporate</t>
        </is>
      </c>
      <c r="G895" s="12" t="inlineStr">
        <is>
          <t>South</t>
        </is>
      </c>
      <c r="H895" s="12" t="inlineStr">
        <is>
          <t>Karnataka</t>
        </is>
      </c>
      <c r="I895" s="12" t="inlineStr">
        <is>
          <t>Bengaluru</t>
        </is>
      </c>
      <c r="J895" s="12" t="inlineStr">
        <is>
          <t>Furniture</t>
        </is>
      </c>
      <c r="K895" s="12" t="inlineStr">
        <is>
          <t>Tables</t>
        </is>
      </c>
      <c r="L895" s="12" t="inlineStr">
        <is>
          <t>Max Tables 291</t>
        </is>
      </c>
      <c r="M895" s="12" t="inlineStr">
        <is>
          <t>Second Class</t>
        </is>
      </c>
      <c r="N895" s="12" t="n">
        <v>3</v>
      </c>
      <c r="O895" s="12" t="n">
        <v>395.49</v>
      </c>
      <c r="P895" s="12" t="n">
        <v>0.05</v>
      </c>
      <c r="Q895" s="12" t="n">
        <v>1127.15</v>
      </c>
      <c r="R895" s="12" t="n">
        <v>845.62</v>
      </c>
      <c r="S895" s="12" t="n">
        <v>281.53</v>
      </c>
      <c r="T895" s="12" t="inlineStr">
        <is>
          <t>Paid</t>
        </is>
      </c>
      <c r="U895" s="12" t="inlineStr">
        <is>
          <t>Returned</t>
        </is>
      </c>
      <c r="V895">
        <f>IF(OR(P895="",P895&lt;0,P895&gt;0.5),0,P895)</f>
        <v/>
      </c>
      <c r="W895">
        <f>N895*O895*(1-V895)</f>
        <v/>
      </c>
      <c r="X895">
        <f>W895-R895</f>
        <v/>
      </c>
      <c r="Y895">
        <f>IF(W895=0,0,X895/W895)</f>
        <v/>
      </c>
      <c r="Z895">
        <f>C895-B895</f>
        <v/>
      </c>
      <c r="AA895">
        <f>TEXT(B895,"mmmm")</f>
        <v/>
      </c>
      <c r="AB895">
        <f>YEAR(B895)</f>
        <v/>
      </c>
      <c r="AC895">
        <f>IF(OR(P895&lt;0,P895&gt;0.5,C895&lt;B895),"INVALID","CLEAN")</f>
        <v/>
      </c>
    </row>
    <row r="896">
      <c r="A896" s="12" t="inlineStr">
        <is>
          <t>ORD-2024-10895</t>
        </is>
      </c>
      <c r="B896" s="12" t="inlineStr">
        <is>
          <t>22 Feb 2024</t>
        </is>
      </c>
      <c r="C896" s="12" t="inlineStr">
        <is>
          <t>02/29/2024</t>
        </is>
      </c>
      <c r="D896" s="12" t="inlineStr">
        <is>
          <t>CUST-7996</t>
        </is>
      </c>
      <c r="E896" s="12" t="inlineStr">
        <is>
          <t>Isha Nair</t>
        </is>
      </c>
      <c r="F896" s="12" t="inlineStr">
        <is>
          <t>Home Office</t>
        </is>
      </c>
      <c r="G896" s="12" t="inlineStr">
        <is>
          <t>South</t>
        </is>
      </c>
      <c r="H896" s="12" t="inlineStr">
        <is>
          <t>Telangana</t>
        </is>
      </c>
      <c r="I896" s="12" t="inlineStr">
        <is>
          <t>Hyderabad</t>
        </is>
      </c>
      <c r="J896" s="12" t="inlineStr">
        <is>
          <t>Furniture</t>
        </is>
      </c>
      <c r="K896" s="12" t="inlineStr">
        <is>
          <t>Tables</t>
        </is>
      </c>
      <c r="L896" s="12" t="inlineStr">
        <is>
          <t>Classic Tables 638</t>
        </is>
      </c>
      <c r="M896" s="12" t="inlineStr">
        <is>
          <t>First Class</t>
        </is>
      </c>
      <c r="N896" s="12" t="n">
        <v>6</v>
      </c>
      <c r="O896" s="12" t="n">
        <v>4254.05</v>
      </c>
      <c r="P896" s="12" t="n">
        <v>0</v>
      </c>
      <c r="Q896" s="12" t="n">
        <v>25524.3</v>
      </c>
      <c r="R896" s="12" t="n">
        <v>16711.93</v>
      </c>
      <c r="S896" s="12" t="n">
        <v>8812.370000000001</v>
      </c>
      <c r="T896" s="12" t="inlineStr">
        <is>
          <t>Paid</t>
        </is>
      </c>
      <c r="U896" s="12" t="inlineStr">
        <is>
          <t>Completed</t>
        </is>
      </c>
      <c r="V896">
        <f>IF(OR(P896="",P896&lt;0,P896&gt;0.5),0,P896)</f>
        <v/>
      </c>
      <c r="W896">
        <f>N896*O896*(1-V896)</f>
        <v/>
      </c>
      <c r="X896">
        <f>W896-R896</f>
        <v/>
      </c>
      <c r="Y896">
        <f>IF(W896=0,0,X896/W896)</f>
        <v/>
      </c>
      <c r="Z896">
        <f>C896-B896</f>
        <v/>
      </c>
      <c r="AA896">
        <f>TEXT(B896,"mmmm")</f>
        <v/>
      </c>
      <c r="AB896">
        <f>YEAR(B896)</f>
        <v/>
      </c>
      <c r="AC896">
        <f>IF(OR(P896&lt;0,P896&gt;0.5,C896&lt;B896),"INVALID","CLEAN")</f>
        <v/>
      </c>
    </row>
    <row r="897">
      <c r="A897" s="12" t="inlineStr">
        <is>
          <t>ORD-2024-10896</t>
        </is>
      </c>
      <c r="B897" s="12" t="inlineStr">
        <is>
          <t>05 Nov 2024</t>
        </is>
      </c>
      <c r="C897" s="12" t="inlineStr">
        <is>
          <t>11/10/2024</t>
        </is>
      </c>
      <c r="D897" s="12" t="inlineStr">
        <is>
          <t>CUST-4117</t>
        </is>
      </c>
      <c r="E897" s="12" t="inlineStr">
        <is>
          <t>Arjun Bose</t>
        </is>
      </c>
      <c r="F897" s="12" t="inlineStr">
        <is>
          <t>Consumer</t>
        </is>
      </c>
      <c r="G897" s="12" t="inlineStr">
        <is>
          <t>South</t>
        </is>
      </c>
      <c r="H897" s="12" t="inlineStr">
        <is>
          <t>Kerala</t>
        </is>
      </c>
      <c r="I897" s="12" t="inlineStr">
        <is>
          <t>Kochi</t>
        </is>
      </c>
      <c r="J897" s="12" t="inlineStr">
        <is>
          <t>Furniture</t>
        </is>
      </c>
      <c r="K897" s="12" t="inlineStr">
        <is>
          <t>Chairs</t>
        </is>
      </c>
      <c r="L897" s="12" t="inlineStr">
        <is>
          <t>Basic Chairs 212</t>
        </is>
      </c>
      <c r="M897" s="12" t="inlineStr">
        <is>
          <t>Same Day</t>
        </is>
      </c>
      <c r="N897" s="12" t="n">
        <v>4</v>
      </c>
      <c r="O897" s="12" t="n">
        <v>711.1799999999999</v>
      </c>
      <c r="P897" s="12" t="n">
        <v>0.15</v>
      </c>
      <c r="Q897" s="12" t="n">
        <v>2418.01</v>
      </c>
      <c r="R897" s="12" t="n">
        <v>1441.89</v>
      </c>
      <c r="S897" s="12" t="n">
        <v>976.12</v>
      </c>
      <c r="T897" s="12" t="inlineStr">
        <is>
          <t>Pending</t>
        </is>
      </c>
      <c r="U897" s="12" t="inlineStr">
        <is>
          <t>Returned</t>
        </is>
      </c>
      <c r="V897">
        <f>IF(OR(P897="",P897&lt;0,P897&gt;0.5),0,P897)</f>
        <v/>
      </c>
      <c r="W897">
        <f>N897*O897*(1-V897)</f>
        <v/>
      </c>
      <c r="X897">
        <f>W897-R897</f>
        <v/>
      </c>
      <c r="Y897">
        <f>IF(W897=0,0,X897/W897)</f>
        <v/>
      </c>
      <c r="Z897">
        <f>C897-B897</f>
        <v/>
      </c>
      <c r="AA897">
        <f>TEXT(B897,"mmmm")</f>
        <v/>
      </c>
      <c r="AB897">
        <f>YEAR(B897)</f>
        <v/>
      </c>
      <c r="AC897">
        <f>IF(OR(P897&lt;0,P897&gt;0.5,C897&lt;B897),"INVALID","CLEAN")</f>
        <v/>
      </c>
    </row>
    <row r="898">
      <c r="A898" s="12" t="inlineStr">
        <is>
          <t>ORD-2024-10897</t>
        </is>
      </c>
      <c r="B898" s="12" t="inlineStr">
        <is>
          <t>12/24/2024</t>
        </is>
      </c>
      <c r="C898" s="12" t="inlineStr">
        <is>
          <t>25-12-2024</t>
        </is>
      </c>
      <c r="D898" s="12" t="inlineStr">
        <is>
          <t>CUST-4848</t>
        </is>
      </c>
      <c r="E898" s="12" t="inlineStr">
        <is>
          <t>Ananya Rao</t>
        </is>
      </c>
      <c r="F898" s="12" t="inlineStr">
        <is>
          <t>Small Business</t>
        </is>
      </c>
      <c r="G898" s="12" t="inlineStr">
        <is>
          <t>South</t>
        </is>
      </c>
      <c r="H898" s="12" t="inlineStr">
        <is>
          <t>Tamil Nadu</t>
        </is>
      </c>
      <c r="I898" s="12" t="inlineStr">
        <is>
          <t>Chennai</t>
        </is>
      </c>
      <c r="J898" s="12" t="inlineStr">
        <is>
          <t>Technology</t>
        </is>
      </c>
      <c r="K898" s="12" t="inlineStr">
        <is>
          <t>Copiers</t>
        </is>
      </c>
      <c r="L898" s="12" t="inlineStr">
        <is>
          <t>Max Copiers 121</t>
        </is>
      </c>
      <c r="M898" s="12" t="inlineStr">
        <is>
          <t>Second Class</t>
        </is>
      </c>
      <c r="N898" s="12" t="n">
        <v>1</v>
      </c>
      <c r="O898" s="12" t="n">
        <v>3693.03</v>
      </c>
      <c r="P898" s="12" t="n">
        <v>0.05</v>
      </c>
      <c r="Q898" s="12" t="n">
        <v>3508.38</v>
      </c>
      <c r="R898" s="12" t="n">
        <v>2828.06</v>
      </c>
      <c r="S898" s="12" t="n">
        <v>680.3200000000001</v>
      </c>
      <c r="T898" s="12" t="inlineStr">
        <is>
          <t>Failed</t>
        </is>
      </c>
      <c r="U898" s="12" t="inlineStr">
        <is>
          <t>Returned</t>
        </is>
      </c>
      <c r="V898">
        <f>IF(OR(P898="",P898&lt;0,P898&gt;0.5),0,P898)</f>
        <v/>
      </c>
      <c r="W898">
        <f>N898*O898*(1-V898)</f>
        <v/>
      </c>
      <c r="X898">
        <f>W898-R898</f>
        <v/>
      </c>
      <c r="Y898">
        <f>IF(W898=0,0,X898/W898)</f>
        <v/>
      </c>
      <c r="Z898">
        <f>C898-B898</f>
        <v/>
      </c>
      <c r="AA898">
        <f>TEXT(B898,"mmmm")</f>
        <v/>
      </c>
      <c r="AB898">
        <f>YEAR(B898)</f>
        <v/>
      </c>
      <c r="AC898">
        <f>IF(OR(P898&lt;0,P898&gt;0.5,C898&lt;B898),"INVALID","CLEAN")</f>
        <v/>
      </c>
    </row>
    <row r="899">
      <c r="A899" s="12" t="inlineStr">
        <is>
          <t>ORD-2025-10898</t>
        </is>
      </c>
      <c r="B899" s="12" t="inlineStr">
        <is>
          <t>04/29/2025</t>
        </is>
      </c>
      <c r="C899" s="12" t="inlineStr">
        <is>
          <t>03 May 2025</t>
        </is>
      </c>
      <c r="D899" s="12" t="inlineStr">
        <is>
          <t>CUST-2897</t>
        </is>
      </c>
      <c r="E899" s="12" t="inlineStr">
        <is>
          <t>Rohan Mehta</t>
        </is>
      </c>
      <c r="F899" s="12" t="inlineStr">
        <is>
          <t>Corporate</t>
        </is>
      </c>
      <c r="G899" s="12" t="inlineStr">
        <is>
          <t>North</t>
        </is>
      </c>
      <c r="H899" s="12" t="inlineStr">
        <is>
          <t>Haryana</t>
        </is>
      </c>
      <c r="I899" s="12" t="inlineStr">
        <is>
          <t>Gurugram</t>
        </is>
      </c>
      <c r="J899" s="12" t="inlineStr">
        <is>
          <t>Office Supplies</t>
        </is>
      </c>
      <c r="K899" s="12" t="inlineStr">
        <is>
          <t>Paper</t>
        </is>
      </c>
      <c r="L899" s="12" t="inlineStr">
        <is>
          <t>Eco Paper 747</t>
        </is>
      </c>
      <c r="M899" s="12" t="inlineStr">
        <is>
          <t>First Class</t>
        </is>
      </c>
      <c r="N899" s="12" t="n">
        <v>4</v>
      </c>
      <c r="O899" s="12" t="n">
        <v>1786.65</v>
      </c>
      <c r="P899" s="12" t="n">
        <v>0.05</v>
      </c>
      <c r="Q899" s="12" t="n">
        <v>6789.27</v>
      </c>
      <c r="R899" s="12" t="n">
        <v>5626.43</v>
      </c>
      <c r="S899" s="12" t="n">
        <v>1162.84</v>
      </c>
      <c r="T899" s="12" t="inlineStr">
        <is>
          <t>Paid</t>
        </is>
      </c>
      <c r="U899" s="12" t="inlineStr">
        <is>
          <t>Completed</t>
        </is>
      </c>
      <c r="V899">
        <f>IF(OR(P899="",P899&lt;0,P899&gt;0.5),0,P899)</f>
        <v/>
      </c>
      <c r="W899">
        <f>N899*O899*(1-V899)</f>
        <v/>
      </c>
      <c r="X899">
        <f>W899-R899</f>
        <v/>
      </c>
      <c r="Y899">
        <f>IF(W899=0,0,X899/W899)</f>
        <v/>
      </c>
      <c r="Z899">
        <f>C899-B899</f>
        <v/>
      </c>
      <c r="AA899">
        <f>TEXT(B899,"mmmm")</f>
        <v/>
      </c>
      <c r="AB899">
        <f>YEAR(B899)</f>
        <v/>
      </c>
      <c r="AC899">
        <f>IF(OR(P899&lt;0,P899&gt;0.5,C899&lt;B899),"INVALID","CLEAN")</f>
        <v/>
      </c>
    </row>
    <row r="900">
      <c r="A900" s="12" t="inlineStr">
        <is>
          <t>ORD-2024-10899</t>
        </is>
      </c>
      <c r="B900" s="12" t="inlineStr">
        <is>
          <t>2024-06-02</t>
        </is>
      </c>
      <c r="C900" s="12" t="inlineStr">
        <is>
          <t>06/08/2024</t>
        </is>
      </c>
      <c r="D900" s="12" t="inlineStr">
        <is>
          <t>CUST-6046</t>
        </is>
      </c>
      <c r="E900" s="12" t="inlineStr">
        <is>
          <t>Vikram Iyer</t>
        </is>
      </c>
      <c r="F900" s="12" t="inlineStr">
        <is>
          <t>Consumer</t>
        </is>
      </c>
      <c r="G900" s="12" t="inlineStr">
        <is>
          <t>North</t>
        </is>
      </c>
      <c r="H900" s="12" t="inlineStr">
        <is>
          <t>Delhi</t>
        </is>
      </c>
      <c r="I900" s="12" t="inlineStr">
        <is>
          <t>New Delhi</t>
        </is>
      </c>
      <c r="J900" s="12" t="inlineStr">
        <is>
          <t>Furniture</t>
        </is>
      </c>
      <c r="K900" s="12" t="inlineStr">
        <is>
          <t>Tables</t>
        </is>
      </c>
      <c r="L900" s="12" t="inlineStr">
        <is>
          <t>Classic Tables 535</t>
        </is>
      </c>
      <c r="M900" s="12" t="inlineStr">
        <is>
          <t>First Class</t>
        </is>
      </c>
      <c r="N900" s="12" t="n">
        <v>4</v>
      </c>
      <c r="O900" s="12" t="n">
        <v>1536.7</v>
      </c>
      <c r="P900" s="12" t="n">
        <v>0.2</v>
      </c>
      <c r="Q900" s="12" t="n">
        <v>4917.44</v>
      </c>
      <c r="R900" s="12" t="n">
        <v>3846.77</v>
      </c>
      <c r="S900" s="12" t="n">
        <v>1070.67</v>
      </c>
      <c r="T900" s="12" t="inlineStr">
        <is>
          <t>Paid</t>
        </is>
      </c>
      <c r="U900" s="12" t="inlineStr">
        <is>
          <t>Completed</t>
        </is>
      </c>
      <c r="V900">
        <f>IF(OR(P900="",P900&lt;0,P900&gt;0.5),0,P900)</f>
        <v/>
      </c>
      <c r="W900">
        <f>N900*O900*(1-V900)</f>
        <v/>
      </c>
      <c r="X900">
        <f>W900-R900</f>
        <v/>
      </c>
      <c r="Y900">
        <f>IF(W900=0,0,X900/W900)</f>
        <v/>
      </c>
      <c r="Z900">
        <f>C900-B900</f>
        <v/>
      </c>
      <c r="AA900">
        <f>TEXT(B900,"mmmm")</f>
        <v/>
      </c>
      <c r="AB900">
        <f>YEAR(B900)</f>
        <v/>
      </c>
      <c r="AC900">
        <f>IF(OR(P900&lt;0,P900&gt;0.5,C900&lt;B900),"INVALID","CLEAN")</f>
        <v/>
      </c>
    </row>
    <row r="901">
      <c r="A901" s="12" t="inlineStr">
        <is>
          <t>ORD-2025-10900</t>
        </is>
      </c>
      <c r="B901" s="12" t="inlineStr">
        <is>
          <t>27 May 2025</t>
        </is>
      </c>
      <c r="C901" s="12" t="inlineStr">
        <is>
          <t>06/03/2025</t>
        </is>
      </c>
      <c r="D901" s="12" t="inlineStr">
        <is>
          <t>CUST-3789</t>
        </is>
      </c>
      <c r="E901" s="12" t="inlineStr">
        <is>
          <t>Karan Malhotra</t>
        </is>
      </c>
      <c r="F901" s="12" t="inlineStr">
        <is>
          <t>Consumer</t>
        </is>
      </c>
      <c r="G901" s="12" t="inlineStr">
        <is>
          <t>North</t>
        </is>
      </c>
      <c r="H901" s="12" t="inlineStr">
        <is>
          <t>Punjab</t>
        </is>
      </c>
      <c r="I901" s="12" t="inlineStr">
        <is>
          <t>Ludhiana</t>
        </is>
      </c>
      <c r="J901" s="12" t="inlineStr">
        <is>
          <t>Furniture</t>
        </is>
      </c>
      <c r="K901" s="12" t="inlineStr">
        <is>
          <t>Chairs</t>
        </is>
      </c>
      <c r="L901" s="12" t="inlineStr">
        <is>
          <t>Elite Chairs 971</t>
        </is>
      </c>
      <c r="M901" s="12" t="inlineStr">
        <is>
          <t>First Class</t>
        </is>
      </c>
      <c r="N901" s="12" t="n">
        <v>5</v>
      </c>
      <c r="O901" s="12" t="n">
        <v>881.08</v>
      </c>
      <c r="P901" s="12" t="n">
        <v>0.25</v>
      </c>
      <c r="Q901" s="12" t="n">
        <v>3304.05</v>
      </c>
      <c r="R901" s="12" t="n">
        <v>2279.41</v>
      </c>
      <c r="S901" s="12" t="n">
        <v>1024.64</v>
      </c>
      <c r="T901" s="12" t="inlineStr">
        <is>
          <t>Failed</t>
        </is>
      </c>
      <c r="U901" s="12" t="inlineStr">
        <is>
          <t>Cancelled</t>
        </is>
      </c>
      <c r="V901">
        <f>IF(OR(P901="",P901&lt;0,P901&gt;0.5),0,P901)</f>
        <v/>
      </c>
      <c r="W901">
        <f>N901*O901*(1-V901)</f>
        <v/>
      </c>
      <c r="X901">
        <f>W901-R901</f>
        <v/>
      </c>
      <c r="Y901">
        <f>IF(W901=0,0,X901/W901)</f>
        <v/>
      </c>
      <c r="Z901">
        <f>C901-B901</f>
        <v/>
      </c>
      <c r="AA901">
        <f>TEXT(B901,"mmmm")</f>
        <v/>
      </c>
      <c r="AB901">
        <f>YEAR(B901)</f>
        <v/>
      </c>
      <c r="AC901">
        <f>IF(OR(P901&lt;0,P901&gt;0.5,C901&lt;B901),"INVALID","CLEAN")</f>
        <v/>
      </c>
    </row>
    <row r="902">
      <c r="A902" s="12" t="inlineStr">
        <is>
          <t>ORD-2024-10503</t>
        </is>
      </c>
      <c r="B902" s="12" t="inlineStr">
        <is>
          <t>04/01/2024</t>
        </is>
      </c>
      <c r="C902" s="12" t="inlineStr">
        <is>
          <t>2024-04-09</t>
        </is>
      </c>
      <c r="D902" s="12" t="inlineStr">
        <is>
          <t>CUST-1534</t>
        </is>
      </c>
      <c r="E902" s="12" t="inlineStr">
        <is>
          <t>Priya Menon</t>
        </is>
      </c>
      <c r="F902" s="12" t="inlineStr">
        <is>
          <t>Small Business</t>
        </is>
      </c>
      <c r="G902" s="12" t="inlineStr">
        <is>
          <t xml:space="preserve">  East </t>
        </is>
      </c>
      <c r="H902" s="12" t="inlineStr">
        <is>
          <t>Odisha</t>
        </is>
      </c>
      <c r="I902" s="12" t="inlineStr">
        <is>
          <t>Bhubaneswar</t>
        </is>
      </c>
      <c r="J902" s="12" t="inlineStr">
        <is>
          <t>Technology</t>
        </is>
      </c>
      <c r="K902" s="12" t="inlineStr">
        <is>
          <t>Copiers</t>
        </is>
      </c>
      <c r="L902" s="12" t="inlineStr">
        <is>
          <t>Prime Copiers 557</t>
        </is>
      </c>
      <c r="M902" s="12" t="inlineStr">
        <is>
          <t>Second Class</t>
        </is>
      </c>
      <c r="N902" s="12" t="n">
        <v>6</v>
      </c>
      <c r="O902" s="12" t="n">
        <v>826.9299999999999</v>
      </c>
      <c r="P902" s="12" t="n">
        <v>0.1</v>
      </c>
      <c r="Q902" s="12" t="n">
        <v>4465.42</v>
      </c>
      <c r="R902" s="12" t="n">
        <v>3377.1</v>
      </c>
      <c r="S902" s="12" t="n">
        <v>1088.32</v>
      </c>
      <c r="T902" s="12" t="inlineStr">
        <is>
          <t>Paid</t>
        </is>
      </c>
      <c r="U902" s="12" t="inlineStr">
        <is>
          <t>Completed</t>
        </is>
      </c>
      <c r="V902">
        <f>IF(OR(P902="",P902&lt;0,P902&gt;0.5),0,P902)</f>
        <v/>
      </c>
      <c r="W902">
        <f>N902*O902*(1-V902)</f>
        <v/>
      </c>
      <c r="X902">
        <f>W902-R902</f>
        <v/>
      </c>
      <c r="Y902">
        <f>IF(W902=0,0,X902/W902)</f>
        <v/>
      </c>
      <c r="Z902">
        <f>C902-B902</f>
        <v/>
      </c>
      <c r="AA902">
        <f>TEXT(B902,"mmmm")</f>
        <v/>
      </c>
      <c r="AB902">
        <f>YEAR(B902)</f>
        <v/>
      </c>
      <c r="AC902">
        <f>IF(OR(P902&lt;0,P902&gt;0.5,C902&lt;B902),"INVALID","CLEAN")</f>
        <v/>
      </c>
    </row>
    <row r="903">
      <c r="A903" s="12" t="inlineStr">
        <is>
          <t>ORD-2024-10599</t>
        </is>
      </c>
      <c r="B903" s="12" t="inlineStr">
        <is>
          <t>08/17/2024</t>
        </is>
      </c>
      <c r="C903" s="12" t="inlineStr">
        <is>
          <t>08/24/2024</t>
        </is>
      </c>
      <c r="D903" s="12" t="inlineStr">
        <is>
          <t>CUST-8498</t>
        </is>
      </c>
      <c r="E903" s="12" t="inlineStr">
        <is>
          <t>Ananya Rao</t>
        </is>
      </c>
      <c r="F903" s="12" t="inlineStr">
        <is>
          <t>Corporate</t>
        </is>
      </c>
      <c r="G903" s="12" t="inlineStr">
        <is>
          <t>East</t>
        </is>
      </c>
      <c r="H903" s="12" t="inlineStr">
        <is>
          <t>West Bengal</t>
        </is>
      </c>
      <c r="I903" s="12" t="inlineStr">
        <is>
          <t>Kolkata</t>
        </is>
      </c>
      <c r="J903" s="12" t="inlineStr">
        <is>
          <t>Technology</t>
        </is>
      </c>
      <c r="K903" s="12" t="inlineStr">
        <is>
          <t>Copiers</t>
        </is>
      </c>
      <c r="L903" s="12" t="inlineStr">
        <is>
          <t>Eco Copiers 268</t>
        </is>
      </c>
      <c r="M903" s="12" t="inlineStr">
        <is>
          <t>Same Day</t>
        </is>
      </c>
      <c r="N903" s="12" t="n">
        <v>3</v>
      </c>
      <c r="O903" s="12" t="n">
        <v>1490.69</v>
      </c>
      <c r="P903" s="12" t="n">
        <v>0.25</v>
      </c>
      <c r="Q903" s="12" t="n">
        <v>3354.05</v>
      </c>
      <c r="R903" s="12" t="n">
        <v>2672.67</v>
      </c>
      <c r="S903" s="12" t="n">
        <v>681.38</v>
      </c>
      <c r="T903" s="12" t="inlineStr">
        <is>
          <t>Paid</t>
        </is>
      </c>
      <c r="U903" s="12" t="inlineStr">
        <is>
          <t>Completed</t>
        </is>
      </c>
      <c r="V903">
        <f>IF(OR(P903="",P903&lt;0,P903&gt;0.5),0,P903)</f>
        <v/>
      </c>
      <c r="W903">
        <f>N903*O903*(1-V903)</f>
        <v/>
      </c>
      <c r="X903">
        <f>W903-R903</f>
        <v/>
      </c>
      <c r="Y903">
        <f>IF(W903=0,0,X903/W903)</f>
        <v/>
      </c>
      <c r="Z903">
        <f>C903-B903</f>
        <v/>
      </c>
      <c r="AA903">
        <f>TEXT(B903,"mmmm")</f>
        <v/>
      </c>
      <c r="AB903">
        <f>YEAR(B903)</f>
        <v/>
      </c>
      <c r="AC903">
        <f>IF(OR(P903&lt;0,P903&gt;0.5,C903&lt;B903),"INVALID","CLEAN")</f>
        <v/>
      </c>
    </row>
    <row r="904">
      <c r="A904" s="12" t="inlineStr">
        <is>
          <t>ORD-2025-10695</t>
        </is>
      </c>
      <c r="B904" s="12" t="inlineStr">
        <is>
          <t>01-08-2025</t>
        </is>
      </c>
      <c r="C904" s="12" t="inlineStr">
        <is>
          <t>09-08-2025</t>
        </is>
      </c>
      <c r="D904" s="12" t="inlineStr">
        <is>
          <t>CUST-8025</t>
        </is>
      </c>
      <c r="E904" s="12" t="inlineStr">
        <is>
          <t>Isha Nair</t>
        </is>
      </c>
      <c r="F904" s="12" t="inlineStr">
        <is>
          <t>Consumer</t>
        </is>
      </c>
      <c r="G904" s="12" t="inlineStr">
        <is>
          <t>South</t>
        </is>
      </c>
      <c r="H904" s="12" t="inlineStr">
        <is>
          <t>Andhra Pradesh</t>
        </is>
      </c>
      <c r="I904" s="12" t="inlineStr">
        <is>
          <t>Vijayawada</t>
        </is>
      </c>
      <c r="J904" s="12" t="inlineStr">
        <is>
          <t>Office Supplies</t>
        </is>
      </c>
      <c r="K904" s="12" t="inlineStr">
        <is>
          <t>Storage</t>
        </is>
      </c>
      <c r="L904" s="12" t="inlineStr">
        <is>
          <t>Classic Storage 291</t>
        </is>
      </c>
      <c r="M904" s="12" t="inlineStr">
        <is>
          <t>First Class</t>
        </is>
      </c>
      <c r="N904" s="12" t="n">
        <v>5</v>
      </c>
      <c r="O904" s="12" t="n">
        <v>2736.24</v>
      </c>
      <c r="P904" s="12" t="n">
        <v>0.15</v>
      </c>
      <c r="Q904" s="12" t="n">
        <v>11629.02</v>
      </c>
      <c r="R904" s="12" t="n">
        <v>9627.209999999999</v>
      </c>
      <c r="S904" s="12" t="n">
        <v>2001.81</v>
      </c>
      <c r="T904" s="12" t="inlineStr">
        <is>
          <t>Paid</t>
        </is>
      </c>
      <c r="U904" s="12" t="inlineStr">
        <is>
          <t>Completed</t>
        </is>
      </c>
      <c r="V904">
        <f>IF(OR(P904="",P904&lt;0,P904&gt;0.5),0,P904)</f>
        <v/>
      </c>
      <c r="W904">
        <f>N904*O904*(1-V904)</f>
        <v/>
      </c>
      <c r="X904">
        <f>W904-R904</f>
        <v/>
      </c>
      <c r="Y904">
        <f>IF(W904=0,0,X904/W904)</f>
        <v/>
      </c>
      <c r="Z904">
        <f>C904-B904</f>
        <v/>
      </c>
      <c r="AA904">
        <f>TEXT(B904,"mmmm")</f>
        <v/>
      </c>
      <c r="AB904">
        <f>YEAR(B904)</f>
        <v/>
      </c>
      <c r="AC904">
        <f>IF(OR(P904&lt;0,P904&gt;0.5,C904&lt;B904),"INVALID","CLEAN")</f>
        <v/>
      </c>
    </row>
    <row r="905">
      <c r="A905" s="12" t="inlineStr">
        <is>
          <t>ORD-2024-10705</t>
        </is>
      </c>
      <c r="B905" s="12" t="inlineStr">
        <is>
          <t>2024-03-13</t>
        </is>
      </c>
      <c r="C905" s="12" t="inlineStr">
        <is>
          <t>03/20/2024</t>
        </is>
      </c>
      <c r="D905" s="12" t="inlineStr">
        <is>
          <t>CUST-4916</t>
        </is>
      </c>
      <c r="E905" s="12" t="inlineStr">
        <is>
          <t>Priya Menon</t>
        </is>
      </c>
      <c r="F905" s="12" t="inlineStr">
        <is>
          <t>Home Office</t>
        </is>
      </c>
      <c r="G905" s="12" t="inlineStr">
        <is>
          <t>South</t>
        </is>
      </c>
      <c r="H905" s="12" t="inlineStr">
        <is>
          <t>Tamil Nadu</t>
        </is>
      </c>
      <c r="I905" s="12" t="inlineStr">
        <is>
          <t>Chennai</t>
        </is>
      </c>
      <c r="J905" s="12" t="inlineStr">
        <is>
          <t>Furniture</t>
        </is>
      </c>
      <c r="K905" s="12" t="inlineStr">
        <is>
          <t>Bookcases</t>
        </is>
      </c>
      <c r="L905" s="12" t="inlineStr">
        <is>
          <t>Max Bookcases 738</t>
        </is>
      </c>
      <c r="M905" s="12" t="n"/>
      <c r="N905" s="12" t="n">
        <v>1</v>
      </c>
      <c r="O905" s="12" t="n">
        <v>2825.63</v>
      </c>
      <c r="P905" s="12" t="n">
        <v>0.15</v>
      </c>
      <c r="Q905" s="12" t="n">
        <v>2401.79</v>
      </c>
      <c r="R905" s="12" t="n">
        <v>1820.34</v>
      </c>
      <c r="S905" s="12" t="n">
        <v>581.45</v>
      </c>
      <c r="T905" s="12" t="inlineStr">
        <is>
          <t>Paid</t>
        </is>
      </c>
      <c r="U905" s="12" t="inlineStr">
        <is>
          <t>Completed</t>
        </is>
      </c>
      <c r="V905">
        <f>IF(OR(P905="",P905&lt;0,P905&gt;0.5),0,P905)</f>
        <v/>
      </c>
      <c r="W905">
        <f>N905*O905*(1-V905)</f>
        <v/>
      </c>
      <c r="X905">
        <f>W905-R905</f>
        <v/>
      </c>
      <c r="Y905">
        <f>IF(W905=0,0,X905/W905)</f>
        <v/>
      </c>
      <c r="Z905">
        <f>C905-B905</f>
        <v/>
      </c>
      <c r="AA905">
        <f>TEXT(B905,"mmmm")</f>
        <v/>
      </c>
      <c r="AB905">
        <f>YEAR(B905)</f>
        <v/>
      </c>
      <c r="AC905">
        <f>IF(OR(P905&lt;0,P905&gt;0.5,C905&lt;B905),"INVALID","CLEAN")</f>
        <v/>
      </c>
    </row>
    <row r="906">
      <c r="A906" s="12" t="inlineStr">
        <is>
          <t>ORD-2024-10277</t>
        </is>
      </c>
      <c r="B906" s="12" t="inlineStr">
        <is>
          <t>22-01-2024</t>
        </is>
      </c>
      <c r="C906" s="12" t="inlineStr">
        <is>
          <t>23-01-2024</t>
        </is>
      </c>
      <c r="D906" s="12" t="inlineStr">
        <is>
          <t>CUST-7039</t>
        </is>
      </c>
      <c r="E906" s="12" t="inlineStr">
        <is>
          <t>Aarav Sharma</t>
        </is>
      </c>
      <c r="F906" s="12" t="inlineStr">
        <is>
          <t>Small Business</t>
        </is>
      </c>
      <c r="G906" s="12" t="n"/>
      <c r="H906" s="12" t="inlineStr">
        <is>
          <t>Assam</t>
        </is>
      </c>
      <c r="I906" s="12" t="inlineStr">
        <is>
          <t>Guwahati</t>
        </is>
      </c>
      <c r="J906" s="12" t="inlineStr">
        <is>
          <t>Furniture</t>
        </is>
      </c>
      <c r="K906" s="12" t="inlineStr">
        <is>
          <t>Chairs</t>
        </is>
      </c>
      <c r="L906" s="12" t="inlineStr">
        <is>
          <t>Basic Chairs 141</t>
        </is>
      </c>
      <c r="M906" s="12" t="inlineStr">
        <is>
          <t>Second Class</t>
        </is>
      </c>
      <c r="N906" s="12" t="n">
        <v>6</v>
      </c>
      <c r="O906" s="12" t="n">
        <v>3391.53</v>
      </c>
      <c r="P906" s="12" t="n">
        <v>-0.14</v>
      </c>
      <c r="Q906" s="12" t="n">
        <v>15261.89</v>
      </c>
      <c r="R906" s="12" t="n">
        <v>8413.530000000001</v>
      </c>
      <c r="S906" s="12" t="n">
        <v>6848.36</v>
      </c>
      <c r="T906" s="12" t="inlineStr">
        <is>
          <t>Paid</t>
        </is>
      </c>
      <c r="U906" s="12" t="inlineStr">
        <is>
          <t>Completed</t>
        </is>
      </c>
      <c r="V906">
        <f>IF(OR(P906="",P906&lt;0,P906&gt;0.5),0,P906)</f>
        <v/>
      </c>
      <c r="W906">
        <f>N906*O906*(1-V906)</f>
        <v/>
      </c>
      <c r="X906">
        <f>W906-R906</f>
        <v/>
      </c>
      <c r="Y906">
        <f>IF(W906=0,0,X906/W906)</f>
        <v/>
      </c>
      <c r="Z906">
        <f>C906-B906</f>
        <v/>
      </c>
      <c r="AA906">
        <f>TEXT(B906,"mmmm")</f>
        <v/>
      </c>
      <c r="AB906">
        <f>YEAR(B906)</f>
        <v/>
      </c>
      <c r="AC906">
        <f>IF(OR(P906&lt;0,P906&gt;0.5,C906&lt;B906),"INVALID","CLEAN")</f>
        <v/>
      </c>
    </row>
    <row r="907">
      <c r="A907" s="12" t="inlineStr">
        <is>
          <t>ORD-2025-10633</t>
        </is>
      </c>
      <c r="B907" s="12" t="inlineStr">
        <is>
          <t>15-04-2025</t>
        </is>
      </c>
      <c r="C907" s="12" t="inlineStr">
        <is>
          <t>16-04-2025</t>
        </is>
      </c>
      <c r="D907" s="12" t="inlineStr">
        <is>
          <t>CUST-4593</t>
        </is>
      </c>
      <c r="E907" s="12" t="inlineStr">
        <is>
          <t>Sneha Kapoor</t>
        </is>
      </c>
      <c r="F907" s="12" t="inlineStr">
        <is>
          <t>Small Business</t>
        </is>
      </c>
      <c r="G907" s="12" t="inlineStr">
        <is>
          <t>South</t>
        </is>
      </c>
      <c r="H907" s="12" t="inlineStr">
        <is>
          <t>Karnataka</t>
        </is>
      </c>
      <c r="I907" s="12" t="inlineStr">
        <is>
          <t>Bengaluru</t>
        </is>
      </c>
      <c r="J907" s="12" t="inlineStr">
        <is>
          <t>Furniture</t>
        </is>
      </c>
      <c r="K907" s="12" t="inlineStr">
        <is>
          <t>Furnishings</t>
        </is>
      </c>
      <c r="L907" s="12" t="inlineStr">
        <is>
          <t>Smart Furnishings 721</t>
        </is>
      </c>
      <c r="M907" s="12" t="inlineStr">
        <is>
          <t>First Class</t>
        </is>
      </c>
      <c r="N907" s="12" t="n">
        <v>5</v>
      </c>
      <c r="O907" s="12" t="n">
        <v>2850.53</v>
      </c>
      <c r="P907" s="12" t="n">
        <v>0</v>
      </c>
      <c r="Q907" s="12" t="n">
        <v>14252.65</v>
      </c>
      <c r="R907" s="12" t="n">
        <v>11558.31</v>
      </c>
      <c r="S907" s="12" t="n">
        <v>2694.34</v>
      </c>
      <c r="T907" s="12" t="inlineStr">
        <is>
          <t>Paid</t>
        </is>
      </c>
      <c r="U907" s="12" t="inlineStr">
        <is>
          <t>Completed</t>
        </is>
      </c>
      <c r="V907">
        <f>IF(OR(P907="",P907&lt;0,P907&gt;0.5),0,P907)</f>
        <v/>
      </c>
      <c r="W907">
        <f>N907*O907*(1-V907)</f>
        <v/>
      </c>
      <c r="X907">
        <f>W907-R907</f>
        <v/>
      </c>
      <c r="Y907">
        <f>IF(W907=0,0,X907/W907)</f>
        <v/>
      </c>
      <c r="Z907">
        <f>C907-B907</f>
        <v/>
      </c>
      <c r="AA907">
        <f>TEXT(B907,"mmmm")</f>
        <v/>
      </c>
      <c r="AB907">
        <f>YEAR(B907)</f>
        <v/>
      </c>
      <c r="AC907">
        <f>IF(OR(P907&lt;0,P907&gt;0.5,C907&lt;B907),"INVALID","CLEAN")</f>
        <v/>
      </c>
    </row>
    <row r="908">
      <c r="A908" s="12" t="inlineStr">
        <is>
          <t>ORD-2025-10730</t>
        </is>
      </c>
      <c r="B908" s="12" t="inlineStr">
        <is>
          <t>17-05-2025</t>
        </is>
      </c>
      <c r="C908" s="12" t="inlineStr">
        <is>
          <t>25 May 2025</t>
        </is>
      </c>
      <c r="D908" s="12" t="inlineStr">
        <is>
          <t>CUST-8713</t>
        </is>
      </c>
      <c r="E908" s="12" t="inlineStr">
        <is>
          <t>Ananya Rao</t>
        </is>
      </c>
      <c r="F908" s="12" t="inlineStr">
        <is>
          <t>Corporate</t>
        </is>
      </c>
      <c r="G908" s="12" t="inlineStr">
        <is>
          <t>South</t>
        </is>
      </c>
      <c r="H908" s="12" t="inlineStr">
        <is>
          <t>Tamil Nadu</t>
        </is>
      </c>
      <c r="I908" s="12" t="inlineStr">
        <is>
          <t>Chennai</t>
        </is>
      </c>
      <c r="J908" s="12" t="inlineStr">
        <is>
          <t>Technology</t>
        </is>
      </c>
      <c r="K908" s="12" t="inlineStr">
        <is>
          <t>Machines</t>
        </is>
      </c>
      <c r="L908" s="12" t="inlineStr">
        <is>
          <t>Pro Machines 563</t>
        </is>
      </c>
      <c r="M908" s="12" t="inlineStr">
        <is>
          <t>Same Day</t>
        </is>
      </c>
      <c r="N908" s="12" t="n">
        <v>6</v>
      </c>
      <c r="O908" s="12" t="n">
        <v>1810.63</v>
      </c>
      <c r="P908" s="12" t="n">
        <v>0.15</v>
      </c>
      <c r="Q908" s="12" t="n">
        <v>9234.209999999999</v>
      </c>
      <c r="R908" s="12" t="n">
        <v>5516.52</v>
      </c>
      <c r="S908" s="12" t="n">
        <v>3717.69</v>
      </c>
      <c r="T908" s="12" t="inlineStr">
        <is>
          <t>Paid</t>
        </is>
      </c>
      <c r="U908" s="12" t="inlineStr">
        <is>
          <t>Completed</t>
        </is>
      </c>
      <c r="V908">
        <f>IF(OR(P908="",P908&lt;0,P908&gt;0.5),0,P908)</f>
        <v/>
      </c>
      <c r="W908">
        <f>N908*O908*(1-V908)</f>
        <v/>
      </c>
      <c r="X908">
        <f>W908-R908</f>
        <v/>
      </c>
      <c r="Y908">
        <f>IF(W908=0,0,X908/W908)</f>
        <v/>
      </c>
      <c r="Z908">
        <f>C908-B908</f>
        <v/>
      </c>
      <c r="AA908">
        <f>TEXT(B908,"mmmm")</f>
        <v/>
      </c>
      <c r="AB908">
        <f>YEAR(B908)</f>
        <v/>
      </c>
      <c r="AC908">
        <f>IF(OR(P908&lt;0,P908&gt;0.5,C908&lt;B908),"INVALID","CLEAN")</f>
        <v/>
      </c>
    </row>
    <row r="909">
      <c r="A909" s="12" t="inlineStr">
        <is>
          <t>ORD-2024-10134</t>
        </is>
      </c>
      <c r="B909" s="12" t="inlineStr">
        <is>
          <t>2024-12-13</t>
        </is>
      </c>
      <c r="C909" s="12" t="inlineStr">
        <is>
          <t>12/18/2024</t>
        </is>
      </c>
      <c r="D909" s="12" t="inlineStr">
        <is>
          <t>CUST-9441</t>
        </is>
      </c>
      <c r="E909" s="12" t="inlineStr">
        <is>
          <t>Karan Malhotra</t>
        </is>
      </c>
      <c r="F909" s="12" t="inlineStr">
        <is>
          <t>Consumer</t>
        </is>
      </c>
      <c r="G909" s="12" t="inlineStr">
        <is>
          <t>West</t>
        </is>
      </c>
      <c r="H909" s="12" t="inlineStr">
        <is>
          <t>Goa</t>
        </is>
      </c>
      <c r="I909" s="12" t="inlineStr">
        <is>
          <t>Panaji</t>
        </is>
      </c>
      <c r="J909" s="12" t="inlineStr">
        <is>
          <t>Technology</t>
        </is>
      </c>
      <c r="K909" s="12" t="inlineStr">
        <is>
          <t>Phones</t>
        </is>
      </c>
      <c r="L909" s="12" t="inlineStr">
        <is>
          <t>Prime Phones 419</t>
        </is>
      </c>
      <c r="M909" s="12" t="inlineStr">
        <is>
          <t>Second Class</t>
        </is>
      </c>
      <c r="N909" s="12" t="n">
        <v>8</v>
      </c>
      <c r="O909" s="12" t="n">
        <v>3372.15</v>
      </c>
      <c r="P909" s="12" t="n">
        <v>0.15</v>
      </c>
      <c r="Q909" s="12" t="n">
        <v>22930.62</v>
      </c>
      <c r="R909" s="12" t="n">
        <v>16875.55</v>
      </c>
      <c r="S909" s="12" t="n">
        <v>6055.07</v>
      </c>
      <c r="T909" s="12" t="inlineStr">
        <is>
          <t>Paid</t>
        </is>
      </c>
      <c r="U909" s="12" t="inlineStr">
        <is>
          <t>Completed</t>
        </is>
      </c>
      <c r="V909">
        <f>IF(OR(P909="",P909&lt;0,P909&gt;0.5),0,P909)</f>
        <v/>
      </c>
      <c r="W909">
        <f>N909*O909*(1-V909)</f>
        <v/>
      </c>
      <c r="X909">
        <f>W909-R909</f>
        <v/>
      </c>
      <c r="Y909">
        <f>IF(W909=0,0,X909/W909)</f>
        <v/>
      </c>
      <c r="Z909">
        <f>C909-B909</f>
        <v/>
      </c>
      <c r="AA909">
        <f>TEXT(B909,"mmmm")</f>
        <v/>
      </c>
      <c r="AB909">
        <f>YEAR(B909)</f>
        <v/>
      </c>
      <c r="AC909">
        <f>IF(OR(P909&lt;0,P909&gt;0.5,C909&lt;B909),"INVALID","CLEAN")</f>
        <v/>
      </c>
    </row>
    <row r="910">
      <c r="A910" s="12" t="inlineStr">
        <is>
          <t>ORD-2025-10720</t>
        </is>
      </c>
      <c r="B910" s="12" t="inlineStr">
        <is>
          <t>08 Sep 2025</t>
        </is>
      </c>
      <c r="C910" s="12" t="inlineStr">
        <is>
          <t>2025-09-09</t>
        </is>
      </c>
      <c r="D910" s="12" t="inlineStr">
        <is>
          <t>CUST-3190</t>
        </is>
      </c>
      <c r="E910" s="12" t="inlineStr">
        <is>
          <t>Kabir Singh</t>
        </is>
      </c>
      <c r="F910" s="12" t="inlineStr">
        <is>
          <t>Corporate</t>
        </is>
      </c>
      <c r="G910" s="12" t="inlineStr">
        <is>
          <t>West</t>
        </is>
      </c>
      <c r="H910" s="12" t="inlineStr">
        <is>
          <t>Gujarat</t>
        </is>
      </c>
      <c r="I910" s="12" t="inlineStr">
        <is>
          <t>Ahmedabad</t>
        </is>
      </c>
      <c r="J910" s="12" t="inlineStr">
        <is>
          <t>Office Supplies</t>
        </is>
      </c>
      <c r="K910" s="12" t="inlineStr">
        <is>
          <t>Art</t>
        </is>
      </c>
      <c r="L910" s="12" t="inlineStr">
        <is>
          <t>Pro Art 447</t>
        </is>
      </c>
      <c r="M910" s="12" t="inlineStr">
        <is>
          <t>Same Day</t>
        </is>
      </c>
      <c r="N910" s="12" t="n">
        <v>2</v>
      </c>
      <c r="O910" s="12" t="n">
        <v>2372.41</v>
      </c>
      <c r="P910" s="12" t="n">
        <v>0.2</v>
      </c>
      <c r="Q910" s="12" t="n">
        <v>3795.86</v>
      </c>
      <c r="R910" s="12" t="n">
        <v>2264.92</v>
      </c>
      <c r="S910" s="12" t="n">
        <v>1530.94</v>
      </c>
      <c r="T910" s="12" t="inlineStr">
        <is>
          <t>Paid</t>
        </is>
      </c>
      <c r="U910" s="12" t="inlineStr">
        <is>
          <t>Completed</t>
        </is>
      </c>
      <c r="V910">
        <f>IF(OR(P910="",P910&lt;0,P910&gt;0.5),0,P910)</f>
        <v/>
      </c>
      <c r="W910">
        <f>N910*O910*(1-V910)</f>
        <v/>
      </c>
      <c r="X910">
        <f>W910-R910</f>
        <v/>
      </c>
      <c r="Y910">
        <f>IF(W910=0,0,X910/W910)</f>
        <v/>
      </c>
      <c r="Z910">
        <f>C910-B910</f>
        <v/>
      </c>
      <c r="AA910">
        <f>TEXT(B910,"mmmm")</f>
        <v/>
      </c>
      <c r="AB910">
        <f>YEAR(B910)</f>
        <v/>
      </c>
      <c r="AC910">
        <f>IF(OR(P910&lt;0,P910&gt;0.5,C910&lt;B910),"INVALID","CLEAN")</f>
        <v/>
      </c>
    </row>
    <row r="911">
      <c r="A911" s="12" t="inlineStr">
        <is>
          <t>ORD-2025-10400</t>
        </is>
      </c>
      <c r="B911" s="12" t="inlineStr">
        <is>
          <t>04/24/2025</t>
        </is>
      </c>
      <c r="C911" s="12" t="inlineStr">
        <is>
          <t>2025-04-29</t>
        </is>
      </c>
      <c r="D911" s="12" t="inlineStr">
        <is>
          <t>CUST-5647</t>
        </is>
      </c>
      <c r="E911" s="12" t="inlineStr">
        <is>
          <t>Diya Patel</t>
        </is>
      </c>
      <c r="F911" s="12" t="inlineStr">
        <is>
          <t>Small Business</t>
        </is>
      </c>
      <c r="G911" s="12" t="inlineStr">
        <is>
          <t>South</t>
        </is>
      </c>
      <c r="H911" s="12" t="inlineStr">
        <is>
          <t>Andhra Pradesh</t>
        </is>
      </c>
      <c r="I911" s="12" t="inlineStr">
        <is>
          <t>Vijayawada</t>
        </is>
      </c>
      <c r="J911" s="12" t="inlineStr">
        <is>
          <t>Office Supplies</t>
        </is>
      </c>
      <c r="K911" s="12" t="inlineStr">
        <is>
          <t>Paper</t>
        </is>
      </c>
      <c r="L911" s="12" t="inlineStr">
        <is>
          <t>Elite Paper 308</t>
        </is>
      </c>
      <c r="M911" s="12" t="inlineStr">
        <is>
          <t>Same Day</t>
        </is>
      </c>
      <c r="N911" s="12" t="n">
        <v>1</v>
      </c>
      <c r="O911" s="12" t="n">
        <v>4358.5</v>
      </c>
      <c r="P911" s="12" t="n">
        <v>0.25</v>
      </c>
      <c r="Q911" s="12" t="n">
        <v>3268.88</v>
      </c>
      <c r="R911" s="12" t="n">
        <v>1993.74</v>
      </c>
      <c r="S911" s="12" t="n">
        <v>1275.14</v>
      </c>
      <c r="T911" s="12" t="inlineStr">
        <is>
          <t>Paid</t>
        </is>
      </c>
      <c r="U911" s="12" t="inlineStr">
        <is>
          <t>Completed</t>
        </is>
      </c>
      <c r="V911">
        <f>IF(OR(P911="",P911&lt;0,P911&gt;0.5),0,P911)</f>
        <v/>
      </c>
      <c r="W911">
        <f>N911*O911*(1-V911)</f>
        <v/>
      </c>
      <c r="X911">
        <f>W911-R911</f>
        <v/>
      </c>
      <c r="Y911">
        <f>IF(W911=0,0,X911/W911)</f>
        <v/>
      </c>
      <c r="Z911">
        <f>C911-B911</f>
        <v/>
      </c>
      <c r="AA911">
        <f>TEXT(B911,"mmmm")</f>
        <v/>
      </c>
      <c r="AB911">
        <f>YEAR(B911)</f>
        <v/>
      </c>
      <c r="AC911">
        <f>IF(OR(P911&lt;0,P911&gt;0.5,C911&lt;B911),"INVALID","CLEAN")</f>
        <v/>
      </c>
    </row>
    <row r="912">
      <c r="A912" s="12" t="inlineStr">
        <is>
          <t>ORD-2024-10124</t>
        </is>
      </c>
      <c r="B912" s="12" t="inlineStr">
        <is>
          <t>05/24/2024</t>
        </is>
      </c>
      <c r="C912" s="12" t="inlineStr">
        <is>
          <t>25 May 2024</t>
        </is>
      </c>
      <c r="D912" s="12" t="inlineStr">
        <is>
          <t>CUST-1007</t>
        </is>
      </c>
      <c r="E912" s="12" t="inlineStr">
        <is>
          <t>Sneha Kapoor</t>
        </is>
      </c>
      <c r="F912" s="12" t="inlineStr">
        <is>
          <t>Small Business</t>
        </is>
      </c>
      <c r="G912" s="12" t="inlineStr">
        <is>
          <t>NORTH</t>
        </is>
      </c>
      <c r="H912" s="12" t="inlineStr">
        <is>
          <t>Punjab</t>
        </is>
      </c>
      <c r="I912" s="12" t="inlineStr">
        <is>
          <t>Ludhiana</t>
        </is>
      </c>
      <c r="J912" s="12" t="inlineStr">
        <is>
          <t>Technology</t>
        </is>
      </c>
      <c r="K912" s="12" t="inlineStr">
        <is>
          <t>Copiers</t>
        </is>
      </c>
      <c r="L912" s="12" t="inlineStr">
        <is>
          <t>Max Copiers 970</t>
        </is>
      </c>
      <c r="M912" s="12" t="inlineStr">
        <is>
          <t>Same Day</t>
        </is>
      </c>
      <c r="N912" s="12" t="n">
        <v>1</v>
      </c>
      <c r="O912" s="12" t="n">
        <v>634.13</v>
      </c>
      <c r="P912" s="12" t="n">
        <v>0</v>
      </c>
      <c r="Q912" s="12" t="n">
        <v>634.13</v>
      </c>
      <c r="R912" s="12" t="n">
        <v>453.35</v>
      </c>
      <c r="S912" s="12" t="n">
        <v>180.78</v>
      </c>
      <c r="T912" s="12" t="inlineStr">
        <is>
          <t>Refunded</t>
        </is>
      </c>
      <c r="U912" s="12" t="inlineStr">
        <is>
          <t>Cancelled</t>
        </is>
      </c>
      <c r="V912">
        <f>IF(OR(P912="",P912&lt;0,P912&gt;0.5),0,P912)</f>
        <v/>
      </c>
      <c r="W912">
        <f>N912*O912*(1-V912)</f>
        <v/>
      </c>
      <c r="X912">
        <f>W912-R912</f>
        <v/>
      </c>
      <c r="Y912">
        <f>IF(W912=0,0,X912/W912)</f>
        <v/>
      </c>
      <c r="Z912">
        <f>C912-B912</f>
        <v/>
      </c>
      <c r="AA912">
        <f>TEXT(B912,"mmmm")</f>
        <v/>
      </c>
      <c r="AB912">
        <f>YEAR(B912)</f>
        <v/>
      </c>
      <c r="AC912">
        <f>IF(OR(P912&lt;0,P912&gt;0.5,C912&lt;B912),"INVALID","CLEAN")</f>
        <v/>
      </c>
    </row>
    <row r="913">
      <c r="A913" s="12" t="inlineStr">
        <is>
          <t>ORD-2024-10251</t>
        </is>
      </c>
      <c r="B913" s="12" t="inlineStr">
        <is>
          <t>02/21/2024</t>
        </is>
      </c>
      <c r="C913" s="12" t="inlineStr">
        <is>
          <t>02/27/2024</t>
        </is>
      </c>
      <c r="D913" s="12" t="inlineStr">
        <is>
          <t>CUST-5351</t>
        </is>
      </c>
      <c r="E913" s="12" t="inlineStr">
        <is>
          <t>Arjun Bose</t>
        </is>
      </c>
      <c r="F913" s="12" t="inlineStr">
        <is>
          <t>Small Business</t>
        </is>
      </c>
      <c r="G913" s="12" t="inlineStr">
        <is>
          <t>East</t>
        </is>
      </c>
      <c r="H913" s="12" t="inlineStr">
        <is>
          <t>West Bengal</t>
        </is>
      </c>
      <c r="I913" s="12" t="inlineStr">
        <is>
          <t>Kolkata</t>
        </is>
      </c>
      <c r="J913" s="12" t="inlineStr">
        <is>
          <t>Furniture</t>
        </is>
      </c>
      <c r="K913" s="12" t="inlineStr">
        <is>
          <t>Furnishings</t>
        </is>
      </c>
      <c r="L913" s="12" t="inlineStr">
        <is>
          <t>Prime Furnishings 781</t>
        </is>
      </c>
      <c r="M913" s="12" t="inlineStr">
        <is>
          <t>Standard Class</t>
        </is>
      </c>
      <c r="N913" s="12" t="n">
        <v>5</v>
      </c>
      <c r="O913" s="12" t="n">
        <v>3373.86</v>
      </c>
      <c r="P913" s="12" t="n">
        <v>0.15</v>
      </c>
      <c r="Q913" s="12" t="n">
        <v>14338.9</v>
      </c>
      <c r="R913" s="12" t="n">
        <v>11897.65</v>
      </c>
      <c r="S913" s="12" t="n">
        <v>2441.25</v>
      </c>
      <c r="T913" s="12" t="inlineStr">
        <is>
          <t>Pending</t>
        </is>
      </c>
      <c r="U913" s="12" t="inlineStr">
        <is>
          <t>Returned</t>
        </is>
      </c>
      <c r="V913">
        <f>IF(OR(P913="",P913&lt;0,P913&gt;0.5),0,P913)</f>
        <v/>
      </c>
      <c r="W913">
        <f>N913*O913*(1-V913)</f>
        <v/>
      </c>
      <c r="X913">
        <f>W913-R913</f>
        <v/>
      </c>
      <c r="Y913">
        <f>IF(W913=0,0,X913/W913)</f>
        <v/>
      </c>
      <c r="Z913">
        <f>C913-B913</f>
        <v/>
      </c>
      <c r="AA913">
        <f>TEXT(B913,"mmmm")</f>
        <v/>
      </c>
      <c r="AB913">
        <f>YEAR(B913)</f>
        <v/>
      </c>
      <c r="AC913">
        <f>IF(OR(P913&lt;0,P913&gt;0.5,C913&lt;B913),"INVALID","CLEAN")</f>
        <v/>
      </c>
    </row>
    <row r="914">
      <c r="A914" s="12" t="inlineStr">
        <is>
          <t>ORD-2025-10378</t>
        </is>
      </c>
      <c r="B914" s="12" t="inlineStr">
        <is>
          <t>24 May 2025</t>
        </is>
      </c>
      <c r="C914" s="12" t="inlineStr">
        <is>
          <t>30-05-2025</t>
        </is>
      </c>
      <c r="D914" s="12" t="inlineStr">
        <is>
          <t>CUST-4875</t>
        </is>
      </c>
      <c r="E914" s="12" t="inlineStr">
        <is>
          <t>Kabir Singh</t>
        </is>
      </c>
      <c r="F914" s="12" t="inlineStr">
        <is>
          <t>Small Business</t>
        </is>
      </c>
      <c r="G914" s="12" t="inlineStr">
        <is>
          <t>East</t>
        </is>
      </c>
      <c r="H914" s="12" t="inlineStr">
        <is>
          <t>Odisha</t>
        </is>
      </c>
      <c r="I914" s="12" t="inlineStr">
        <is>
          <t>Bhubaneswar</t>
        </is>
      </c>
      <c r="J914" s="12" t="inlineStr">
        <is>
          <t>Office Supplies</t>
        </is>
      </c>
      <c r="K914" s="12" t="inlineStr">
        <is>
          <t>storage</t>
        </is>
      </c>
      <c r="L914" s="12" t="inlineStr">
        <is>
          <t>Basic Storage 360</t>
        </is>
      </c>
      <c r="M914" s="12" t="inlineStr">
        <is>
          <t>Same Day</t>
        </is>
      </c>
      <c r="N914" s="12" t="n">
        <v>1</v>
      </c>
      <c r="O914" s="12" t="n">
        <v>2564.74</v>
      </c>
      <c r="P914" s="12" t="n">
        <v>0</v>
      </c>
      <c r="Q914" s="12" t="n">
        <v>2564.74</v>
      </c>
      <c r="R914" s="12" t="n">
        <v>1754.58</v>
      </c>
      <c r="S914" s="12" t="n">
        <v>810.16</v>
      </c>
      <c r="T914" s="12" t="inlineStr">
        <is>
          <t>Paid</t>
        </is>
      </c>
      <c r="U914" s="12" t="inlineStr">
        <is>
          <t>Completed</t>
        </is>
      </c>
      <c r="V914">
        <f>IF(OR(P914="",P914&lt;0,P914&gt;0.5),0,P914)</f>
        <v/>
      </c>
      <c r="W914">
        <f>N914*O914*(1-V914)</f>
        <v/>
      </c>
      <c r="X914">
        <f>W914-R914</f>
        <v/>
      </c>
      <c r="Y914">
        <f>IF(W914=0,0,X914/W914)</f>
        <v/>
      </c>
      <c r="Z914">
        <f>C914-B914</f>
        <v/>
      </c>
      <c r="AA914">
        <f>TEXT(B914,"mmmm")</f>
        <v/>
      </c>
      <c r="AB914">
        <f>YEAR(B914)</f>
        <v/>
      </c>
      <c r="AC914">
        <f>IF(OR(P914&lt;0,P914&gt;0.5,C914&lt;B914),"INVALID","CLEAN")</f>
        <v/>
      </c>
    </row>
    <row r="915">
      <c r="A915" s="12" t="inlineStr">
        <is>
          <t>ORD-2024-10281</t>
        </is>
      </c>
      <c r="B915" s="12" t="inlineStr">
        <is>
          <t>12/23/2024</t>
        </is>
      </c>
      <c r="C915" s="12" t="inlineStr">
        <is>
          <t>26-12-2024</t>
        </is>
      </c>
      <c r="D915" s="12" t="inlineStr">
        <is>
          <t>CUST-4098</t>
        </is>
      </c>
      <c r="E915" s="12" t="inlineStr">
        <is>
          <t>Aditi Sen</t>
        </is>
      </c>
      <c r="F915" s="12" t="inlineStr">
        <is>
          <t>Consumer</t>
        </is>
      </c>
      <c r="G915" s="12" t="inlineStr">
        <is>
          <t>South</t>
        </is>
      </c>
      <c r="H915" s="12" t="inlineStr">
        <is>
          <t>Karnataka</t>
        </is>
      </c>
      <c r="I915" s="12" t="inlineStr">
        <is>
          <t>Bengaluru</t>
        </is>
      </c>
      <c r="J915" s="12" t="inlineStr">
        <is>
          <t>Technology</t>
        </is>
      </c>
      <c r="K915" s="12" t="inlineStr">
        <is>
          <t>Copiers</t>
        </is>
      </c>
      <c r="L915" s="12" t="inlineStr">
        <is>
          <t>Prime Copiers 961</t>
        </is>
      </c>
      <c r="M915" s="12" t="inlineStr">
        <is>
          <t>Standard Class</t>
        </is>
      </c>
      <c r="N915" s="12" t="n">
        <v>9</v>
      </c>
      <c r="O915" s="12" t="n">
        <v>993.67</v>
      </c>
      <c r="P915" s="12" t="n">
        <v>0</v>
      </c>
      <c r="Q915" s="12" t="n">
        <v>8943.030000000001</v>
      </c>
      <c r="R915" s="12" t="n">
        <v>5165.38</v>
      </c>
      <c r="S915" s="12" t="n">
        <v>3777.65</v>
      </c>
      <c r="T915" s="12" t="inlineStr">
        <is>
          <t>Paid</t>
        </is>
      </c>
      <c r="U915" s="12" t="inlineStr">
        <is>
          <t>Completed</t>
        </is>
      </c>
      <c r="V915">
        <f>IF(OR(P915="",P915&lt;0,P915&gt;0.5),0,P915)</f>
        <v/>
      </c>
      <c r="W915">
        <f>N915*O915*(1-V915)</f>
        <v/>
      </c>
      <c r="X915">
        <f>W915-R915</f>
        <v/>
      </c>
      <c r="Y915">
        <f>IF(W915=0,0,X915/W915)</f>
        <v/>
      </c>
      <c r="Z915">
        <f>C915-B915</f>
        <v/>
      </c>
      <c r="AA915">
        <f>TEXT(B915,"mmmm")</f>
        <v/>
      </c>
      <c r="AB915">
        <f>YEAR(B915)</f>
        <v/>
      </c>
      <c r="AC915">
        <f>IF(OR(P915&lt;0,P915&gt;0.5,C915&lt;B915),"INVALID","CLEAN")</f>
        <v/>
      </c>
    </row>
    <row r="916">
      <c r="A916" s="12" t="inlineStr">
        <is>
          <t>ORD-2024-10713</t>
        </is>
      </c>
      <c r="B916" s="12" t="inlineStr">
        <is>
          <t>10 Feb 2024</t>
        </is>
      </c>
      <c r="C916" s="12" t="inlineStr">
        <is>
          <t>18 Feb 2024</t>
        </is>
      </c>
      <c r="D916" s="12" t="inlineStr">
        <is>
          <t>CUST-5127</t>
        </is>
      </c>
      <c r="E916" s="12" t="inlineStr">
        <is>
          <t>Isha Nair</t>
        </is>
      </c>
      <c r="F916" s="12" t="inlineStr">
        <is>
          <t>Home Office</t>
        </is>
      </c>
      <c r="G916" s="12" t="inlineStr">
        <is>
          <t>West</t>
        </is>
      </c>
      <c r="H916" s="12" t="inlineStr">
        <is>
          <t>Madhya Pradesh</t>
        </is>
      </c>
      <c r="I916" s="12" t="inlineStr">
        <is>
          <t>Indore</t>
        </is>
      </c>
      <c r="J916" s="12" t="inlineStr">
        <is>
          <t>Furniture</t>
        </is>
      </c>
      <c r="K916" s="12" t="inlineStr">
        <is>
          <t>Chairs</t>
        </is>
      </c>
      <c r="L916" s="12" t="inlineStr">
        <is>
          <t>Smart Chairs 259</t>
        </is>
      </c>
      <c r="M916" s="12" t="inlineStr">
        <is>
          <t>First Class</t>
        </is>
      </c>
      <c r="N916" s="12" t="n">
        <v>7</v>
      </c>
      <c r="O916" s="12" t="n">
        <v>1382.86</v>
      </c>
      <c r="P916" s="12" t="n">
        <v>0</v>
      </c>
      <c r="Q916" s="12" t="n">
        <v>9680.02</v>
      </c>
      <c r="R916" s="12" t="n">
        <v>6876.66</v>
      </c>
      <c r="S916" s="12" t="n">
        <v>2803.36</v>
      </c>
      <c r="T916" s="12" t="inlineStr">
        <is>
          <t>Paid</t>
        </is>
      </c>
      <c r="U916" s="12" t="inlineStr">
        <is>
          <t>Completed</t>
        </is>
      </c>
      <c r="V916">
        <f>IF(OR(P916="",P916&lt;0,P916&gt;0.5),0,P916)</f>
        <v/>
      </c>
      <c r="W916">
        <f>N916*O916*(1-V916)</f>
        <v/>
      </c>
      <c r="X916">
        <f>W916-R916</f>
        <v/>
      </c>
      <c r="Y916">
        <f>IF(W916=0,0,X916/W916)</f>
        <v/>
      </c>
      <c r="Z916">
        <f>C916-B916</f>
        <v/>
      </c>
      <c r="AA916">
        <f>TEXT(B916,"mmmm")</f>
        <v/>
      </c>
      <c r="AB916">
        <f>YEAR(B916)</f>
        <v/>
      </c>
      <c r="AC916">
        <f>IF(OR(P916&lt;0,P916&gt;0.5,C916&lt;B916),"INVALID","CLEAN")</f>
        <v/>
      </c>
    </row>
    <row r="917">
      <c r="A917" s="12" t="inlineStr">
        <is>
          <t>ORD-2025-10550</t>
        </is>
      </c>
      <c r="B917" s="12" t="inlineStr">
        <is>
          <t>10/11/2025</t>
        </is>
      </c>
      <c r="C917" s="12" t="inlineStr">
        <is>
          <t>13 Oct 2025</t>
        </is>
      </c>
      <c r="D917" s="12" t="inlineStr">
        <is>
          <t>CUST-6028</t>
        </is>
      </c>
      <c r="E917" s="12" t="inlineStr">
        <is>
          <t>Mira Das</t>
        </is>
      </c>
      <c r="F917" s="12" t="inlineStr">
        <is>
          <t>Corporate</t>
        </is>
      </c>
      <c r="G917" s="12" t="inlineStr">
        <is>
          <t>South</t>
        </is>
      </c>
      <c r="H917" s="12" t="inlineStr">
        <is>
          <t>Telangana</t>
        </is>
      </c>
      <c r="I917" s="12" t="inlineStr">
        <is>
          <t>Hyderabad</t>
        </is>
      </c>
      <c r="J917" s="12" t="inlineStr">
        <is>
          <t>Office Supplies</t>
        </is>
      </c>
      <c r="K917" s="12" t="inlineStr">
        <is>
          <t>Art</t>
        </is>
      </c>
      <c r="L917" s="12" t="inlineStr">
        <is>
          <t>Pro Art 287</t>
        </is>
      </c>
      <c r="M917" s="12" t="inlineStr">
        <is>
          <t>Second Class</t>
        </is>
      </c>
      <c r="N917" s="12" t="n">
        <v>3</v>
      </c>
      <c r="O917" s="12" t="n">
        <v>3804.27</v>
      </c>
      <c r="P917" s="12" t="n">
        <v>0.1</v>
      </c>
      <c r="Q917" s="12" t="n">
        <v>10271.53</v>
      </c>
      <c r="R917" s="12" t="n">
        <v>8272.24</v>
      </c>
      <c r="S917" s="12" t="n">
        <v>1999.29</v>
      </c>
      <c r="T917" s="12" t="inlineStr">
        <is>
          <t>Paid</t>
        </is>
      </c>
      <c r="U917" s="12" t="inlineStr">
        <is>
          <t>Completed</t>
        </is>
      </c>
      <c r="V917">
        <f>IF(OR(P917="",P917&lt;0,P917&gt;0.5),0,P917)</f>
        <v/>
      </c>
      <c r="W917">
        <f>N917*O917*(1-V917)</f>
        <v/>
      </c>
      <c r="X917">
        <f>W917-R917</f>
        <v/>
      </c>
      <c r="Y917">
        <f>IF(W917=0,0,X917/W917)</f>
        <v/>
      </c>
      <c r="Z917">
        <f>C917-B917</f>
        <v/>
      </c>
      <c r="AA917">
        <f>TEXT(B917,"mmmm")</f>
        <v/>
      </c>
      <c r="AB917">
        <f>YEAR(B917)</f>
        <v/>
      </c>
      <c r="AC917">
        <f>IF(OR(P917&lt;0,P917&gt;0.5,C917&lt;B917),"INVALID","CLEAN")</f>
        <v/>
      </c>
    </row>
    <row r="918">
      <c r="A918" s="12" t="inlineStr">
        <is>
          <t>ORD-2024-10850</t>
        </is>
      </c>
      <c r="B918" s="12" t="inlineStr">
        <is>
          <t>2024-03-06</t>
        </is>
      </c>
      <c r="C918" s="12" t="inlineStr">
        <is>
          <t>12-03-2024</t>
        </is>
      </c>
      <c r="D918" s="12" t="inlineStr">
        <is>
          <t>CUST-3360</t>
        </is>
      </c>
      <c r="E918" s="12" t="inlineStr">
        <is>
          <t>Isha Nair</t>
        </is>
      </c>
      <c r="F918" s="12" t="inlineStr">
        <is>
          <t>Home Office</t>
        </is>
      </c>
      <c r="G918" s="12" t="inlineStr">
        <is>
          <t>West</t>
        </is>
      </c>
      <c r="H918" s="12" t="inlineStr">
        <is>
          <t>Gujarat</t>
        </is>
      </c>
      <c r="I918" s="12" t="inlineStr">
        <is>
          <t>Ahmedabad</t>
        </is>
      </c>
      <c r="J918" s="12" t="inlineStr">
        <is>
          <t>Furniture</t>
        </is>
      </c>
      <c r="K918" s="12" t="inlineStr">
        <is>
          <t>Bookcases</t>
        </is>
      </c>
      <c r="L918" s="12" t="inlineStr">
        <is>
          <t>Prime Bookcases 755</t>
        </is>
      </c>
      <c r="M918" s="12" t="inlineStr">
        <is>
          <t>Standard Class</t>
        </is>
      </c>
      <c r="N918" s="12" t="n">
        <v>3</v>
      </c>
      <c r="O918" s="12" t="n">
        <v>679.63</v>
      </c>
      <c r="P918" s="12" t="n">
        <v>0.2</v>
      </c>
      <c r="Q918" s="12" t="n">
        <v>1631.11</v>
      </c>
      <c r="R918" s="12" t="n">
        <v>898.73</v>
      </c>
      <c r="S918" s="12" t="n">
        <v>396.58</v>
      </c>
      <c r="T918" s="12" t="inlineStr">
        <is>
          <t>Paid</t>
        </is>
      </c>
      <c r="U918" s="12" t="inlineStr">
        <is>
          <t xml:space="preserve">Completed </t>
        </is>
      </c>
      <c r="V918">
        <f>IF(OR(P918="",P918&lt;0,P918&gt;0.5),0,P918)</f>
        <v/>
      </c>
      <c r="W918">
        <f>N918*O918*(1-V918)</f>
        <v/>
      </c>
      <c r="X918">
        <f>W918-R918</f>
        <v/>
      </c>
      <c r="Y918">
        <f>IF(W918=0,0,X918/W918)</f>
        <v/>
      </c>
      <c r="Z918">
        <f>C918-B918</f>
        <v/>
      </c>
      <c r="AA918">
        <f>TEXT(B918,"mmmm")</f>
        <v/>
      </c>
      <c r="AB918">
        <f>YEAR(B918)</f>
        <v/>
      </c>
      <c r="AC918">
        <f>IF(OR(P918&lt;0,P918&gt;0.5,C918&lt;B918),"INVALID","CLEAN")</f>
        <v/>
      </c>
    </row>
    <row r="919">
      <c r="A919" s="12" t="inlineStr">
        <is>
          <t>ORD-2025-10128</t>
        </is>
      </c>
      <c r="B919" s="12" t="inlineStr">
        <is>
          <t>01/30/2025</t>
        </is>
      </c>
      <c r="C919" s="12" t="inlineStr">
        <is>
          <t>26-01-2025</t>
        </is>
      </c>
      <c r="D919" s="12" t="inlineStr">
        <is>
          <t>CUST-6802</t>
        </is>
      </c>
      <c r="E919" s="12" t="inlineStr">
        <is>
          <t>Priya Menon</t>
        </is>
      </c>
      <c r="F919" s="12" t="inlineStr">
        <is>
          <t>Corporate</t>
        </is>
      </c>
      <c r="G919" s="12" t="inlineStr">
        <is>
          <t>West</t>
        </is>
      </c>
      <c r="H919" s="12" t="inlineStr">
        <is>
          <t>Madhya Pradesh</t>
        </is>
      </c>
      <c r="I919" s="12" t="inlineStr">
        <is>
          <t>Indore</t>
        </is>
      </c>
      <c r="J919" s="12" t="inlineStr">
        <is>
          <t>Office Supplies</t>
        </is>
      </c>
      <c r="K919" s="12" t="inlineStr">
        <is>
          <t>Storage</t>
        </is>
      </c>
      <c r="L919" s="12" t="inlineStr">
        <is>
          <t>Basic Storage 321</t>
        </is>
      </c>
      <c r="M919" s="12" t="inlineStr">
        <is>
          <t>Second Class</t>
        </is>
      </c>
      <c r="N919" s="12" t="n">
        <v>2</v>
      </c>
      <c r="O919" s="12" t="n">
        <v>3039.3</v>
      </c>
      <c r="P919" s="12" t="n">
        <v>0.05</v>
      </c>
      <c r="Q919" s="12" t="n">
        <v>5774.67</v>
      </c>
      <c r="R919" s="12" t="n">
        <v>3518.36</v>
      </c>
      <c r="S919" s="12" t="n">
        <v>2256.31</v>
      </c>
      <c r="T919" s="12" t="inlineStr">
        <is>
          <t>Paid</t>
        </is>
      </c>
      <c r="U919" s="12" t="inlineStr">
        <is>
          <t>Completed</t>
        </is>
      </c>
      <c r="V919">
        <f>IF(OR(P919="",P919&lt;0,P919&gt;0.5),0,P919)</f>
        <v/>
      </c>
      <c r="W919">
        <f>N919*O919*(1-V919)</f>
        <v/>
      </c>
      <c r="X919">
        <f>W919-R919</f>
        <v/>
      </c>
      <c r="Y919">
        <f>IF(W919=0,0,X919/W919)</f>
        <v/>
      </c>
      <c r="Z919">
        <f>C919-B919</f>
        <v/>
      </c>
      <c r="AA919">
        <f>TEXT(B919,"mmmm")</f>
        <v/>
      </c>
      <c r="AB919">
        <f>YEAR(B919)</f>
        <v/>
      </c>
      <c r="AC919">
        <f>IF(OR(P919&lt;0,P919&gt;0.5,C919&lt;B919),"INVALID","CLEAN")</f>
        <v/>
      </c>
    </row>
    <row r="920">
      <c r="A920" s="12" t="inlineStr">
        <is>
          <t>ORD-2025-10677</t>
        </is>
      </c>
      <c r="B920" s="12" t="inlineStr">
        <is>
          <t>09/11/2025</t>
        </is>
      </c>
      <c r="C920" s="12" t="inlineStr">
        <is>
          <t>09/18/2025</t>
        </is>
      </c>
      <c r="D920" s="12" t="inlineStr">
        <is>
          <t>CUST-9212</t>
        </is>
      </c>
      <c r="E920" s="12" t="inlineStr">
        <is>
          <t>Rahul Verma</t>
        </is>
      </c>
      <c r="F920" s="12" t="inlineStr">
        <is>
          <t>Small Business</t>
        </is>
      </c>
      <c r="G920" s="12" t="inlineStr">
        <is>
          <t>North</t>
        </is>
      </c>
      <c r="H920" s="12" t="inlineStr">
        <is>
          <t>Delhi</t>
        </is>
      </c>
      <c r="I920" s="12" t="inlineStr">
        <is>
          <t>New Delhi</t>
        </is>
      </c>
      <c r="J920" s="12" t="inlineStr">
        <is>
          <t>Technology</t>
        </is>
      </c>
      <c r="K920" s="12" t="inlineStr">
        <is>
          <t>Phones</t>
        </is>
      </c>
      <c r="L920" s="12" t="inlineStr">
        <is>
          <t>Smart Phones 967</t>
        </is>
      </c>
      <c r="M920" s="12" t="inlineStr">
        <is>
          <t>Same Day</t>
        </is>
      </c>
      <c r="N920" s="12" t="n">
        <v>7</v>
      </c>
      <c r="O920" s="12" t="n">
        <v>3411.21</v>
      </c>
      <c r="P920" s="12" t="n">
        <v>0.15</v>
      </c>
      <c r="Q920" s="12" t="n">
        <v>20296.7</v>
      </c>
      <c r="R920" s="12" t="n">
        <v>14920.87</v>
      </c>
      <c r="S920" s="12" t="n">
        <v>5375.83</v>
      </c>
      <c r="T920" s="12" t="inlineStr">
        <is>
          <t>Paid</t>
        </is>
      </c>
      <c r="U920" s="12" t="inlineStr">
        <is>
          <t>Completed</t>
        </is>
      </c>
      <c r="V920">
        <f>IF(OR(P920="",P920&lt;0,P920&gt;0.5),0,P920)</f>
        <v/>
      </c>
      <c r="W920">
        <f>N920*O920*(1-V920)</f>
        <v/>
      </c>
      <c r="X920">
        <f>W920-R920</f>
        <v/>
      </c>
      <c r="Y920">
        <f>IF(W920=0,0,X920/W920)</f>
        <v/>
      </c>
      <c r="Z920">
        <f>C920-B920</f>
        <v/>
      </c>
      <c r="AA920">
        <f>TEXT(B920,"mmmm")</f>
        <v/>
      </c>
      <c r="AB920">
        <f>YEAR(B920)</f>
        <v/>
      </c>
      <c r="AC920">
        <f>IF(OR(P920&lt;0,P920&gt;0.5,C920&lt;B920),"INVALID","CLEAN")</f>
        <v/>
      </c>
    </row>
    <row r="921">
      <c r="A921" s="12" t="inlineStr">
        <is>
          <t>ORD-2025-10007</t>
        </is>
      </c>
      <c r="B921" s="12" t="inlineStr">
        <is>
          <t>04/10/2025</t>
        </is>
      </c>
      <c r="C921" s="12" t="inlineStr">
        <is>
          <t>04/16/2025</t>
        </is>
      </c>
      <c r="D921" s="12" t="inlineStr">
        <is>
          <t>CUST-3656</t>
        </is>
      </c>
      <c r="E921" s="12" t="inlineStr">
        <is>
          <t>Neha Gupta</t>
        </is>
      </c>
      <c r="F921" s="12" t="inlineStr">
        <is>
          <t>Consumer</t>
        </is>
      </c>
      <c r="G921" s="12" t="inlineStr">
        <is>
          <t>East</t>
        </is>
      </c>
      <c r="H921" s="12" t="inlineStr">
        <is>
          <t>Odisha</t>
        </is>
      </c>
      <c r="I921" s="12" t="inlineStr">
        <is>
          <t>Bhubaneswar</t>
        </is>
      </c>
      <c r="J921" s="12" t="inlineStr">
        <is>
          <t>Technology</t>
        </is>
      </c>
      <c r="K921" s="12" t="inlineStr">
        <is>
          <t>Copiers</t>
        </is>
      </c>
      <c r="L921" s="12" t="inlineStr">
        <is>
          <t>Eco Copiers 790</t>
        </is>
      </c>
      <c r="M921" s="12" t="inlineStr">
        <is>
          <t>Standard Class</t>
        </is>
      </c>
      <c r="N921" s="12" t="n">
        <v>4</v>
      </c>
      <c r="O921" s="12" t="n">
        <v>1719.87</v>
      </c>
      <c r="P921" s="12" t="n">
        <v>0.15</v>
      </c>
      <c r="Q921" s="12" t="n">
        <v>5847.56</v>
      </c>
      <c r="R921" s="12" t="n">
        <v>4727.25</v>
      </c>
      <c r="S921" s="12" t="n">
        <v>1120.31</v>
      </c>
      <c r="T921" s="12" t="inlineStr">
        <is>
          <t>Paid</t>
        </is>
      </c>
      <c r="U921" s="12" t="inlineStr">
        <is>
          <t>Completed</t>
        </is>
      </c>
      <c r="V921">
        <f>IF(OR(P921="",P921&lt;0,P921&gt;0.5),0,P921)</f>
        <v/>
      </c>
      <c r="W921">
        <f>N921*O921*(1-V921)</f>
        <v/>
      </c>
      <c r="X921">
        <f>W921-R921</f>
        <v/>
      </c>
      <c r="Y921">
        <f>IF(W921=0,0,X921/W921)</f>
        <v/>
      </c>
      <c r="Z921">
        <f>C921-B921</f>
        <v/>
      </c>
      <c r="AA921">
        <f>TEXT(B921,"mmmm")</f>
        <v/>
      </c>
      <c r="AB921">
        <f>YEAR(B921)</f>
        <v/>
      </c>
      <c r="AC921">
        <f>IF(OR(P921&lt;0,P921&gt;0.5,C921&lt;B921),"INVALID","CLEAN")</f>
        <v/>
      </c>
    </row>
    <row r="922">
      <c r="A922" s="12" t="inlineStr">
        <is>
          <t>ORD-2024-10332</t>
        </is>
      </c>
      <c r="B922" s="12" t="inlineStr">
        <is>
          <t>04-12-2024</t>
        </is>
      </c>
      <c r="C922" s="12" t="inlineStr">
        <is>
          <t>2024-12-06</t>
        </is>
      </c>
      <c r="D922" s="12" t="inlineStr">
        <is>
          <t>CUST-9346</t>
        </is>
      </c>
      <c r="E922" s="12" t="inlineStr">
        <is>
          <t>Sneha Kapoor</t>
        </is>
      </c>
      <c r="F922" s="12" t="inlineStr">
        <is>
          <t>Home Office</t>
        </is>
      </c>
      <c r="G922" s="12" t="inlineStr">
        <is>
          <t>East</t>
        </is>
      </c>
      <c r="H922" s="12" t="inlineStr">
        <is>
          <t>Odisha</t>
        </is>
      </c>
      <c r="I922" s="12" t="inlineStr">
        <is>
          <t>Bhubaneswar</t>
        </is>
      </c>
      <c r="J922" s="12" t="inlineStr">
        <is>
          <t>Office Supplies</t>
        </is>
      </c>
      <c r="K922" s="12" t="inlineStr">
        <is>
          <t>Binders</t>
        </is>
      </c>
      <c r="L922" s="12" t="inlineStr">
        <is>
          <t>Smart Binders 939</t>
        </is>
      </c>
      <c r="M922" s="12" t="inlineStr">
        <is>
          <t>Second Class</t>
        </is>
      </c>
      <c r="N922" s="12" t="n">
        <v>4</v>
      </c>
      <c r="O922" s="12" t="n">
        <v>2685.66</v>
      </c>
      <c r="P922" s="12" t="n">
        <v>0</v>
      </c>
      <c r="Q922" s="12" t="n">
        <v>10989.89</v>
      </c>
      <c r="R922" s="12" t="n">
        <v>6477.37</v>
      </c>
      <c r="S922" s="12" t="n">
        <v>4265.27</v>
      </c>
      <c r="T922" s="12" t="inlineStr">
        <is>
          <t>Paid</t>
        </is>
      </c>
      <c r="U922" s="12" t="inlineStr">
        <is>
          <t>Completed</t>
        </is>
      </c>
      <c r="V922">
        <f>IF(OR(P922="",P922&lt;0,P922&gt;0.5),0,P922)</f>
        <v/>
      </c>
      <c r="W922">
        <f>N922*O922*(1-V922)</f>
        <v/>
      </c>
      <c r="X922">
        <f>W922-R922</f>
        <v/>
      </c>
      <c r="Y922">
        <f>IF(W922=0,0,X922/W922)</f>
        <v/>
      </c>
      <c r="Z922">
        <f>C922-B922</f>
        <v/>
      </c>
      <c r="AA922">
        <f>TEXT(B922,"mmmm")</f>
        <v/>
      </c>
      <c r="AB922">
        <f>YEAR(B922)</f>
        <v/>
      </c>
      <c r="AC922">
        <f>IF(OR(P922&lt;0,P922&gt;0.5,C922&lt;B922),"INVALID","CLEAN")</f>
        <v/>
      </c>
    </row>
    <row r="923">
      <c r="A923" s="12" t="inlineStr">
        <is>
          <t>ORD-2025-10091</t>
        </is>
      </c>
      <c r="B923" s="12" t="inlineStr">
        <is>
          <t>08/24/2025</t>
        </is>
      </c>
      <c r="C923" s="12" t="inlineStr">
        <is>
          <t>29 Aug 2025</t>
        </is>
      </c>
      <c r="D923" s="12" t="inlineStr">
        <is>
          <t>CUST-5909</t>
        </is>
      </c>
      <c r="E923" s="12" t="inlineStr">
        <is>
          <t>Aarav Sharma</t>
        </is>
      </c>
      <c r="F923" s="12" t="inlineStr">
        <is>
          <t>Small Business</t>
        </is>
      </c>
      <c r="G923" s="12" t="inlineStr">
        <is>
          <t>East</t>
        </is>
      </c>
      <c r="H923" s="12" t="inlineStr">
        <is>
          <t>Bihar</t>
        </is>
      </c>
      <c r="I923" s="12" t="inlineStr">
        <is>
          <t>Patna</t>
        </is>
      </c>
      <c r="J923" s="12" t="inlineStr">
        <is>
          <t>Technology</t>
        </is>
      </c>
      <c r="K923" s="12" t="inlineStr">
        <is>
          <t>Copiers</t>
        </is>
      </c>
      <c r="L923" s="12" t="inlineStr">
        <is>
          <t>Smart Copiers 556</t>
        </is>
      </c>
      <c r="M923" s="12" t="inlineStr">
        <is>
          <t>First Class</t>
        </is>
      </c>
      <c r="N923" s="12" t="n">
        <v>3</v>
      </c>
      <c r="O923" s="12" t="n">
        <v>3703.96</v>
      </c>
      <c r="P923" s="12" t="n">
        <v>0.15</v>
      </c>
      <c r="Q923" s="12" t="n">
        <v>9549.440000000001</v>
      </c>
      <c r="R923" s="12" t="n">
        <v>5586.28</v>
      </c>
      <c r="S923" s="12" t="n">
        <v>3858.82</v>
      </c>
      <c r="T923" s="12" t="inlineStr">
        <is>
          <t>Paid</t>
        </is>
      </c>
      <c r="U923" s="12" t="inlineStr">
        <is>
          <t>Returned</t>
        </is>
      </c>
      <c r="V923">
        <f>IF(OR(P923="",P923&lt;0,P923&gt;0.5),0,P923)</f>
        <v/>
      </c>
      <c r="W923">
        <f>N923*O923*(1-V923)</f>
        <v/>
      </c>
      <c r="X923">
        <f>W923-R923</f>
        <v/>
      </c>
      <c r="Y923">
        <f>IF(W923=0,0,X923/W923)</f>
        <v/>
      </c>
      <c r="Z923">
        <f>C923-B923</f>
        <v/>
      </c>
      <c r="AA923">
        <f>TEXT(B923,"mmmm")</f>
        <v/>
      </c>
      <c r="AB923">
        <f>YEAR(B923)</f>
        <v/>
      </c>
      <c r="AC923">
        <f>IF(OR(P923&lt;0,P923&gt;0.5,C923&lt;B923),"INVALID","CLEAN")</f>
        <v/>
      </c>
    </row>
    <row r="924">
      <c r="A924" s="12" t="inlineStr">
        <is>
          <t>ORD-2025-10374</t>
        </is>
      </c>
      <c r="B924" s="12" t="inlineStr">
        <is>
          <t>2025-04-13</t>
        </is>
      </c>
      <c r="C924" s="12" t="inlineStr">
        <is>
          <t>2025-04-13</t>
        </is>
      </c>
      <c r="D924" s="12" t="inlineStr">
        <is>
          <t>CUST-8566</t>
        </is>
      </c>
      <c r="E924" s="12" t="inlineStr">
        <is>
          <t>Sneha Kapoor</t>
        </is>
      </c>
      <c r="F924" s="12" t="inlineStr">
        <is>
          <t>Small Business</t>
        </is>
      </c>
      <c r="G924" s="12" t="inlineStr">
        <is>
          <t>North</t>
        </is>
      </c>
      <c r="H924" s="12" t="inlineStr">
        <is>
          <t>Uttar Pradesh</t>
        </is>
      </c>
      <c r="I924" s="12" t="inlineStr">
        <is>
          <t>Noida</t>
        </is>
      </c>
      <c r="J924" s="12" t="inlineStr">
        <is>
          <t>Office Supplies</t>
        </is>
      </c>
      <c r="K924" s="12" t="inlineStr">
        <is>
          <t>Storage</t>
        </is>
      </c>
      <c r="L924" s="12" t="inlineStr">
        <is>
          <t>Prime Storage 951</t>
        </is>
      </c>
      <c r="M924" s="12" t="inlineStr">
        <is>
          <t>Second Class</t>
        </is>
      </c>
      <c r="N924" s="12" t="n">
        <v>9</v>
      </c>
      <c r="O924" s="12" t="n">
        <v>1118.68</v>
      </c>
      <c r="P924" s="12" t="n">
        <v>0</v>
      </c>
      <c r="Q924" s="12" t="n">
        <v>10348.43</v>
      </c>
      <c r="R924" s="12" t="n">
        <v>8595.370000000001</v>
      </c>
      <c r="S924" s="12" t="n">
        <v>1472.75</v>
      </c>
      <c r="T924" s="12" t="inlineStr">
        <is>
          <t>Paid</t>
        </is>
      </c>
      <c r="U924" s="12" t="inlineStr">
        <is>
          <t>Returned</t>
        </is>
      </c>
      <c r="V924">
        <f>IF(OR(P924="",P924&lt;0,P924&gt;0.5),0,P924)</f>
        <v/>
      </c>
      <c r="W924">
        <f>N924*O924*(1-V924)</f>
        <v/>
      </c>
      <c r="X924">
        <f>W924-R924</f>
        <v/>
      </c>
      <c r="Y924">
        <f>IF(W924=0,0,X924/W924)</f>
        <v/>
      </c>
      <c r="Z924">
        <f>C924-B924</f>
        <v/>
      </c>
      <c r="AA924">
        <f>TEXT(B924,"mmmm")</f>
        <v/>
      </c>
      <c r="AB924">
        <f>YEAR(B924)</f>
        <v/>
      </c>
      <c r="AC924">
        <f>IF(OR(P924&lt;0,P924&gt;0.5,C924&lt;B924),"INVALID","CLEAN")</f>
        <v/>
      </c>
    </row>
    <row r="925">
      <c r="A925" s="12" t="inlineStr">
        <is>
          <t>ORD-2025-10225</t>
        </is>
      </c>
      <c r="B925" s="12" t="inlineStr">
        <is>
          <t>10/02/2025</t>
        </is>
      </c>
      <c r="C925" s="12" t="inlineStr">
        <is>
          <t>08 Oct 2025</t>
        </is>
      </c>
      <c r="D925" s="12" t="inlineStr">
        <is>
          <t>CUST-9871</t>
        </is>
      </c>
      <c r="E925" s="12" t="inlineStr">
        <is>
          <t>Isha Nair</t>
        </is>
      </c>
      <c r="F925" s="12" t="inlineStr">
        <is>
          <t>Small Business</t>
        </is>
      </c>
      <c r="G925" s="12" t="inlineStr">
        <is>
          <t>North</t>
        </is>
      </c>
      <c r="H925" s="12" t="inlineStr">
        <is>
          <t>Punjab</t>
        </is>
      </c>
      <c r="I925" s="12" t="inlineStr">
        <is>
          <t>Ludhiana</t>
        </is>
      </c>
      <c r="J925" s="12" t="inlineStr">
        <is>
          <t>Furniture</t>
        </is>
      </c>
      <c r="K925" s="12" t="inlineStr">
        <is>
          <t>Furnishings</t>
        </is>
      </c>
      <c r="L925" s="12" t="inlineStr">
        <is>
          <t>Classic Furnishings 109</t>
        </is>
      </c>
      <c r="M925" s="12" t="inlineStr">
        <is>
          <t>Standard Class</t>
        </is>
      </c>
      <c r="N925" s="12" t="n">
        <v>4</v>
      </c>
      <c r="O925" s="12" t="n">
        <v>3944.64</v>
      </c>
      <c r="P925" s="12" t="n">
        <v>0.25</v>
      </c>
      <c r="Q925" s="12" t="n">
        <v>12116.89</v>
      </c>
      <c r="R925" s="12" t="n">
        <v>6682.92</v>
      </c>
      <c r="S925" s="12" t="n">
        <v>5151</v>
      </c>
      <c r="T925" s="12" t="inlineStr">
        <is>
          <t>Paid</t>
        </is>
      </c>
      <c r="U925" s="12" t="inlineStr">
        <is>
          <t>Returned</t>
        </is>
      </c>
      <c r="V925">
        <f>IF(OR(P925="",P925&lt;0,P925&gt;0.5),0,P925)</f>
        <v/>
      </c>
      <c r="W925">
        <f>N925*O925*(1-V925)</f>
        <v/>
      </c>
      <c r="X925">
        <f>W925-R925</f>
        <v/>
      </c>
      <c r="Y925">
        <f>IF(W925=0,0,X925/W925)</f>
        <v/>
      </c>
      <c r="Z925">
        <f>C925-B925</f>
        <v/>
      </c>
      <c r="AA925">
        <f>TEXT(B925,"mmmm")</f>
        <v/>
      </c>
      <c r="AB925">
        <f>YEAR(B925)</f>
        <v/>
      </c>
      <c r="AC925">
        <f>IF(OR(P925&lt;0,P925&gt;0.5,C925&lt;B925),"INVALID","CLEAN")</f>
        <v/>
      </c>
    </row>
    <row r="926">
      <c r="A926" s="12" t="inlineStr">
        <is>
          <t>ORD-2025-10315</t>
        </is>
      </c>
      <c r="B926" s="12" t="inlineStr">
        <is>
          <t>05/18/2025</t>
        </is>
      </c>
      <c r="C926" s="12" t="inlineStr">
        <is>
          <t>20 May 2025</t>
        </is>
      </c>
      <c r="D926" s="12" t="inlineStr">
        <is>
          <t>CUST-1945</t>
        </is>
      </c>
      <c r="E926" s="12" t="inlineStr">
        <is>
          <t>Isha Nair</t>
        </is>
      </c>
      <c r="F926" s="12" t="inlineStr">
        <is>
          <t>Corporate</t>
        </is>
      </c>
      <c r="G926" s="12" t="inlineStr">
        <is>
          <t>West</t>
        </is>
      </c>
      <c r="H926" s="12" t="inlineStr">
        <is>
          <t>Madhya Pradesh</t>
        </is>
      </c>
      <c r="I926" s="12" t="inlineStr">
        <is>
          <t>Indore</t>
        </is>
      </c>
      <c r="J926" s="12" t="inlineStr">
        <is>
          <t>Office Supplies</t>
        </is>
      </c>
      <c r="K926" s="12" t="inlineStr">
        <is>
          <t>Labels</t>
        </is>
      </c>
      <c r="L926" s="12" t="inlineStr">
        <is>
          <t>Elite Labels 544</t>
        </is>
      </c>
      <c r="M926" s="12" t="inlineStr">
        <is>
          <t>Standard Class</t>
        </is>
      </c>
      <c r="N926" s="12" t="n">
        <v>9</v>
      </c>
      <c r="O926" s="12" t="n">
        <v>847.76</v>
      </c>
      <c r="P926" s="12" t="n">
        <v>0.15</v>
      </c>
      <c r="Q926" s="12" t="n">
        <v>6589.37</v>
      </c>
      <c r="R926" s="12" t="n">
        <v>5376.17</v>
      </c>
      <c r="S926" s="12" t="n">
        <v>1109.19</v>
      </c>
      <c r="T926" s="12" t="inlineStr">
        <is>
          <t>Failed</t>
        </is>
      </c>
      <c r="U926" s="12" t="inlineStr">
        <is>
          <t>Completed</t>
        </is>
      </c>
      <c r="V926">
        <f>IF(OR(P926="",P926&lt;0,P926&gt;0.5),0,P926)</f>
        <v/>
      </c>
      <c r="W926">
        <f>N926*O926*(1-V926)</f>
        <v/>
      </c>
      <c r="X926">
        <f>W926-R926</f>
        <v/>
      </c>
      <c r="Y926">
        <f>IF(W926=0,0,X926/W926)</f>
        <v/>
      </c>
      <c r="Z926">
        <f>C926-B926</f>
        <v/>
      </c>
      <c r="AA926">
        <f>TEXT(B926,"mmmm")</f>
        <v/>
      </c>
      <c r="AB926">
        <f>YEAR(B926)</f>
        <v/>
      </c>
      <c r="AC926">
        <f>IF(OR(P926&lt;0,P926&gt;0.5,C926&lt;B926),"INVALID","CLEAN")</f>
        <v/>
      </c>
    </row>
    <row r="927">
      <c r="A927" s="12" t="inlineStr">
        <is>
          <t>ORD-2025-10171</t>
        </is>
      </c>
      <c r="B927" s="12" t="inlineStr">
        <is>
          <t>07-09-2025</t>
        </is>
      </c>
      <c r="C927" s="12" t="inlineStr">
        <is>
          <t>09/15/2025</t>
        </is>
      </c>
      <c r="D927" s="12" t="inlineStr">
        <is>
          <t>CUST-3734</t>
        </is>
      </c>
      <c r="E927" s="12" t="inlineStr">
        <is>
          <t>Rohan Mehta</t>
        </is>
      </c>
      <c r="F927" s="12" t="inlineStr">
        <is>
          <t>Corporate</t>
        </is>
      </c>
      <c r="G927" s="12" t="inlineStr">
        <is>
          <t>East</t>
        </is>
      </c>
      <c r="H927" s="12" t="inlineStr">
        <is>
          <t>Bihar</t>
        </is>
      </c>
      <c r="I927" s="12" t="inlineStr">
        <is>
          <t>Patna</t>
        </is>
      </c>
      <c r="J927" s="12" t="inlineStr">
        <is>
          <t>Technology</t>
        </is>
      </c>
      <c r="K927" s="12" t="inlineStr">
        <is>
          <t>Copiers</t>
        </is>
      </c>
      <c r="L927" s="12" t="inlineStr">
        <is>
          <t>Eco Copiers 102</t>
        </is>
      </c>
      <c r="M927" s="12" t="inlineStr">
        <is>
          <t>Standard Class</t>
        </is>
      </c>
      <c r="N927" s="12" t="n">
        <v>3</v>
      </c>
      <c r="O927" s="12" t="n">
        <v>1711.32</v>
      </c>
      <c r="P927" s="12" t="n">
        <v>0</v>
      </c>
      <c r="Q927" s="12" t="n">
        <v>5206.53</v>
      </c>
      <c r="R927" s="12" t="n">
        <v>3930</v>
      </c>
      <c r="S927" s="12" t="n">
        <v>1203.96</v>
      </c>
      <c r="T927" s="12" t="inlineStr">
        <is>
          <t>Paid</t>
        </is>
      </c>
      <c r="U927" s="12" t="inlineStr">
        <is>
          <t>Returned</t>
        </is>
      </c>
      <c r="V927">
        <f>IF(OR(P927="",P927&lt;0,P927&gt;0.5),0,P927)</f>
        <v/>
      </c>
      <c r="W927">
        <f>N927*O927*(1-V927)</f>
        <v/>
      </c>
      <c r="X927">
        <f>W927-R927</f>
        <v/>
      </c>
      <c r="Y927">
        <f>IF(W927=0,0,X927/W927)</f>
        <v/>
      </c>
      <c r="Z927">
        <f>C927-B927</f>
        <v/>
      </c>
      <c r="AA927">
        <f>TEXT(B927,"mmmm")</f>
        <v/>
      </c>
      <c r="AB927">
        <f>YEAR(B927)</f>
        <v/>
      </c>
      <c r="AC927">
        <f>IF(OR(P927&lt;0,P927&gt;0.5,C927&lt;B927),"INVALID","CLEAN")</f>
        <v/>
      </c>
    </row>
    <row r="928">
      <c r="A928" s="12" t="inlineStr">
        <is>
          <t>ORD-2024-10424</t>
        </is>
      </c>
      <c r="B928" s="12" t="inlineStr">
        <is>
          <t>2024-02-20</t>
        </is>
      </c>
      <c r="C928" s="12" t="inlineStr">
        <is>
          <t>27-02-2024</t>
        </is>
      </c>
      <c r="D928" s="12" t="inlineStr">
        <is>
          <t>CUST-6169</t>
        </is>
      </c>
      <c r="E928" s="12" t="inlineStr">
        <is>
          <t>Diya Patel</t>
        </is>
      </c>
      <c r="F928" s="12" t="inlineStr">
        <is>
          <t>Consumer</t>
        </is>
      </c>
      <c r="G928" s="12" t="inlineStr">
        <is>
          <t>South</t>
        </is>
      </c>
      <c r="H928" s="12" t="inlineStr">
        <is>
          <t>Kerala</t>
        </is>
      </c>
      <c r="I928" s="12" t="inlineStr">
        <is>
          <t>Kochi</t>
        </is>
      </c>
      <c r="J928" s="12" t="inlineStr">
        <is>
          <t>Technology</t>
        </is>
      </c>
      <c r="K928" s="12" t="inlineStr">
        <is>
          <t>Accessories</t>
        </is>
      </c>
      <c r="L928" s="12" t="inlineStr">
        <is>
          <t>Prime Accessories 236</t>
        </is>
      </c>
      <c r="M928" s="12" t="inlineStr">
        <is>
          <t>FIRST CLASS</t>
        </is>
      </c>
      <c r="N928" s="12" t="n">
        <v>9</v>
      </c>
      <c r="O928" s="12" t="n">
        <v>3779.31</v>
      </c>
      <c r="P928" s="12" t="n">
        <v>0.2</v>
      </c>
      <c r="Q928" s="12" t="n">
        <v>27322.9</v>
      </c>
      <c r="R928" s="12" t="n">
        <v>17940.43</v>
      </c>
      <c r="S928" s="12" t="n">
        <v>9270.6</v>
      </c>
      <c r="T928" s="12" t="inlineStr">
        <is>
          <t>Paid</t>
        </is>
      </c>
      <c r="U928" s="12" t="inlineStr">
        <is>
          <t>Returned</t>
        </is>
      </c>
      <c r="V928">
        <f>IF(OR(P928="",P928&lt;0,P928&gt;0.5),0,P928)</f>
        <v/>
      </c>
      <c r="W928">
        <f>N928*O928*(1-V928)</f>
        <v/>
      </c>
      <c r="X928">
        <f>W928-R928</f>
        <v/>
      </c>
      <c r="Y928">
        <f>IF(W928=0,0,X928/W928)</f>
        <v/>
      </c>
      <c r="Z928">
        <f>C928-B928</f>
        <v/>
      </c>
      <c r="AA928">
        <f>TEXT(B928,"mmmm")</f>
        <v/>
      </c>
      <c r="AB928">
        <f>YEAR(B928)</f>
        <v/>
      </c>
      <c r="AC928">
        <f>IF(OR(P928&lt;0,P928&gt;0.5,C928&lt;B928),"INVALID","CLEAN")</f>
        <v/>
      </c>
    </row>
    <row r="929">
      <c r="A929" s="12" t="inlineStr">
        <is>
          <t>ORD-2025-10572</t>
        </is>
      </c>
      <c r="B929" s="12" t="inlineStr">
        <is>
          <t>10 Feb 2025</t>
        </is>
      </c>
      <c r="C929" s="12" t="inlineStr">
        <is>
          <t>2025-02-14</t>
        </is>
      </c>
      <c r="D929" s="12" t="inlineStr">
        <is>
          <t>CUST-3425</t>
        </is>
      </c>
      <c r="E929" s="12" t="inlineStr">
        <is>
          <t>Priya Menon</t>
        </is>
      </c>
      <c r="F929" s="12" t="inlineStr">
        <is>
          <t>Small Business</t>
        </is>
      </c>
      <c r="G929" s="12" t="inlineStr">
        <is>
          <t>North</t>
        </is>
      </c>
      <c r="H929" s="12" t="inlineStr">
        <is>
          <t>Uttar Pradesh</t>
        </is>
      </c>
      <c r="I929" s="12" t="inlineStr">
        <is>
          <t>Noida</t>
        </is>
      </c>
      <c r="J929" s="12" t="inlineStr">
        <is>
          <t>Technology</t>
        </is>
      </c>
      <c r="K929" s="12" t="inlineStr">
        <is>
          <t>Phones</t>
        </is>
      </c>
      <c r="L929" s="12" t="inlineStr">
        <is>
          <t>Prime Phones 895</t>
        </is>
      </c>
      <c r="M929" s="12" t="n"/>
      <c r="N929" s="12" t="n">
        <v>5</v>
      </c>
      <c r="O929" s="12" t="n">
        <v>4276.29</v>
      </c>
      <c r="P929" s="12" t="n">
        <v>0</v>
      </c>
      <c r="Q929" s="12" t="n">
        <v>21443.63</v>
      </c>
      <c r="R929" s="12" t="n">
        <v>13240.21</v>
      </c>
      <c r="S929" s="12" t="n">
        <v>8141.24</v>
      </c>
      <c r="T929" s="12" t="inlineStr">
        <is>
          <t>Failed</t>
        </is>
      </c>
      <c r="U929" s="12" t="inlineStr">
        <is>
          <t>Completed</t>
        </is>
      </c>
      <c r="V929">
        <f>IF(OR(P929="",P929&lt;0,P929&gt;0.5),0,P929)</f>
        <v/>
      </c>
      <c r="W929">
        <f>N929*O929*(1-V929)</f>
        <v/>
      </c>
      <c r="X929">
        <f>W929-R929</f>
        <v/>
      </c>
      <c r="Y929">
        <f>IF(W929=0,0,X929/W929)</f>
        <v/>
      </c>
      <c r="Z929">
        <f>C929-B929</f>
        <v/>
      </c>
      <c r="AA929">
        <f>TEXT(B929,"mmmm")</f>
        <v/>
      </c>
      <c r="AB929">
        <f>YEAR(B929)</f>
        <v/>
      </c>
      <c r="AC929">
        <f>IF(OR(P929&lt;0,P929&gt;0.5,C929&lt;B929),"INVALID","CLEAN")</f>
        <v/>
      </c>
    </row>
    <row r="930">
      <c r="A930" s="12" t="inlineStr">
        <is>
          <t>ORD-2024-10143</t>
        </is>
      </c>
      <c r="B930" s="12" t="inlineStr">
        <is>
          <t>30 Mar 2024</t>
        </is>
      </c>
      <c r="C930" s="12" t="inlineStr">
        <is>
          <t>26 Mar 2024</t>
        </is>
      </c>
      <c r="D930" s="12" t="inlineStr">
        <is>
          <t>CUST-8944</t>
        </is>
      </c>
      <c r="E930" s="12" t="inlineStr">
        <is>
          <t>Aditi Sen</t>
        </is>
      </c>
      <c r="F930" s="12" t="inlineStr">
        <is>
          <t>Home Office</t>
        </is>
      </c>
      <c r="G930" s="12" t="inlineStr">
        <is>
          <t>North</t>
        </is>
      </c>
      <c r="H930" s="12" t="inlineStr">
        <is>
          <t>Rajasthan</t>
        </is>
      </c>
      <c r="I930" s="12" t="inlineStr">
        <is>
          <t>Jaipur</t>
        </is>
      </c>
      <c r="J930" s="12" t="inlineStr">
        <is>
          <t>Technology</t>
        </is>
      </c>
      <c r="K930" s="12" t="inlineStr">
        <is>
          <t>Phones</t>
        </is>
      </c>
      <c r="L930" s="12" t="inlineStr">
        <is>
          <t>Classic Phones 142</t>
        </is>
      </c>
      <c r="M930" s="12" t="inlineStr">
        <is>
          <t>Second Class</t>
        </is>
      </c>
      <c r="N930" s="12" t="n">
        <v>5</v>
      </c>
      <c r="O930" s="12" t="n">
        <v>907.54</v>
      </c>
      <c r="P930" s="12" t="n">
        <v>0.15</v>
      </c>
      <c r="Q930" s="12" t="n">
        <v>4099.69</v>
      </c>
      <c r="R930" s="12" t="n">
        <v>2769.26</v>
      </c>
      <c r="S930" s="12" t="n">
        <v>1087.78</v>
      </c>
      <c r="T930" s="12" t="inlineStr">
        <is>
          <t>Paid</t>
        </is>
      </c>
      <c r="U930" s="12" t="inlineStr">
        <is>
          <t>Returned</t>
        </is>
      </c>
      <c r="V930">
        <f>IF(OR(P930="",P930&lt;0,P930&gt;0.5),0,P930)</f>
        <v/>
      </c>
      <c r="W930">
        <f>N930*O930*(1-V930)</f>
        <v/>
      </c>
      <c r="X930">
        <f>W930-R930</f>
        <v/>
      </c>
      <c r="Y930">
        <f>IF(W930=0,0,X930/W930)</f>
        <v/>
      </c>
      <c r="Z930">
        <f>C930-B930</f>
        <v/>
      </c>
      <c r="AA930">
        <f>TEXT(B930,"mmmm")</f>
        <v/>
      </c>
      <c r="AB930">
        <f>YEAR(B930)</f>
        <v/>
      </c>
      <c r="AC930">
        <f>IF(OR(P930&lt;0,P930&gt;0.5,C930&lt;B930),"INVALID","CLEAN")</f>
        <v/>
      </c>
    </row>
    <row r="931">
      <c r="A931" s="12" t="inlineStr">
        <is>
          <t>ORD-2024-10273</t>
        </is>
      </c>
      <c r="B931" s="12" t="inlineStr">
        <is>
          <t>08/18/2024</t>
        </is>
      </c>
      <c r="C931" s="12" t="inlineStr">
        <is>
          <t>24 Aug 2024</t>
        </is>
      </c>
      <c r="D931" s="12" t="inlineStr">
        <is>
          <t>CUST-7389</t>
        </is>
      </c>
      <c r="E931" s="12" t="inlineStr">
        <is>
          <t>Arjun Bose</t>
        </is>
      </c>
      <c r="F931" s="12" t="inlineStr">
        <is>
          <t>Consumer</t>
        </is>
      </c>
      <c r="G931" s="12" t="inlineStr">
        <is>
          <t>South</t>
        </is>
      </c>
      <c r="H931" s="12" t="inlineStr">
        <is>
          <t>Andhra Pradesh</t>
        </is>
      </c>
      <c r="I931" s="12" t="inlineStr">
        <is>
          <t>Vijayawada</t>
        </is>
      </c>
      <c r="J931" s="12" t="inlineStr">
        <is>
          <t>Furniture</t>
        </is>
      </c>
      <c r="K931" s="12" t="inlineStr">
        <is>
          <t>Chairs</t>
        </is>
      </c>
      <c r="L931" s="12" t="inlineStr">
        <is>
          <t>Eco Chairs 314</t>
        </is>
      </c>
      <c r="M931" s="12" t="inlineStr">
        <is>
          <t>First Class</t>
        </is>
      </c>
      <c r="N931" s="12" t="n">
        <v>7</v>
      </c>
      <c r="O931" s="12" t="n">
        <v>557.21</v>
      </c>
      <c r="P931" s="12" t="n">
        <v>0.1</v>
      </c>
      <c r="Q931" s="12" t="n">
        <v>3797.79</v>
      </c>
      <c r="R931" s="12" t="n">
        <v>2191.5</v>
      </c>
      <c r="S931" s="12" t="n">
        <v>1213.48</v>
      </c>
      <c r="T931" s="12" t="inlineStr">
        <is>
          <t>Paid</t>
        </is>
      </c>
      <c r="U931" s="12" t="inlineStr">
        <is>
          <t>Returned</t>
        </is>
      </c>
      <c r="V931">
        <f>IF(OR(P931="",P931&lt;0,P931&gt;0.5),0,P931)</f>
        <v/>
      </c>
      <c r="W931">
        <f>N931*O931*(1-V931)</f>
        <v/>
      </c>
      <c r="X931">
        <f>W931-R931</f>
        <v/>
      </c>
      <c r="Y931">
        <f>IF(W931=0,0,X931/W931)</f>
        <v/>
      </c>
      <c r="Z931">
        <f>C931-B931</f>
        <v/>
      </c>
      <c r="AA931">
        <f>TEXT(B931,"mmmm")</f>
        <v/>
      </c>
      <c r="AB931">
        <f>YEAR(B931)</f>
        <v/>
      </c>
      <c r="AC931">
        <f>IF(OR(P931&lt;0,P931&gt;0.5,C931&lt;B931),"INVALID","CLEAN")</f>
        <v/>
      </c>
    </row>
    <row r="932">
      <c r="A932" s="12" t="inlineStr">
        <is>
          <t>ORD-2024-10124</t>
        </is>
      </c>
      <c r="B932" s="12" t="inlineStr">
        <is>
          <t>05/24/2024</t>
        </is>
      </c>
      <c r="C932" s="12" t="inlineStr">
        <is>
          <t>25 May 2024</t>
        </is>
      </c>
      <c r="D932" s="12" t="inlineStr">
        <is>
          <t>CUST-1007</t>
        </is>
      </c>
      <c r="E932" s="12" t="inlineStr">
        <is>
          <t>Sneha Kapoor</t>
        </is>
      </c>
      <c r="F932" s="12" t="inlineStr">
        <is>
          <t>Small Business</t>
        </is>
      </c>
      <c r="G932" s="12" t="inlineStr">
        <is>
          <t>NORTH</t>
        </is>
      </c>
      <c r="H932" s="12" t="inlineStr">
        <is>
          <t>Punjab</t>
        </is>
      </c>
      <c r="I932" s="12" t="inlineStr">
        <is>
          <t>Ludhiana</t>
        </is>
      </c>
      <c r="J932" s="12" t="inlineStr">
        <is>
          <t>Technology</t>
        </is>
      </c>
      <c r="K932" s="12" t="inlineStr">
        <is>
          <t>Copiers</t>
        </is>
      </c>
      <c r="L932" s="12" t="inlineStr">
        <is>
          <t>Max Copiers 970</t>
        </is>
      </c>
      <c r="M932" s="12" t="inlineStr">
        <is>
          <t>Same Day</t>
        </is>
      </c>
      <c r="N932" s="12" t="n">
        <v>1</v>
      </c>
      <c r="O932" s="12" t="n">
        <v>634.13</v>
      </c>
      <c r="P932" s="12" t="n">
        <v>0</v>
      </c>
      <c r="Q932" s="12" t="n">
        <v>808.67</v>
      </c>
      <c r="R932" s="12" t="n">
        <v>453.35</v>
      </c>
      <c r="S932" s="12" t="n">
        <v>180.78</v>
      </c>
      <c r="T932" s="12" t="inlineStr">
        <is>
          <t>Refunded</t>
        </is>
      </c>
      <c r="U932" s="12" t="inlineStr">
        <is>
          <t>Returned</t>
        </is>
      </c>
      <c r="V932">
        <f>IF(OR(P932="",P932&lt;0,P932&gt;0.5),0,P932)</f>
        <v/>
      </c>
      <c r="W932">
        <f>N932*O932*(1-V932)</f>
        <v/>
      </c>
      <c r="X932">
        <f>W932-R932</f>
        <v/>
      </c>
      <c r="Y932">
        <f>IF(W932=0,0,X932/W932)</f>
        <v/>
      </c>
      <c r="Z932">
        <f>C932-B932</f>
        <v/>
      </c>
      <c r="AA932">
        <f>TEXT(B932,"mmmm")</f>
        <v/>
      </c>
      <c r="AB932">
        <f>YEAR(B932)</f>
        <v/>
      </c>
      <c r="AC932">
        <f>IF(OR(P932&lt;0,P932&gt;0.5,C932&lt;B932),"INVALID","CLEAN")</f>
        <v/>
      </c>
    </row>
    <row r="933">
      <c r="A933" s="12" t="inlineStr">
        <is>
          <t>ORD-2025-10336</t>
        </is>
      </c>
      <c r="B933" s="12" t="inlineStr">
        <is>
          <t>06/16/2025</t>
        </is>
      </c>
      <c r="C933" s="12" t="inlineStr">
        <is>
          <t>18 Jun 2025</t>
        </is>
      </c>
      <c r="D933" s="12" t="inlineStr">
        <is>
          <t>CUST-3621</t>
        </is>
      </c>
      <c r="E933" s="12" t="inlineStr">
        <is>
          <t>Rahul Verma</t>
        </is>
      </c>
      <c r="F933" s="12" t="inlineStr">
        <is>
          <t>Home Office</t>
        </is>
      </c>
      <c r="G933" s="12" t="inlineStr">
        <is>
          <t>West</t>
        </is>
      </c>
      <c r="H933" s="12" t="inlineStr">
        <is>
          <t>Madhya Pradesh</t>
        </is>
      </c>
      <c r="I933" s="12" t="inlineStr">
        <is>
          <t>Indore</t>
        </is>
      </c>
      <c r="J933" s="12" t="inlineStr">
        <is>
          <t>Office Supplies</t>
        </is>
      </c>
      <c r="K933" s="12" t="inlineStr">
        <is>
          <t>Paper</t>
        </is>
      </c>
      <c r="L933" s="12" t="inlineStr">
        <is>
          <t>Prime Paper 559</t>
        </is>
      </c>
      <c r="M933" s="12" t="inlineStr">
        <is>
          <t>First Class</t>
        </is>
      </c>
      <c r="N933" s="12" t="n">
        <v>3</v>
      </c>
      <c r="O933" s="12" t="n">
        <v>4289.37</v>
      </c>
      <c r="P933" s="12" t="n">
        <v>0.1</v>
      </c>
      <c r="Q933" s="12" t="n">
        <v>11778.71</v>
      </c>
      <c r="R933" s="12" t="n">
        <v>6829.43</v>
      </c>
      <c r="S933" s="12" t="n">
        <v>4751.87</v>
      </c>
      <c r="T933" s="12" t="inlineStr">
        <is>
          <t>Paid</t>
        </is>
      </c>
      <c r="U933" s="12" t="inlineStr">
        <is>
          <t>Returned</t>
        </is>
      </c>
      <c r="V933">
        <f>IF(OR(P933="",P933&lt;0,P933&gt;0.5),0,P933)</f>
        <v/>
      </c>
      <c r="W933">
        <f>N933*O933*(1-V933)</f>
        <v/>
      </c>
      <c r="X933">
        <f>W933-R933</f>
        <v/>
      </c>
      <c r="Y933">
        <f>IF(W933=0,0,X933/W933)</f>
        <v/>
      </c>
      <c r="Z933">
        <f>C933-B933</f>
        <v/>
      </c>
      <c r="AA933">
        <f>TEXT(B933,"mmmm")</f>
        <v/>
      </c>
      <c r="AB933">
        <f>YEAR(B933)</f>
        <v/>
      </c>
      <c r="AC933">
        <f>IF(OR(P933&lt;0,P933&gt;0.5,C933&lt;B933),"INVALID","CLEAN")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 ht="28" customHeight="1">
      <c r="A1" s="6" t="inlineStr">
        <is>
          <t>Rule Area</t>
        </is>
      </c>
      <c r="B1" s="6" t="inlineStr">
        <is>
          <t>Student-Facing Rule</t>
        </is>
      </c>
    </row>
    <row r="2">
      <c r="A2" s="14" t="inlineStr">
        <is>
          <t>Raw file</t>
        </is>
      </c>
      <c r="B2" s="14" t="inlineStr">
        <is>
          <t>Do not overwrite raw_orders.xlsx. Create cleaned_orders.xlsx separately.</t>
        </is>
      </c>
    </row>
    <row r="3">
      <c r="A3" s="14" t="inlineStr">
        <is>
          <t>Missing region</t>
        </is>
      </c>
      <c r="B3" s="14" t="inlineStr">
        <is>
          <t>Fill as Unknown and flag in quality report.</t>
        </is>
      </c>
    </row>
    <row r="4">
      <c r="A4" s="14" t="inlineStr">
        <is>
          <t>Missing ship_mode</t>
        </is>
      </c>
      <c r="B4" s="14" t="inlineStr">
        <is>
          <t>Fill as Unknown and flag in quality report.</t>
        </is>
      </c>
    </row>
    <row r="5">
      <c r="A5" s="14" t="inlineStr">
        <is>
          <t>Missing discount</t>
        </is>
      </c>
      <c r="B5" s="14" t="inlineStr">
        <is>
          <t>Treat as 0 only if all other sales fields are valid; otherwise flag.</t>
        </is>
      </c>
    </row>
    <row r="6">
      <c r="A6" s="14" t="inlineStr">
        <is>
          <t>Discount</t>
        </is>
      </c>
      <c r="B6" s="14" t="inlineStr">
        <is>
          <t>Flag negative discounts and unusually high discounts as invalid.</t>
        </is>
      </c>
    </row>
    <row r="7">
      <c r="A7" s="14" t="inlineStr">
        <is>
          <t>Cancelled/Failed/Refunded</t>
        </is>
      </c>
      <c r="B7" s="14" t="inlineStr">
        <is>
          <t>Do not include non-completed/failed/refunded records in completed-sales summaries.</t>
        </is>
      </c>
    </row>
    <row r="8">
      <c r="A8" s="14" t="inlineStr">
        <is>
          <t>Date sequence</t>
        </is>
      </c>
      <c r="B8" s="14" t="inlineStr">
        <is>
          <t>Flag ship_date earlier than order_date.</t>
        </is>
      </c>
    </row>
    <row r="9">
      <c r="A9" s="14" t="inlineStr">
        <is>
          <t>Duplicates</t>
        </is>
      </c>
      <c r="B9" s="14" t="inlineStr">
        <is>
          <t>Remove exact duplicate copies; flag conflicting duplicate order IDs.</t>
        </is>
      </c>
    </row>
    <row r="10">
      <c r="A10" s="14" t="inlineStr">
        <is>
          <t>Calculated fields</t>
        </is>
      </c>
      <c r="B10" s="14" t="inlineStr">
        <is>
          <t>Create calculated_sales, calculated_profit, profit_margin, shipping_delay_days, order_month, order_year, and data_quality_flag.</t>
        </is>
      </c>
    </row>
    <row r="11">
      <c r="A11" s="14" t="inlineStr">
        <is>
          <t>Documentation</t>
        </is>
      </c>
      <c r="B11" s="14" t="inlineStr">
        <is>
          <t>Document cleaning decisions and assumptions in cleaning_log.md.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2026-06-27T06:17:59Z</dcterms:created>
  <dcterms:modified xmlns:dcterms="http://purl.org/dc/terms/" xmlns:xsi="http://www.w3.org/2001/XMLSchema-instance" xsi:type="dcterms:W3CDTF">2026-06-27T06:17:59Z</dcterms:modified>
</cp:coreProperties>
</file>